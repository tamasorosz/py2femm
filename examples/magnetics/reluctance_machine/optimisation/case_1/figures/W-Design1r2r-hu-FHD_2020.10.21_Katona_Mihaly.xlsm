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5.xml" ContentType="application/vnd.openxmlformats-officedocument.spreadsheetml.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0da57c3a14b48cd/Desktop/"/>
    </mc:Choice>
  </mc:AlternateContent>
  <xr:revisionPtr revIDLastSave="10571" documentId="8_{28185B57-EF67-42E0-B626-19605EE6B4C6}" xr6:coauthVersionLast="47" xr6:coauthVersionMax="47" xr10:uidLastSave="{5CFA8816-8859-4BE5-89E5-9386B2EAC64A}"/>
  <bookViews>
    <workbookView xWindow="-13245" yWindow="-16320" windowWidth="29040" windowHeight="15720" activeTab="2" xr2:uid="{00000000-000D-0000-FFFF-FFFF00000000}"/>
  </bookViews>
  <sheets>
    <sheet name="Layout" sheetId="5" r:id="rId1"/>
    <sheet name="Description" sheetId="6" r:id="rId2"/>
    <sheet name="Schema" sheetId="7" r:id="rId3"/>
    <sheet name="Settings" sheetId="8" r:id="rId4"/>
    <sheet name="Analysis1" sheetId="9" r:id="rId5"/>
    <sheet name="Analysis2" sheetId="10" r:id="rId6"/>
  </sheets>
  <functionGroups builtInGroupCount="19"/>
  <definedNames>
    <definedName name="_xlnm._FilterDatabase" localSheetId="4" hidden="1">Analysis1!$R$4:$S$404</definedName>
    <definedName name="_MMF1">OFFSET(Analysis2!$D$210,0,0,COUNTA(Analysis2!$D$210:$D$1000)-0)</definedName>
    <definedName name="MMF" localSheetId="5">OFFSET(Analysis2!$O$34,0,0,COUNTA(Analysis2!$O$34:$O$145)-0)</definedName>
    <definedName name="MMF">OFFSET(Analysis2!$O$34,0,0,COUNTA(Analysis2!$O$34:$O$145)-0)</definedName>
    <definedName name="_xlnm.Print_Area" localSheetId="5">Analysis2!$A$1:$O$46</definedName>
    <definedName name="_xlnm.Print_Area" localSheetId="0">Layout!$A$1:$AG$58</definedName>
    <definedName name="SinMMF" localSheetId="5">OFFSET(Analysis2!$R$33,0,0,COUNTA(Analysis2!$R$33:$R$145)-0)</definedName>
    <definedName name="SinMMF">OFFSET(Analysis2!$R$33,0,0,COUNTA(Analysis2!$R$33:$R$145)-0)</definedName>
    <definedName name="SinMMF1">OFFSET(Analysis2!$E$200,0,0,COUNTA(Analysis2!$E$200:$E$1000)-0)</definedName>
  </definedNames>
  <calcPr calcId="191029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6" i="10" l="1"/>
  <c r="Y36" i="10" s="1"/>
  <c r="T36" i="10"/>
  <c r="U36" i="10"/>
  <c r="V36" i="10"/>
  <c r="W36" i="10"/>
  <c r="X36" i="10"/>
  <c r="AA36" i="10" s="1"/>
  <c r="Z36" i="10"/>
  <c r="AH36" i="10"/>
  <c r="AI36" i="10"/>
  <c r="AJ36" i="10"/>
  <c r="AL36" i="10"/>
  <c r="S37" i="10"/>
  <c r="T37" i="10"/>
  <c r="AH37" i="10" s="1"/>
  <c r="U37" i="10"/>
  <c r="AI37" i="10" s="1"/>
  <c r="V37" i="10"/>
  <c r="W37" i="10"/>
  <c r="X37" i="10"/>
  <c r="Z37" i="10"/>
  <c r="AA37" i="10"/>
  <c r="AL37" i="10"/>
  <c r="S38" i="10"/>
  <c r="T38" i="10"/>
  <c r="U38" i="10"/>
  <c r="AI38" i="10" s="1"/>
  <c r="V38" i="10"/>
  <c r="W38" i="10"/>
  <c r="X38" i="10"/>
  <c r="Z38" i="10"/>
  <c r="AL38" i="10"/>
  <c r="S39" i="10"/>
  <c r="T39" i="10"/>
  <c r="AH39" i="10" s="1"/>
  <c r="U39" i="10"/>
  <c r="V39" i="10"/>
  <c r="AI39" i="10" s="1"/>
  <c r="W39" i="10"/>
  <c r="AA39" i="10" s="1"/>
  <c r="X39" i="10"/>
  <c r="AL39" i="10"/>
  <c r="S40" i="10"/>
  <c r="T40" i="10"/>
  <c r="AH40" i="10" s="1"/>
  <c r="U40" i="10"/>
  <c r="V40" i="10"/>
  <c r="AI40" i="10" s="1"/>
  <c r="W40" i="10"/>
  <c r="X40" i="10"/>
  <c r="AJ40" i="10" s="1"/>
  <c r="AA40" i="10"/>
  <c r="AL40" i="10"/>
  <c r="S41" i="10"/>
  <c r="T41" i="10"/>
  <c r="AH41" i="10" s="1"/>
  <c r="U41" i="10"/>
  <c r="V41" i="10"/>
  <c r="AI41" i="10" s="1"/>
  <c r="W41" i="10"/>
  <c r="X41" i="10"/>
  <c r="AJ41" i="10" s="1"/>
  <c r="AA41" i="10"/>
  <c r="AL41" i="10"/>
  <c r="S42" i="10"/>
  <c r="T42" i="10"/>
  <c r="U42" i="10"/>
  <c r="V42" i="10"/>
  <c r="AI42" i="10" s="1"/>
  <c r="W42" i="10"/>
  <c r="X42" i="10"/>
  <c r="AJ42" i="10" s="1"/>
  <c r="AA42" i="10"/>
  <c r="AL42" i="10"/>
  <c r="S43" i="10"/>
  <c r="T43" i="10"/>
  <c r="U43" i="10"/>
  <c r="V43" i="10"/>
  <c r="AI43" i="10" s="1"/>
  <c r="W43" i="10"/>
  <c r="X43" i="10"/>
  <c r="AJ43" i="10" s="1"/>
  <c r="AA43" i="10"/>
  <c r="AL43" i="10"/>
  <c r="S44" i="10"/>
  <c r="T44" i="10"/>
  <c r="U44" i="10"/>
  <c r="V44" i="10"/>
  <c r="W44" i="10"/>
  <c r="X44" i="10"/>
  <c r="AJ44" i="10" s="1"/>
  <c r="AA44" i="10"/>
  <c r="AL44" i="10"/>
  <c r="S45" i="10"/>
  <c r="T45" i="10"/>
  <c r="AH45" i="10" s="1"/>
  <c r="U45" i="10"/>
  <c r="V45" i="10"/>
  <c r="W45" i="10"/>
  <c r="X45" i="10"/>
  <c r="AJ45" i="10" s="1"/>
  <c r="AA45" i="10"/>
  <c r="AL45" i="10"/>
  <c r="S46" i="10"/>
  <c r="T46" i="10"/>
  <c r="AH46" i="10" s="1"/>
  <c r="U46" i="10"/>
  <c r="V46" i="10"/>
  <c r="W46" i="10"/>
  <c r="AA46" i="10" s="1"/>
  <c r="X46" i="10"/>
  <c r="AL46" i="10"/>
  <c r="S47" i="10"/>
  <c r="T47" i="10"/>
  <c r="U47" i="10"/>
  <c r="V47" i="10"/>
  <c r="W47" i="10"/>
  <c r="X47" i="10"/>
  <c r="Y47" i="10"/>
  <c r="AA47" i="10"/>
  <c r="AL47" i="10"/>
  <c r="S48" i="10"/>
  <c r="T48" i="10"/>
  <c r="U48" i="10"/>
  <c r="V48" i="10"/>
  <c r="W48" i="10"/>
  <c r="X48" i="10"/>
  <c r="AL48" i="10"/>
  <c r="S49" i="10"/>
  <c r="T49" i="10"/>
  <c r="U49" i="10"/>
  <c r="AI49" i="10" s="1"/>
  <c r="V49" i="10"/>
  <c r="W49" i="10"/>
  <c r="AJ49" i="10" s="1"/>
  <c r="X49" i="10"/>
  <c r="Y49" i="10"/>
  <c r="AA49" i="10"/>
  <c r="AL49" i="10"/>
  <c r="S50" i="10"/>
  <c r="T50" i="10"/>
  <c r="U50" i="10"/>
  <c r="Z50" i="10" s="1"/>
  <c r="V50" i="10"/>
  <c r="W50" i="10"/>
  <c r="AJ50" i="10" s="1"/>
  <c r="X50" i="10"/>
  <c r="AL50" i="10"/>
  <c r="S51" i="10"/>
  <c r="Y51" i="10" s="1"/>
  <c r="T51" i="10"/>
  <c r="U51" i="10"/>
  <c r="V51" i="10"/>
  <c r="W51" i="10"/>
  <c r="AA51" i="10" s="1"/>
  <c r="X51" i="10"/>
  <c r="AI51" i="10"/>
  <c r="AJ51" i="10"/>
  <c r="AL51" i="10"/>
  <c r="S52" i="10"/>
  <c r="Y52" i="10" s="1"/>
  <c r="T52" i="10"/>
  <c r="U52" i="10"/>
  <c r="V52" i="10"/>
  <c r="W52" i="10"/>
  <c r="X52" i="10"/>
  <c r="AA52" i="10" s="1"/>
  <c r="AI52" i="10"/>
  <c r="AJ52" i="10"/>
  <c r="AL52" i="10"/>
  <c r="S53" i="10"/>
  <c r="Y53" i="10" s="1"/>
  <c r="T53" i="10"/>
  <c r="U53" i="10"/>
  <c r="V53" i="10"/>
  <c r="W53" i="10"/>
  <c r="X53" i="10"/>
  <c r="AA53" i="10" s="1"/>
  <c r="AI53" i="10"/>
  <c r="AJ53" i="10"/>
  <c r="AL53" i="10"/>
  <c r="S54" i="10"/>
  <c r="T54" i="10"/>
  <c r="U54" i="10"/>
  <c r="V54" i="10"/>
  <c r="W54" i="10"/>
  <c r="X54" i="10"/>
  <c r="AI54" i="10"/>
  <c r="AL54" i="10"/>
  <c r="S55" i="10"/>
  <c r="T55" i="10"/>
  <c r="U55" i="10"/>
  <c r="Z55" i="10" s="1"/>
  <c r="V55" i="10"/>
  <c r="W55" i="10"/>
  <c r="X55" i="10"/>
  <c r="AI55" i="10"/>
  <c r="AL55" i="10"/>
  <c r="S56" i="10"/>
  <c r="T56" i="10"/>
  <c r="U56" i="10"/>
  <c r="V56" i="10"/>
  <c r="Z56" i="10" s="1"/>
  <c r="W56" i="10"/>
  <c r="X56" i="10"/>
  <c r="AI56" i="10"/>
  <c r="AL56" i="10"/>
  <c r="S57" i="10"/>
  <c r="T57" i="10"/>
  <c r="U57" i="10"/>
  <c r="Z57" i="10" s="1"/>
  <c r="V57" i="10"/>
  <c r="W57" i="10"/>
  <c r="X57" i="10"/>
  <c r="AH57" i="10"/>
  <c r="AI57" i="10"/>
  <c r="AL57" i="10"/>
  <c r="S58" i="10"/>
  <c r="T58" i="10"/>
  <c r="U58" i="10"/>
  <c r="V58" i="10"/>
  <c r="Z58" i="10" s="1"/>
  <c r="W58" i="10"/>
  <c r="X58" i="10"/>
  <c r="AH58" i="10"/>
  <c r="AI58" i="10"/>
  <c r="AL58" i="10"/>
  <c r="S59" i="10"/>
  <c r="Y59" i="10" s="1"/>
  <c r="T59" i="10"/>
  <c r="U59" i="10"/>
  <c r="V59" i="10"/>
  <c r="Z59" i="10" s="1"/>
  <c r="W59" i="10"/>
  <c r="X59" i="10"/>
  <c r="AH59" i="10"/>
  <c r="AI59" i="10"/>
  <c r="AL59" i="10"/>
  <c r="S60" i="10"/>
  <c r="T60" i="10"/>
  <c r="U60" i="10"/>
  <c r="V60" i="10"/>
  <c r="Z60" i="10" s="1"/>
  <c r="W60" i="10"/>
  <c r="X60" i="10"/>
  <c r="AI60" i="10"/>
  <c r="AJ60" i="10"/>
  <c r="AL60" i="10"/>
  <c r="S61" i="10"/>
  <c r="T61" i="10"/>
  <c r="U61" i="10"/>
  <c r="V61" i="10"/>
  <c r="W61" i="10"/>
  <c r="X61" i="10"/>
  <c r="AA61" i="10" s="1"/>
  <c r="AI61" i="10"/>
  <c r="AJ61" i="10"/>
  <c r="AL61" i="10"/>
  <c r="S62" i="10"/>
  <c r="T62" i="10"/>
  <c r="U62" i="10"/>
  <c r="Z62" i="10" s="1"/>
  <c r="V62" i="10"/>
  <c r="W62" i="10"/>
  <c r="X62" i="10"/>
  <c r="AA62" i="10" s="1"/>
  <c r="AI62" i="10"/>
  <c r="AJ62" i="10"/>
  <c r="AL62" i="10"/>
  <c r="S63" i="10"/>
  <c r="T63" i="10"/>
  <c r="U63" i="10"/>
  <c r="Z63" i="10" s="1"/>
  <c r="V63" i="10"/>
  <c r="W63" i="10"/>
  <c r="X63" i="10"/>
  <c r="AA63" i="10"/>
  <c r="AI63" i="10"/>
  <c r="AJ63" i="10"/>
  <c r="AL63" i="10"/>
  <c r="S64" i="10"/>
  <c r="T64" i="10"/>
  <c r="U64" i="10"/>
  <c r="V64" i="10"/>
  <c r="W64" i="10"/>
  <c r="X64" i="10"/>
  <c r="Z64" i="10"/>
  <c r="AI64" i="10"/>
  <c r="AJ64" i="10"/>
  <c r="AL64" i="10"/>
  <c r="S65" i="10"/>
  <c r="T65" i="10"/>
  <c r="U65" i="10"/>
  <c r="V65" i="10"/>
  <c r="W65" i="10"/>
  <c r="X65" i="10"/>
  <c r="Z65" i="10"/>
  <c r="AI65" i="10"/>
  <c r="AJ65" i="10"/>
  <c r="AL65" i="10"/>
  <c r="S66" i="10"/>
  <c r="T66" i="10"/>
  <c r="U66" i="10"/>
  <c r="V66" i="10"/>
  <c r="W66" i="10"/>
  <c r="X66" i="10"/>
  <c r="AA66" i="10" s="1"/>
  <c r="Z66" i="10"/>
  <c r="AI66" i="10"/>
  <c r="AJ66" i="10"/>
  <c r="AL66" i="10"/>
  <c r="S67" i="10"/>
  <c r="T67" i="10"/>
  <c r="AH67" i="10" s="1"/>
  <c r="U67" i="10"/>
  <c r="V67" i="10"/>
  <c r="AI67" i="10" s="1"/>
  <c r="W67" i="10"/>
  <c r="AA67" i="10" s="1"/>
  <c r="X67" i="10"/>
  <c r="Z67" i="10"/>
  <c r="AL67" i="10"/>
  <c r="S68" i="10"/>
  <c r="AH68" i="10" s="1"/>
  <c r="T68" i="10"/>
  <c r="U68" i="10"/>
  <c r="AI68" i="10" s="1"/>
  <c r="V68" i="10"/>
  <c r="Z68" i="10" s="1"/>
  <c r="W68" i="10"/>
  <c r="X68" i="10"/>
  <c r="AJ68" i="10" s="1"/>
  <c r="AA68" i="10"/>
  <c r="AL68" i="10"/>
  <c r="S69" i="10"/>
  <c r="T69" i="10"/>
  <c r="U69" i="10"/>
  <c r="Z69" i="10" s="1"/>
  <c r="V69" i="10"/>
  <c r="W69" i="10"/>
  <c r="AJ69" i="10" s="1"/>
  <c r="X69" i="10"/>
  <c r="AL69" i="10"/>
  <c r="S70" i="10"/>
  <c r="T70" i="10"/>
  <c r="U70" i="10"/>
  <c r="Z70" i="10" s="1"/>
  <c r="V70" i="10"/>
  <c r="W70" i="10"/>
  <c r="X70" i="10"/>
  <c r="AA70" i="10"/>
  <c r="AI70" i="10"/>
  <c r="AL70" i="10"/>
  <c r="S71" i="10"/>
  <c r="Y71" i="10" s="1"/>
  <c r="T71" i="10"/>
  <c r="U71" i="10"/>
  <c r="V71" i="10"/>
  <c r="W71" i="10"/>
  <c r="X71" i="10"/>
  <c r="Z71" i="10"/>
  <c r="AA71" i="10"/>
  <c r="AI71" i="10"/>
  <c r="AL71" i="10"/>
  <c r="S72" i="10"/>
  <c r="T72" i="10"/>
  <c r="U72" i="10"/>
  <c r="AI72" i="10" s="1"/>
  <c r="V72" i="10"/>
  <c r="W72" i="10"/>
  <c r="X72" i="10"/>
  <c r="Z72" i="10"/>
  <c r="AA72" i="10"/>
  <c r="AL72" i="10"/>
  <c r="S73" i="10"/>
  <c r="T73" i="10"/>
  <c r="U73" i="10"/>
  <c r="V73" i="10"/>
  <c r="Z73" i="10" s="1"/>
  <c r="W73" i="10"/>
  <c r="X73" i="10"/>
  <c r="AA73" i="10"/>
  <c r="AI73" i="10"/>
  <c r="AL73" i="10"/>
  <c r="S74" i="10"/>
  <c r="T74" i="10"/>
  <c r="U74" i="10"/>
  <c r="AI74" i="10" s="1"/>
  <c r="V74" i="10"/>
  <c r="Z74" i="10" s="1"/>
  <c r="W74" i="10"/>
  <c r="X74" i="10"/>
  <c r="AL74" i="10"/>
  <c r="S75" i="10"/>
  <c r="T75" i="10"/>
  <c r="U75" i="10"/>
  <c r="V75" i="10"/>
  <c r="Z75" i="10" s="1"/>
  <c r="W75" i="10"/>
  <c r="X75" i="10"/>
  <c r="AI75" i="10"/>
  <c r="AL75" i="10"/>
  <c r="S76" i="10"/>
  <c r="T76" i="10"/>
  <c r="U76" i="10"/>
  <c r="V76" i="10"/>
  <c r="Z76" i="10" s="1"/>
  <c r="W76" i="10"/>
  <c r="X76" i="10"/>
  <c r="AI76" i="10"/>
  <c r="AL76" i="10"/>
  <c r="S77" i="10"/>
  <c r="Y77" i="10" s="1"/>
  <c r="T77" i="10"/>
  <c r="U77" i="10"/>
  <c r="V77" i="10"/>
  <c r="W77" i="10"/>
  <c r="X77" i="10"/>
  <c r="AA77" i="10"/>
  <c r="AI77" i="10"/>
  <c r="AL77" i="10"/>
  <c r="S78" i="10"/>
  <c r="T78" i="10"/>
  <c r="U78" i="10"/>
  <c r="V78" i="10"/>
  <c r="W78" i="10"/>
  <c r="X78" i="10"/>
  <c r="Z78" i="10"/>
  <c r="AI78" i="10"/>
  <c r="AL78" i="10"/>
  <c r="S79" i="10"/>
  <c r="Y79" i="10" s="1"/>
  <c r="T79" i="10"/>
  <c r="U79" i="10"/>
  <c r="V79" i="10"/>
  <c r="Z79" i="10" s="1"/>
  <c r="W79" i="10"/>
  <c r="X79" i="10"/>
  <c r="AL79" i="10"/>
  <c r="S80" i="10"/>
  <c r="T80" i="10"/>
  <c r="U80" i="10"/>
  <c r="Z80" i="10" s="1"/>
  <c r="V80" i="10"/>
  <c r="AI80" i="10" s="1"/>
  <c r="W80" i="10"/>
  <c r="AA80" i="10" s="1"/>
  <c r="X80" i="10"/>
  <c r="AL80" i="10"/>
  <c r="S81" i="10"/>
  <c r="T81" i="10"/>
  <c r="U81" i="10"/>
  <c r="AI81" i="10" s="1"/>
  <c r="V81" i="10"/>
  <c r="W81" i="10"/>
  <c r="X81" i="10"/>
  <c r="AL81" i="10"/>
  <c r="AJ74" i="10" l="1"/>
  <c r="Y81" i="10"/>
  <c r="AA65" i="10"/>
  <c r="AJ59" i="10"/>
  <c r="Y74" i="10"/>
  <c r="AH48" i="10"/>
  <c r="AA78" i="10"/>
  <c r="Z61" i="10"/>
  <c r="AJ57" i="10"/>
  <c r="AA55" i="10"/>
  <c r="Z53" i="10"/>
  <c r="Y76" i="10"/>
  <c r="Y72" i="10"/>
  <c r="AJ70" i="10"/>
  <c r="AH43" i="10"/>
  <c r="Y37" i="10"/>
  <c r="Y80" i="10"/>
  <c r="AH51" i="10"/>
  <c r="Z49" i="10"/>
  <c r="AH50" i="10"/>
  <c r="AJ72" i="10"/>
  <c r="AH63" i="10"/>
  <c r="AJ47" i="10"/>
  <c r="AI79" i="10"/>
  <c r="AA60" i="10"/>
  <c r="AJ58" i="10"/>
  <c r="AJ54" i="10"/>
  <c r="AJ48" i="10"/>
  <c r="AJ73" i="10"/>
  <c r="Y75" i="10"/>
  <c r="Y73" i="10"/>
  <c r="AJ71" i="10"/>
  <c r="AI69" i="10"/>
  <c r="AA64" i="10"/>
  <c r="Z52" i="10"/>
  <c r="AI50" i="10"/>
  <c r="AH49" i="10"/>
  <c r="AH47" i="10"/>
  <c r="Y69" i="10"/>
  <c r="Y78" i="10"/>
  <c r="Y70" i="10"/>
  <c r="AJ77" i="10"/>
  <c r="AJ79" i="10"/>
  <c r="Z77" i="10"/>
  <c r="AA69" i="10"/>
  <c r="AH66" i="10"/>
  <c r="AA56" i="10"/>
  <c r="Z54" i="10"/>
  <c r="AH42" i="10"/>
  <c r="AA76" i="10"/>
  <c r="Y57" i="10"/>
  <c r="AA38" i="10"/>
  <c r="AJ37" i="10"/>
  <c r="Z51" i="10"/>
  <c r="AA75" i="10"/>
  <c r="AA81" i="10"/>
  <c r="AJ67" i="10"/>
  <c r="Y60" i="10"/>
  <c r="Y58" i="10"/>
  <c r="AA48" i="10"/>
  <c r="AJ46" i="10"/>
  <c r="AH44" i="10"/>
  <c r="Z81" i="10"/>
  <c r="AA74" i="10"/>
  <c r="Y48" i="10"/>
  <c r="AJ39" i="10"/>
  <c r="AA79" i="10"/>
  <c r="AJ81" i="10"/>
  <c r="AJ80" i="10"/>
  <c r="AJ78" i="10"/>
  <c r="AJ76" i="10"/>
  <c r="AJ75" i="10"/>
  <c r="Y68" i="10"/>
  <c r="Y67" i="10"/>
  <c r="Y66" i="10"/>
  <c r="AH78" i="10"/>
  <c r="AH77" i="10"/>
  <c r="AH76" i="10"/>
  <c r="AH75" i="10"/>
  <c r="AH74" i="10"/>
  <c r="AH73" i="10"/>
  <c r="AH72" i="10"/>
  <c r="AH71" i="10"/>
  <c r="AH70" i="10"/>
  <c r="AH69" i="10"/>
  <c r="AH61" i="10"/>
  <c r="AH81" i="10"/>
  <c r="AH80" i="10"/>
  <c r="AH79" i="10"/>
  <c r="AH65" i="10"/>
  <c r="Y65" i="10"/>
  <c r="AH64" i="10"/>
  <c r="Y64" i="10"/>
  <c r="AH62" i="10"/>
  <c r="Y63" i="10"/>
  <c r="Y62" i="10"/>
  <c r="Y61" i="10"/>
  <c r="AJ56" i="10"/>
  <c r="AJ55" i="10"/>
  <c r="AA54" i="10"/>
  <c r="Y56" i="10"/>
  <c r="AH56" i="10"/>
  <c r="Y55" i="10"/>
  <c r="AH55" i="10"/>
  <c r="AA59" i="10"/>
  <c r="AA58" i="10"/>
  <c r="AA57" i="10"/>
  <c r="Y54" i="10"/>
  <c r="AH54" i="10"/>
  <c r="AH60" i="10"/>
  <c r="Z47" i="10"/>
  <c r="AI47" i="10"/>
  <c r="AI45" i="10"/>
  <c r="Z45" i="10"/>
  <c r="AI44" i="10"/>
  <c r="Z44" i="10"/>
  <c r="AA50" i="10"/>
  <c r="Z48" i="10"/>
  <c r="AI48" i="10"/>
  <c r="AH53" i="10"/>
  <c r="AH52" i="10"/>
  <c r="Y50" i="10"/>
  <c r="AI46" i="10"/>
  <c r="Z46" i="10"/>
  <c r="Z43" i="10"/>
  <c r="Z42" i="10"/>
  <c r="Z41" i="10"/>
  <c r="Z40" i="10"/>
  <c r="Z39" i="10"/>
  <c r="AJ38" i="10"/>
  <c r="Y38" i="10"/>
  <c r="AH38" i="10"/>
  <c r="Y46" i="10"/>
  <c r="Y45" i="10"/>
  <c r="Y44" i="10"/>
  <c r="Y43" i="10"/>
  <c r="Y42" i="10"/>
  <c r="Y41" i="10"/>
  <c r="Y40" i="10"/>
  <c r="Y39" i="10"/>
  <c r="C16" i="10"/>
  <c r="H30" i="10"/>
  <c r="L32" i="10" s="1"/>
  <c r="AC36" i="10" s="1"/>
  <c r="W34" i="10"/>
  <c r="X34" i="10"/>
  <c r="W35" i="10"/>
  <c r="X35" i="10"/>
  <c r="X32" i="10" s="1"/>
  <c r="S34" i="10"/>
  <c r="T34" i="10"/>
  <c r="T32" i="10" s="1"/>
  <c r="S35" i="10"/>
  <c r="T35" i="10"/>
  <c r="AH35" i="10" s="1"/>
  <c r="U34" i="10"/>
  <c r="AI34" i="10" s="1"/>
  <c r="V34" i="10"/>
  <c r="V32" i="10" s="1"/>
  <c r="U35" i="10"/>
  <c r="AI35" i="10" s="1"/>
  <c r="V35" i="10"/>
  <c r="H31" i="10"/>
  <c r="AL34" i="10"/>
  <c r="AL35" i="10"/>
  <c r="AX1" i="9"/>
  <c r="AX380" i="9" s="1"/>
  <c r="AS380" i="9" s="1"/>
  <c r="AX2" i="9"/>
  <c r="AX3" i="9"/>
  <c r="AX4" i="9"/>
  <c r="AY1" i="9"/>
  <c r="AY2" i="9"/>
  <c r="AY3" i="9"/>
  <c r="AY4" i="9"/>
  <c r="AX11" i="9"/>
  <c r="AS11" i="9" s="1"/>
  <c r="AB2" i="9"/>
  <c r="AB404" i="9"/>
  <c r="AB1" i="9"/>
  <c r="AA404" i="9"/>
  <c r="AB3" i="9"/>
  <c r="AC404" i="9"/>
  <c r="Y404" i="9"/>
  <c r="Z404" i="9" s="1"/>
  <c r="AM404" i="9"/>
  <c r="AN404" i="9"/>
  <c r="AO404" i="9"/>
  <c r="AP404" i="9"/>
  <c r="AQ404" i="9"/>
  <c r="Y5" i="9"/>
  <c r="AA5" i="9"/>
  <c r="AB5" i="9"/>
  <c r="AC5" i="9"/>
  <c r="AM5" i="9"/>
  <c r="AN5" i="9"/>
  <c r="AO5" i="9"/>
  <c r="AP5" i="9"/>
  <c r="Y6" i="9"/>
  <c r="AB6" i="9"/>
  <c r="AB7" i="9"/>
  <c r="AA7" i="9"/>
  <c r="AC7" i="9"/>
  <c r="Y7" i="9"/>
  <c r="AM7" i="9"/>
  <c r="AN7" i="9"/>
  <c r="AO7" i="9"/>
  <c r="AP7" i="9"/>
  <c r="Y8" i="9"/>
  <c r="Z8" i="9" s="1"/>
  <c r="AA8" i="9"/>
  <c r="AB8" i="9"/>
  <c r="AC8" i="9"/>
  <c r="AM8" i="9"/>
  <c r="AN8" i="9"/>
  <c r="AO8" i="9"/>
  <c r="AP8" i="9"/>
  <c r="Y9" i="9"/>
  <c r="Z9" i="9" s="1"/>
  <c r="AA9" i="9"/>
  <c r="AB9" i="9"/>
  <c r="AC9" i="9"/>
  <c r="AM9" i="9"/>
  <c r="AN9" i="9"/>
  <c r="AO9" i="9"/>
  <c r="AP9" i="9"/>
  <c r="AB10" i="9"/>
  <c r="AA10" i="9"/>
  <c r="AC10" i="9"/>
  <c r="Y10" i="9"/>
  <c r="Z10" i="9" s="1"/>
  <c r="AM10" i="9"/>
  <c r="AN10" i="9"/>
  <c r="AO10" i="9"/>
  <c r="AP10" i="9"/>
  <c r="Y11" i="9"/>
  <c r="Z11" i="9" s="1"/>
  <c r="AA11" i="9"/>
  <c r="AB11" i="9"/>
  <c r="AC11" i="9"/>
  <c r="AM11" i="9"/>
  <c r="AN11" i="9"/>
  <c r="AO11" i="9"/>
  <c r="AP11" i="9"/>
  <c r="Y12" i="9"/>
  <c r="Z12" i="9" s="1"/>
  <c r="AA12" i="9"/>
  <c r="AB12" i="9"/>
  <c r="AC12" i="9"/>
  <c r="AM12" i="9"/>
  <c r="AN12" i="9"/>
  <c r="AO12" i="9"/>
  <c r="AP12" i="9"/>
  <c r="AB13" i="9"/>
  <c r="AA13" i="9"/>
  <c r="AC13" i="9"/>
  <c r="Y13" i="9"/>
  <c r="Z13" i="9" s="1"/>
  <c r="AM13" i="9"/>
  <c r="AN13" i="9"/>
  <c r="AO13" i="9"/>
  <c r="AP13" i="9"/>
  <c r="Y14" i="9"/>
  <c r="Z14" i="9" s="1"/>
  <c r="AB14" i="9"/>
  <c r="Y15" i="9"/>
  <c r="AA15" i="9"/>
  <c r="AB15" i="9"/>
  <c r="AC15" i="9"/>
  <c r="AM15" i="9"/>
  <c r="AN15" i="9"/>
  <c r="AO15" i="9"/>
  <c r="AP15" i="9"/>
  <c r="AB16" i="9"/>
  <c r="AA16" i="9"/>
  <c r="AC16" i="9"/>
  <c r="Y16" i="9"/>
  <c r="AM16" i="9"/>
  <c r="AN16" i="9"/>
  <c r="AO16" i="9"/>
  <c r="AP16" i="9"/>
  <c r="Y17" i="9"/>
  <c r="Z17" i="9" s="1"/>
  <c r="AA17" i="9"/>
  <c r="AB17" i="9"/>
  <c r="AC17" i="9"/>
  <c r="AM17" i="9"/>
  <c r="AN17" i="9"/>
  <c r="AO17" i="9"/>
  <c r="AP17" i="9"/>
  <c r="Y18" i="9"/>
  <c r="AB18" i="9"/>
  <c r="AB19" i="9"/>
  <c r="AA19" i="9"/>
  <c r="AC19" i="9"/>
  <c r="Y19" i="9"/>
  <c r="AM19" i="9"/>
  <c r="AN19" i="9"/>
  <c r="AO19" i="9"/>
  <c r="AP19" i="9"/>
  <c r="Y20" i="9"/>
  <c r="AA20" i="9"/>
  <c r="AB20" i="9"/>
  <c r="AC20" i="9"/>
  <c r="AM20" i="9"/>
  <c r="AN20" i="9"/>
  <c r="AO20" i="9"/>
  <c r="AP20" i="9"/>
  <c r="Y21" i="9"/>
  <c r="AA21" i="9"/>
  <c r="AB21" i="9"/>
  <c r="AC21" i="9"/>
  <c r="AM21" i="9"/>
  <c r="AN21" i="9"/>
  <c r="AO21" i="9"/>
  <c r="AP21" i="9"/>
  <c r="AB22" i="9"/>
  <c r="AA22" i="9"/>
  <c r="AC22" i="9"/>
  <c r="Y22" i="9"/>
  <c r="AM22" i="9"/>
  <c r="AN22" i="9"/>
  <c r="AO22" i="9"/>
  <c r="AP22" i="9"/>
  <c r="Y23" i="9"/>
  <c r="Z23" i="9" s="1"/>
  <c r="AA23" i="9"/>
  <c r="AB23" i="9"/>
  <c r="AC23" i="9"/>
  <c r="AM23" i="9"/>
  <c r="AN23" i="9"/>
  <c r="AO23" i="9"/>
  <c r="AP23" i="9"/>
  <c r="Y24" i="9"/>
  <c r="AA24" i="9"/>
  <c r="AB24" i="9"/>
  <c r="AC24" i="9"/>
  <c r="AM24" i="9"/>
  <c r="AN24" i="9"/>
  <c r="AO24" i="9"/>
  <c r="AP24" i="9"/>
  <c r="AB25" i="9"/>
  <c r="AA25" i="9"/>
  <c r="AC25" i="9"/>
  <c r="Y25" i="9"/>
  <c r="Z25" i="9" s="1"/>
  <c r="AM25" i="9"/>
  <c r="AN25" i="9"/>
  <c r="AO25" i="9"/>
  <c r="AP25" i="9"/>
  <c r="Y26" i="9"/>
  <c r="AB26" i="9"/>
  <c r="Y27" i="9"/>
  <c r="AA27" i="9"/>
  <c r="AB27" i="9"/>
  <c r="AC27" i="9"/>
  <c r="AM27" i="9"/>
  <c r="AN27" i="9"/>
  <c r="AO27" i="9"/>
  <c r="AP27" i="9"/>
  <c r="AB28" i="9"/>
  <c r="AA28" i="9"/>
  <c r="AC28" i="9"/>
  <c r="Y28" i="9"/>
  <c r="Z28" i="9" s="1"/>
  <c r="AM28" i="9"/>
  <c r="AN28" i="9"/>
  <c r="AO28" i="9"/>
  <c r="AP28" i="9"/>
  <c r="Y29" i="9"/>
  <c r="AA29" i="9"/>
  <c r="AB29" i="9"/>
  <c r="AC29" i="9"/>
  <c r="AM29" i="9"/>
  <c r="AN29" i="9"/>
  <c r="AO29" i="9"/>
  <c r="AP29" i="9"/>
  <c r="Y30" i="9"/>
  <c r="AB30" i="9"/>
  <c r="AB31" i="9"/>
  <c r="AA31" i="9"/>
  <c r="AC31" i="9"/>
  <c r="Y31" i="9"/>
  <c r="Z31" i="9" s="1"/>
  <c r="AM31" i="9"/>
  <c r="AN31" i="9"/>
  <c r="AO31" i="9"/>
  <c r="AP31" i="9"/>
  <c r="Y32" i="9"/>
  <c r="Z32" i="9" s="1"/>
  <c r="AA32" i="9"/>
  <c r="AB32" i="9"/>
  <c r="AC32" i="9"/>
  <c r="AM32" i="9"/>
  <c r="AN32" i="9"/>
  <c r="AO32" i="9"/>
  <c r="AP32" i="9"/>
  <c r="Y33" i="9"/>
  <c r="AA33" i="9"/>
  <c r="AB33" i="9"/>
  <c r="AC33" i="9"/>
  <c r="AM33" i="9"/>
  <c r="AN33" i="9"/>
  <c r="AO33" i="9"/>
  <c r="AP33" i="9"/>
  <c r="AB34" i="9"/>
  <c r="AA34" i="9"/>
  <c r="AC34" i="9"/>
  <c r="Y34" i="9"/>
  <c r="Z34" i="9" s="1"/>
  <c r="AM34" i="9"/>
  <c r="AN34" i="9"/>
  <c r="AO34" i="9"/>
  <c r="AP34" i="9"/>
  <c r="Y35" i="9"/>
  <c r="AA35" i="9"/>
  <c r="AB35" i="9"/>
  <c r="AC35" i="9"/>
  <c r="AM35" i="9"/>
  <c r="AN35" i="9"/>
  <c r="AO35" i="9"/>
  <c r="AP35" i="9"/>
  <c r="Y36" i="9"/>
  <c r="Z36" i="9" s="1"/>
  <c r="AA36" i="9"/>
  <c r="AB36" i="9"/>
  <c r="AC36" i="9"/>
  <c r="AM36" i="9"/>
  <c r="AN36" i="9"/>
  <c r="AO36" i="9"/>
  <c r="AP36" i="9"/>
  <c r="AB37" i="9"/>
  <c r="AA37" i="9"/>
  <c r="AC37" i="9"/>
  <c r="Y37" i="9"/>
  <c r="AM37" i="9"/>
  <c r="AN37" i="9"/>
  <c r="AO37" i="9"/>
  <c r="AP37" i="9"/>
  <c r="Y38" i="9"/>
  <c r="AB38" i="9"/>
  <c r="Y39" i="9"/>
  <c r="AA39" i="9"/>
  <c r="AB39" i="9"/>
  <c r="AC39" i="9"/>
  <c r="AM39" i="9"/>
  <c r="AN39" i="9"/>
  <c r="AO39" i="9"/>
  <c r="AP39" i="9"/>
  <c r="AB40" i="9"/>
  <c r="AA40" i="9"/>
  <c r="AC40" i="9"/>
  <c r="Y40" i="9"/>
  <c r="Z40" i="9" s="1"/>
  <c r="AM40" i="9"/>
  <c r="AN40" i="9"/>
  <c r="AO40" i="9"/>
  <c r="AP40" i="9"/>
  <c r="Y41" i="9"/>
  <c r="AA41" i="9"/>
  <c r="AB41" i="9"/>
  <c r="AC41" i="9"/>
  <c r="AM41" i="9"/>
  <c r="AN41" i="9"/>
  <c r="AO41" i="9"/>
  <c r="AP41" i="9"/>
  <c r="Y42" i="9"/>
  <c r="AB42" i="9"/>
  <c r="AB43" i="9"/>
  <c r="AA43" i="9"/>
  <c r="AC43" i="9"/>
  <c r="Y43" i="9"/>
  <c r="AM43" i="9"/>
  <c r="AN43" i="9"/>
  <c r="AO43" i="9"/>
  <c r="AP43" i="9"/>
  <c r="Y44" i="9"/>
  <c r="AA44" i="9"/>
  <c r="AB44" i="9"/>
  <c r="AC44" i="9"/>
  <c r="AM44" i="9"/>
  <c r="AN44" i="9"/>
  <c r="AO44" i="9"/>
  <c r="AP44" i="9"/>
  <c r="Y45" i="9"/>
  <c r="AA45" i="9"/>
  <c r="AB45" i="9"/>
  <c r="AC45" i="9"/>
  <c r="AM45" i="9"/>
  <c r="AN45" i="9"/>
  <c r="AO45" i="9"/>
  <c r="AP45" i="9"/>
  <c r="AB46" i="9"/>
  <c r="AA46" i="9"/>
  <c r="AC46" i="9"/>
  <c r="Y46" i="9"/>
  <c r="AM46" i="9"/>
  <c r="AN46" i="9"/>
  <c r="AO46" i="9"/>
  <c r="AP46" i="9"/>
  <c r="Y47" i="9"/>
  <c r="AA47" i="9"/>
  <c r="AB47" i="9"/>
  <c r="AC47" i="9"/>
  <c r="AM47" i="9"/>
  <c r="AN47" i="9"/>
  <c r="AO47" i="9"/>
  <c r="AP47" i="9"/>
  <c r="Y48" i="9"/>
  <c r="Z48" i="9" s="1"/>
  <c r="AA48" i="9"/>
  <c r="AB48" i="9"/>
  <c r="AC48" i="9"/>
  <c r="AM48" i="9"/>
  <c r="AN48" i="9"/>
  <c r="AO48" i="9"/>
  <c r="AP48" i="9"/>
  <c r="AB49" i="9"/>
  <c r="AA49" i="9"/>
  <c r="AC49" i="9"/>
  <c r="Y49" i="9"/>
  <c r="AM49" i="9"/>
  <c r="AN49" i="9"/>
  <c r="AO49" i="9"/>
  <c r="AP49" i="9"/>
  <c r="Y50" i="9"/>
  <c r="AB50" i="9"/>
  <c r="Y51" i="9"/>
  <c r="AA51" i="9"/>
  <c r="AB51" i="9"/>
  <c r="AC51" i="9"/>
  <c r="AM51" i="9"/>
  <c r="AN51" i="9"/>
  <c r="AO51" i="9"/>
  <c r="AP51" i="9"/>
  <c r="AB52" i="9"/>
  <c r="AA52" i="9"/>
  <c r="AC52" i="9"/>
  <c r="Y52" i="9"/>
  <c r="AM52" i="9"/>
  <c r="AN52" i="9"/>
  <c r="AO52" i="9"/>
  <c r="AP52" i="9"/>
  <c r="Y53" i="9"/>
  <c r="AA53" i="9"/>
  <c r="AB53" i="9"/>
  <c r="AC53" i="9"/>
  <c r="AM53" i="9"/>
  <c r="AN53" i="9"/>
  <c r="AO53" i="9"/>
  <c r="AP53" i="9"/>
  <c r="Y54" i="9"/>
  <c r="Z54" i="9" s="1"/>
  <c r="AB54" i="9"/>
  <c r="AB55" i="9"/>
  <c r="AA55" i="9"/>
  <c r="AC55" i="9"/>
  <c r="Y55" i="9"/>
  <c r="AM55" i="9"/>
  <c r="AN55" i="9"/>
  <c r="AO55" i="9"/>
  <c r="AP55" i="9"/>
  <c r="Y56" i="9"/>
  <c r="Z56" i="9" s="1"/>
  <c r="AA56" i="9"/>
  <c r="AB56" i="9"/>
  <c r="AC56" i="9"/>
  <c r="AM56" i="9"/>
  <c r="AN56" i="9"/>
  <c r="AO56" i="9"/>
  <c r="AP56" i="9"/>
  <c r="Y57" i="9"/>
  <c r="Z57" i="9" s="1"/>
  <c r="AA57" i="9"/>
  <c r="AB57" i="9"/>
  <c r="AC57" i="9"/>
  <c r="AM57" i="9"/>
  <c r="AN57" i="9"/>
  <c r="AO57" i="9"/>
  <c r="AP57" i="9"/>
  <c r="AB58" i="9"/>
  <c r="AA58" i="9"/>
  <c r="AC58" i="9"/>
  <c r="Y58" i="9"/>
  <c r="AM58" i="9"/>
  <c r="AN58" i="9"/>
  <c r="AO58" i="9"/>
  <c r="AP58" i="9"/>
  <c r="Y59" i="9"/>
  <c r="AA59" i="9"/>
  <c r="AB59" i="9"/>
  <c r="AC59" i="9"/>
  <c r="AM59" i="9"/>
  <c r="AN59" i="9"/>
  <c r="AO59" i="9"/>
  <c r="AP59" i="9"/>
  <c r="Y60" i="9"/>
  <c r="Z60" i="9" s="1"/>
  <c r="AA60" i="9"/>
  <c r="AB60" i="9"/>
  <c r="AC60" i="9"/>
  <c r="AM60" i="9"/>
  <c r="AN60" i="9"/>
  <c r="AO60" i="9"/>
  <c r="AP60" i="9"/>
  <c r="AB61" i="9"/>
  <c r="AA61" i="9"/>
  <c r="AC61" i="9"/>
  <c r="Y61" i="9"/>
  <c r="AM61" i="9"/>
  <c r="AN61" i="9"/>
  <c r="AO61" i="9"/>
  <c r="AP61" i="9"/>
  <c r="Y62" i="9"/>
  <c r="AB62" i="9"/>
  <c r="Y63" i="9"/>
  <c r="Z63" i="9" s="1"/>
  <c r="AA63" i="9"/>
  <c r="AB63" i="9"/>
  <c r="AC63" i="9"/>
  <c r="AM63" i="9"/>
  <c r="AN63" i="9"/>
  <c r="AO63" i="9"/>
  <c r="AP63" i="9"/>
  <c r="AB64" i="9"/>
  <c r="AA64" i="9"/>
  <c r="AC64" i="9"/>
  <c r="Y64" i="9"/>
  <c r="AM64" i="9"/>
  <c r="AN64" i="9"/>
  <c r="AO64" i="9"/>
  <c r="AP64" i="9"/>
  <c r="Y65" i="9"/>
  <c r="AA65" i="9"/>
  <c r="AB65" i="9"/>
  <c r="AC65" i="9"/>
  <c r="AM65" i="9"/>
  <c r="AN65" i="9"/>
  <c r="AO65" i="9"/>
  <c r="AP65" i="9"/>
  <c r="Y66" i="9"/>
  <c r="Z66" i="9" s="1"/>
  <c r="AB66" i="9"/>
  <c r="AB67" i="9"/>
  <c r="AA67" i="9"/>
  <c r="AC67" i="9"/>
  <c r="Y67" i="9"/>
  <c r="AM67" i="9"/>
  <c r="AN67" i="9"/>
  <c r="AO67" i="9"/>
  <c r="AP67" i="9"/>
  <c r="Y68" i="9"/>
  <c r="AA68" i="9"/>
  <c r="AB68" i="9"/>
  <c r="AC68" i="9"/>
  <c r="AM68" i="9"/>
  <c r="AN68" i="9"/>
  <c r="AO68" i="9"/>
  <c r="AP68" i="9"/>
  <c r="Y69" i="9"/>
  <c r="Z69" i="9" s="1"/>
  <c r="AA69" i="9"/>
  <c r="AB69" i="9"/>
  <c r="AC69" i="9"/>
  <c r="AM69" i="9"/>
  <c r="AN69" i="9"/>
  <c r="AO69" i="9"/>
  <c r="AP69" i="9"/>
  <c r="AB70" i="9"/>
  <c r="AA70" i="9"/>
  <c r="AC70" i="9"/>
  <c r="Y70" i="9"/>
  <c r="Z70" i="9" s="1"/>
  <c r="AM70" i="9"/>
  <c r="AN70" i="9"/>
  <c r="AO70" i="9"/>
  <c r="AP70" i="9"/>
  <c r="Y71" i="9"/>
  <c r="Z71" i="9" s="1"/>
  <c r="AA71" i="9"/>
  <c r="AB71" i="9"/>
  <c r="AC71" i="9"/>
  <c r="AM71" i="9"/>
  <c r="AN71" i="9"/>
  <c r="AO71" i="9"/>
  <c r="AP71" i="9"/>
  <c r="Y72" i="9"/>
  <c r="AA72" i="9"/>
  <c r="AB72" i="9"/>
  <c r="AC72" i="9"/>
  <c r="AM72" i="9"/>
  <c r="AN72" i="9"/>
  <c r="AO72" i="9"/>
  <c r="AP72" i="9"/>
  <c r="AB73" i="9"/>
  <c r="AA73" i="9"/>
  <c r="AC73" i="9"/>
  <c r="Y73" i="9"/>
  <c r="Z73" i="9" s="1"/>
  <c r="AM73" i="9"/>
  <c r="AN73" i="9"/>
  <c r="AO73" i="9"/>
  <c r="AP73" i="9"/>
  <c r="Y74" i="9"/>
  <c r="Z74" i="9" s="1"/>
  <c r="AB74" i="9"/>
  <c r="Y75" i="9"/>
  <c r="AA75" i="9"/>
  <c r="AB75" i="9"/>
  <c r="AC75" i="9"/>
  <c r="AM75" i="9"/>
  <c r="AN75" i="9"/>
  <c r="AO75" i="9"/>
  <c r="AP75" i="9"/>
  <c r="AB76" i="9"/>
  <c r="AA76" i="9"/>
  <c r="AC76" i="9"/>
  <c r="Y76" i="9"/>
  <c r="Z76" i="9" s="1"/>
  <c r="AM76" i="9"/>
  <c r="AN76" i="9"/>
  <c r="AO76" i="9"/>
  <c r="AP76" i="9"/>
  <c r="Y77" i="9"/>
  <c r="Z77" i="9" s="1"/>
  <c r="AA77" i="9"/>
  <c r="AB77" i="9"/>
  <c r="AC77" i="9"/>
  <c r="AM77" i="9"/>
  <c r="AN77" i="9"/>
  <c r="AO77" i="9"/>
  <c r="AP77" i="9"/>
  <c r="Y78" i="9"/>
  <c r="AB78" i="9"/>
  <c r="AB79" i="9"/>
  <c r="AA79" i="9"/>
  <c r="AC79" i="9"/>
  <c r="Y79" i="9"/>
  <c r="Z79" i="9" s="1"/>
  <c r="AM79" i="9"/>
  <c r="AN79" i="9"/>
  <c r="AO79" i="9"/>
  <c r="AP79" i="9"/>
  <c r="Y80" i="9"/>
  <c r="Z80" i="9" s="1"/>
  <c r="AA80" i="9"/>
  <c r="AB80" i="9"/>
  <c r="AC80" i="9"/>
  <c r="AM80" i="9"/>
  <c r="AN80" i="9"/>
  <c r="AO80" i="9"/>
  <c r="AP80" i="9"/>
  <c r="Y81" i="9"/>
  <c r="AA81" i="9"/>
  <c r="AB81" i="9"/>
  <c r="AC81" i="9"/>
  <c r="AM81" i="9"/>
  <c r="AN81" i="9"/>
  <c r="AO81" i="9"/>
  <c r="AP81" i="9"/>
  <c r="AB82" i="9"/>
  <c r="AA82" i="9"/>
  <c r="AC82" i="9"/>
  <c r="Y82" i="9"/>
  <c r="Z82" i="9" s="1"/>
  <c r="AM82" i="9"/>
  <c r="AN82" i="9"/>
  <c r="AO82" i="9"/>
  <c r="AP82" i="9"/>
  <c r="Y83" i="9"/>
  <c r="Z83" i="9" s="1"/>
  <c r="AA83" i="9"/>
  <c r="AB83" i="9"/>
  <c r="AC83" i="9"/>
  <c r="AM83" i="9"/>
  <c r="AN83" i="9"/>
  <c r="AO83" i="9"/>
  <c r="AP83" i="9"/>
  <c r="Y84" i="9"/>
  <c r="Z84" i="9" s="1"/>
  <c r="AA84" i="9"/>
  <c r="AB84" i="9"/>
  <c r="AC84" i="9"/>
  <c r="AM84" i="9"/>
  <c r="AN84" i="9"/>
  <c r="AO84" i="9"/>
  <c r="AP84" i="9"/>
  <c r="AB85" i="9"/>
  <c r="AA85" i="9"/>
  <c r="AC85" i="9"/>
  <c r="Y85" i="9"/>
  <c r="Z85" i="9" s="1"/>
  <c r="AM85" i="9"/>
  <c r="AN85" i="9"/>
  <c r="AO85" i="9"/>
  <c r="AP85" i="9"/>
  <c r="Y86" i="9"/>
  <c r="AB86" i="9"/>
  <c r="Y87" i="9"/>
  <c r="AA87" i="9"/>
  <c r="AB87" i="9"/>
  <c r="AC87" i="9"/>
  <c r="AM87" i="9"/>
  <c r="AN87" i="9"/>
  <c r="AO87" i="9"/>
  <c r="AP87" i="9"/>
  <c r="AB88" i="9"/>
  <c r="AA88" i="9"/>
  <c r="AC88" i="9"/>
  <c r="Y88" i="9"/>
  <c r="AM88" i="9"/>
  <c r="AN88" i="9"/>
  <c r="AO88" i="9"/>
  <c r="AP88" i="9"/>
  <c r="Y89" i="9"/>
  <c r="AA89" i="9"/>
  <c r="AB89" i="9"/>
  <c r="AC89" i="9"/>
  <c r="AM89" i="9"/>
  <c r="AN89" i="9"/>
  <c r="AO89" i="9"/>
  <c r="AP89" i="9"/>
  <c r="Y90" i="9"/>
  <c r="AB90" i="9"/>
  <c r="AB91" i="9"/>
  <c r="AA91" i="9"/>
  <c r="AC91" i="9"/>
  <c r="Y91" i="9"/>
  <c r="Z91" i="9" s="1"/>
  <c r="AM91" i="9"/>
  <c r="AN91" i="9"/>
  <c r="AO91" i="9"/>
  <c r="AP91" i="9"/>
  <c r="Y92" i="9"/>
  <c r="Z92" i="9" s="1"/>
  <c r="AA92" i="9"/>
  <c r="AB92" i="9"/>
  <c r="AC92" i="9"/>
  <c r="AM92" i="9"/>
  <c r="AN92" i="9"/>
  <c r="AO92" i="9"/>
  <c r="AP92" i="9"/>
  <c r="Y93" i="9"/>
  <c r="AA93" i="9"/>
  <c r="AB93" i="9"/>
  <c r="AC93" i="9"/>
  <c r="AM93" i="9"/>
  <c r="AN93" i="9"/>
  <c r="AO93" i="9"/>
  <c r="AP93" i="9"/>
  <c r="AB94" i="9"/>
  <c r="AA94" i="9"/>
  <c r="AC94" i="9"/>
  <c r="Y94" i="9"/>
  <c r="Z94" i="9" s="1"/>
  <c r="AM94" i="9"/>
  <c r="AN94" i="9"/>
  <c r="AO94" i="9"/>
  <c r="AP94" i="9"/>
  <c r="Y95" i="9"/>
  <c r="AA95" i="9"/>
  <c r="AB95" i="9"/>
  <c r="AC95" i="9"/>
  <c r="AM95" i="9"/>
  <c r="AN95" i="9"/>
  <c r="AO95" i="9"/>
  <c r="AP95" i="9"/>
  <c r="Y96" i="9"/>
  <c r="AA96" i="9"/>
  <c r="AB96" i="9"/>
  <c r="AC96" i="9"/>
  <c r="AM96" i="9"/>
  <c r="AN96" i="9"/>
  <c r="AO96" i="9"/>
  <c r="AP96" i="9"/>
  <c r="AB97" i="9"/>
  <c r="AA97" i="9"/>
  <c r="AC97" i="9"/>
  <c r="Y97" i="9"/>
  <c r="AM97" i="9"/>
  <c r="AN97" i="9"/>
  <c r="AO97" i="9"/>
  <c r="AP97" i="9"/>
  <c r="Y98" i="9"/>
  <c r="AA98" i="9"/>
  <c r="AB98" i="9"/>
  <c r="Y99" i="9"/>
  <c r="Z99" i="9" s="1"/>
  <c r="AA99" i="9"/>
  <c r="AB99" i="9"/>
  <c r="AC99" i="9"/>
  <c r="AM99" i="9"/>
  <c r="AN99" i="9"/>
  <c r="AO99" i="9"/>
  <c r="AP99" i="9"/>
  <c r="AB100" i="9"/>
  <c r="AA100" i="9"/>
  <c r="AC100" i="9"/>
  <c r="Y100" i="9"/>
  <c r="AM100" i="9"/>
  <c r="AN100" i="9"/>
  <c r="AO100" i="9"/>
  <c r="AP100" i="9"/>
  <c r="Y101" i="9"/>
  <c r="AA101" i="9"/>
  <c r="AB101" i="9"/>
  <c r="AC101" i="9"/>
  <c r="AM101" i="9"/>
  <c r="AN101" i="9"/>
  <c r="AO101" i="9"/>
  <c r="AP101" i="9"/>
  <c r="Y102" i="9"/>
  <c r="Z102" i="9" s="1"/>
  <c r="AB102" i="9"/>
  <c r="AB103" i="9"/>
  <c r="AA103" i="9"/>
  <c r="AC103" i="9"/>
  <c r="Y103" i="9"/>
  <c r="Z103" i="9" s="1"/>
  <c r="AM103" i="9"/>
  <c r="AN103" i="9"/>
  <c r="AO103" i="9"/>
  <c r="AP103" i="9"/>
  <c r="Y104" i="9"/>
  <c r="Z104" i="9" s="1"/>
  <c r="AA104" i="9"/>
  <c r="AB104" i="9"/>
  <c r="AC104" i="9"/>
  <c r="AM104" i="9"/>
  <c r="AN104" i="9"/>
  <c r="AO104" i="9"/>
  <c r="AP104" i="9"/>
  <c r="Y105" i="9"/>
  <c r="Z105" i="9" s="1"/>
  <c r="AA105" i="9"/>
  <c r="AB105" i="9"/>
  <c r="AC105" i="9"/>
  <c r="AM105" i="9"/>
  <c r="AN105" i="9"/>
  <c r="AO105" i="9"/>
  <c r="AP105" i="9"/>
  <c r="AB106" i="9"/>
  <c r="AA106" i="9"/>
  <c r="AC106" i="9"/>
  <c r="Y106" i="9"/>
  <c r="AM106" i="9"/>
  <c r="AN106" i="9"/>
  <c r="AO106" i="9"/>
  <c r="AP106" i="9"/>
  <c r="Y107" i="9"/>
  <c r="AA107" i="9"/>
  <c r="AB107" i="9"/>
  <c r="AC107" i="9"/>
  <c r="AM107" i="9"/>
  <c r="AN107" i="9"/>
  <c r="AO107" i="9"/>
  <c r="AP107" i="9"/>
  <c r="Y108" i="9"/>
  <c r="Z108" i="9" s="1"/>
  <c r="AA108" i="9"/>
  <c r="AB108" i="9"/>
  <c r="AC108" i="9"/>
  <c r="AM108" i="9"/>
  <c r="AN108" i="9"/>
  <c r="AO108" i="9"/>
  <c r="AP108" i="9"/>
  <c r="AB109" i="9"/>
  <c r="AA109" i="9"/>
  <c r="AC109" i="9"/>
  <c r="Y109" i="9"/>
  <c r="AM109" i="9"/>
  <c r="AN109" i="9"/>
  <c r="AO109" i="9"/>
  <c r="AP109" i="9"/>
  <c r="Y110" i="9"/>
  <c r="Z110" i="9" s="1"/>
  <c r="AB110" i="9"/>
  <c r="Y111" i="9"/>
  <c r="AA111" i="9"/>
  <c r="AB111" i="9"/>
  <c r="AC111" i="9"/>
  <c r="AM111" i="9"/>
  <c r="AN111" i="9"/>
  <c r="AO111" i="9"/>
  <c r="AP111" i="9"/>
  <c r="AB112" i="9"/>
  <c r="AA112" i="9"/>
  <c r="AC112" i="9"/>
  <c r="Y112" i="9"/>
  <c r="AM112" i="9"/>
  <c r="AN112" i="9"/>
  <c r="AO112" i="9"/>
  <c r="AP112" i="9"/>
  <c r="Y113" i="9"/>
  <c r="AA113" i="9"/>
  <c r="AB113" i="9"/>
  <c r="AC113" i="9"/>
  <c r="AM113" i="9"/>
  <c r="AN113" i="9"/>
  <c r="AO113" i="9"/>
  <c r="AP113" i="9"/>
  <c r="Y114" i="9"/>
  <c r="AB114" i="9"/>
  <c r="AB115" i="9"/>
  <c r="AA115" i="9"/>
  <c r="AC115" i="9"/>
  <c r="Y115" i="9"/>
  <c r="AM115" i="9"/>
  <c r="AN115" i="9"/>
  <c r="AO115" i="9"/>
  <c r="AP115" i="9"/>
  <c r="Y116" i="9"/>
  <c r="AA116" i="9"/>
  <c r="AB116" i="9"/>
  <c r="AC116" i="9"/>
  <c r="AM116" i="9"/>
  <c r="AN116" i="9"/>
  <c r="AO116" i="9"/>
  <c r="AP116" i="9"/>
  <c r="Y117" i="9"/>
  <c r="Z117" i="9" s="1"/>
  <c r="AA117" i="9"/>
  <c r="AB117" i="9"/>
  <c r="AC117" i="9"/>
  <c r="AM117" i="9"/>
  <c r="AN117" i="9"/>
  <c r="AO117" i="9"/>
  <c r="AP117" i="9"/>
  <c r="AB118" i="9"/>
  <c r="AA118" i="9"/>
  <c r="AC118" i="9"/>
  <c r="Y118" i="9"/>
  <c r="AM118" i="9"/>
  <c r="AN118" i="9"/>
  <c r="AO118" i="9"/>
  <c r="AP118" i="9"/>
  <c r="Y119" i="9"/>
  <c r="Z119" i="9" s="1"/>
  <c r="AA119" i="9"/>
  <c r="AB119" i="9"/>
  <c r="AC119" i="9"/>
  <c r="AM119" i="9"/>
  <c r="AN119" i="9"/>
  <c r="AO119" i="9"/>
  <c r="AP119" i="9"/>
  <c r="Y120" i="9"/>
  <c r="Z120" i="9" s="1"/>
  <c r="AA120" i="9"/>
  <c r="AB120" i="9"/>
  <c r="AC120" i="9"/>
  <c r="AM120" i="9"/>
  <c r="AN120" i="9"/>
  <c r="AO120" i="9"/>
  <c r="AP120" i="9"/>
  <c r="AB121" i="9"/>
  <c r="AA121" i="9"/>
  <c r="AC121" i="9"/>
  <c r="Y121" i="9"/>
  <c r="AM121" i="9"/>
  <c r="AN121" i="9"/>
  <c r="AO121" i="9"/>
  <c r="AP121" i="9"/>
  <c r="Y122" i="9"/>
  <c r="Z122" i="9" s="1"/>
  <c r="AB122" i="9"/>
  <c r="Y123" i="9"/>
  <c r="Z123" i="9" s="1"/>
  <c r="AA123" i="9"/>
  <c r="AB123" i="9"/>
  <c r="AC123" i="9"/>
  <c r="AM123" i="9"/>
  <c r="AN123" i="9"/>
  <c r="AO123" i="9"/>
  <c r="AP123" i="9"/>
  <c r="AB124" i="9"/>
  <c r="AA124" i="9"/>
  <c r="AC124" i="9"/>
  <c r="Y124" i="9"/>
  <c r="AM124" i="9"/>
  <c r="AN124" i="9"/>
  <c r="AO124" i="9"/>
  <c r="AP124" i="9"/>
  <c r="Y125" i="9"/>
  <c r="Z125" i="9" s="1"/>
  <c r="AA125" i="9"/>
  <c r="AB125" i="9"/>
  <c r="AC125" i="9"/>
  <c r="AM125" i="9"/>
  <c r="AN125" i="9"/>
  <c r="AO125" i="9"/>
  <c r="AP125" i="9"/>
  <c r="Y126" i="9"/>
  <c r="AB126" i="9"/>
  <c r="AB127" i="9"/>
  <c r="AA127" i="9"/>
  <c r="AC127" i="9"/>
  <c r="Y127" i="9"/>
  <c r="AM127" i="9"/>
  <c r="AN127" i="9"/>
  <c r="AO127" i="9"/>
  <c r="AP127" i="9"/>
  <c r="Y128" i="9"/>
  <c r="Z128" i="9" s="1"/>
  <c r="AA128" i="9"/>
  <c r="AB128" i="9"/>
  <c r="AC128" i="9"/>
  <c r="AM128" i="9"/>
  <c r="AN128" i="9"/>
  <c r="AO128" i="9"/>
  <c r="AP128" i="9"/>
  <c r="Y129" i="9"/>
  <c r="Z129" i="9" s="1"/>
  <c r="AA129" i="9"/>
  <c r="AB129" i="9"/>
  <c r="AC129" i="9"/>
  <c r="AM129" i="9"/>
  <c r="AN129" i="9"/>
  <c r="AO129" i="9"/>
  <c r="AP129" i="9"/>
  <c r="AB130" i="9"/>
  <c r="AA130" i="9"/>
  <c r="AC130" i="9"/>
  <c r="Y130" i="9"/>
  <c r="AM130" i="9"/>
  <c r="AN130" i="9"/>
  <c r="AO130" i="9"/>
  <c r="AP130" i="9"/>
  <c r="Y131" i="9"/>
  <c r="AA131" i="9"/>
  <c r="AB131" i="9"/>
  <c r="AC131" i="9"/>
  <c r="AM131" i="9"/>
  <c r="AN131" i="9"/>
  <c r="AO131" i="9"/>
  <c r="AP131" i="9"/>
  <c r="Y132" i="9"/>
  <c r="Z132" i="9" s="1"/>
  <c r="AA132" i="9"/>
  <c r="AB132" i="9"/>
  <c r="AC132" i="9"/>
  <c r="AM132" i="9"/>
  <c r="AN132" i="9"/>
  <c r="AO132" i="9"/>
  <c r="AP132" i="9"/>
  <c r="AB133" i="9"/>
  <c r="AA133" i="9"/>
  <c r="AC133" i="9"/>
  <c r="Y133" i="9"/>
  <c r="AM133" i="9"/>
  <c r="AN133" i="9"/>
  <c r="AO133" i="9"/>
  <c r="AP133" i="9"/>
  <c r="Y134" i="9"/>
  <c r="Z134" i="9" s="1"/>
  <c r="AB134" i="9"/>
  <c r="Y135" i="9"/>
  <c r="AA135" i="9"/>
  <c r="AB135" i="9"/>
  <c r="AC135" i="9"/>
  <c r="AM135" i="9"/>
  <c r="AN135" i="9"/>
  <c r="AO135" i="9"/>
  <c r="AP135" i="9"/>
  <c r="AB136" i="9"/>
  <c r="AA136" i="9"/>
  <c r="AC136" i="9"/>
  <c r="Y136" i="9"/>
  <c r="AM136" i="9"/>
  <c r="AN136" i="9"/>
  <c r="AO136" i="9"/>
  <c r="AP136" i="9"/>
  <c r="Y137" i="9"/>
  <c r="Z137" i="9" s="1"/>
  <c r="AA137" i="9"/>
  <c r="AB137" i="9"/>
  <c r="AC137" i="9"/>
  <c r="AM137" i="9"/>
  <c r="AN137" i="9"/>
  <c r="AO137" i="9"/>
  <c r="AP137" i="9"/>
  <c r="Y138" i="9"/>
  <c r="AB138" i="9"/>
  <c r="AC138" i="9"/>
  <c r="AB139" i="9"/>
  <c r="AA139" i="9"/>
  <c r="AC139" i="9"/>
  <c r="Y139" i="9"/>
  <c r="Z139" i="9" s="1"/>
  <c r="AM139" i="9"/>
  <c r="AN139" i="9"/>
  <c r="AO139" i="9"/>
  <c r="AP139" i="9"/>
  <c r="Y140" i="9"/>
  <c r="Z140" i="9" s="1"/>
  <c r="AA140" i="9"/>
  <c r="AB140" i="9"/>
  <c r="AC140" i="9"/>
  <c r="AM140" i="9"/>
  <c r="AN140" i="9"/>
  <c r="AO140" i="9"/>
  <c r="AP140" i="9"/>
  <c r="Y141" i="9"/>
  <c r="AA141" i="9"/>
  <c r="AB141" i="9"/>
  <c r="AC141" i="9"/>
  <c r="AM141" i="9"/>
  <c r="AN141" i="9"/>
  <c r="AO141" i="9"/>
  <c r="AP141" i="9"/>
  <c r="AB142" i="9"/>
  <c r="AA142" i="9"/>
  <c r="AC142" i="9"/>
  <c r="Y142" i="9"/>
  <c r="Z142" i="9" s="1"/>
  <c r="AM142" i="9"/>
  <c r="AN142" i="9"/>
  <c r="AO142" i="9"/>
  <c r="AP142" i="9"/>
  <c r="Y143" i="9"/>
  <c r="AA143" i="9"/>
  <c r="AB143" i="9"/>
  <c r="AC143" i="9"/>
  <c r="AM143" i="9"/>
  <c r="AN143" i="9"/>
  <c r="AO143" i="9"/>
  <c r="AP143" i="9"/>
  <c r="Y144" i="9"/>
  <c r="AA144" i="9"/>
  <c r="AB144" i="9"/>
  <c r="AC144" i="9"/>
  <c r="AM144" i="9"/>
  <c r="AN144" i="9"/>
  <c r="AO144" i="9"/>
  <c r="AP144" i="9"/>
  <c r="AB145" i="9"/>
  <c r="AA145" i="9"/>
  <c r="AC145" i="9"/>
  <c r="Y145" i="9"/>
  <c r="Z145" i="9" s="1"/>
  <c r="AM145" i="9"/>
  <c r="AN145" i="9"/>
  <c r="AO145" i="9"/>
  <c r="AP145" i="9"/>
  <c r="Y146" i="9"/>
  <c r="AB146" i="9"/>
  <c r="AC146" i="9"/>
  <c r="Y147" i="9"/>
  <c r="AA147" i="9"/>
  <c r="AB147" i="9"/>
  <c r="AC147" i="9"/>
  <c r="AM147" i="9"/>
  <c r="AN147" i="9"/>
  <c r="AO147" i="9"/>
  <c r="AP147" i="9"/>
  <c r="AB148" i="9"/>
  <c r="AA148" i="9"/>
  <c r="AC148" i="9"/>
  <c r="Y148" i="9"/>
  <c r="Z148" i="9" s="1"/>
  <c r="AM148" i="9"/>
  <c r="AN148" i="9"/>
  <c r="AO148" i="9"/>
  <c r="AP148" i="9"/>
  <c r="Y149" i="9"/>
  <c r="AA149" i="9"/>
  <c r="AB149" i="9"/>
  <c r="AC149" i="9"/>
  <c r="AM149" i="9"/>
  <c r="AN149" i="9"/>
  <c r="AO149" i="9"/>
  <c r="AP149" i="9"/>
  <c r="Y150" i="9"/>
  <c r="AB150" i="9"/>
  <c r="AC150" i="9"/>
  <c r="AB151" i="9"/>
  <c r="AA151" i="9"/>
  <c r="AC151" i="9"/>
  <c r="Y151" i="9"/>
  <c r="Z151" i="9" s="1"/>
  <c r="AM151" i="9"/>
  <c r="AN151" i="9"/>
  <c r="AO151" i="9"/>
  <c r="AP151" i="9"/>
  <c r="Y152" i="9"/>
  <c r="AA152" i="9"/>
  <c r="AB152" i="9"/>
  <c r="AC152" i="9"/>
  <c r="AM152" i="9"/>
  <c r="AN152" i="9"/>
  <c r="AO152" i="9"/>
  <c r="AP152" i="9"/>
  <c r="Y153" i="9"/>
  <c r="AA153" i="9"/>
  <c r="AB153" i="9"/>
  <c r="AC153" i="9"/>
  <c r="AM153" i="9"/>
  <c r="AN153" i="9"/>
  <c r="AO153" i="9"/>
  <c r="AP153" i="9"/>
  <c r="AB154" i="9"/>
  <c r="AA154" i="9"/>
  <c r="AC154" i="9"/>
  <c r="Y154" i="9"/>
  <c r="AM154" i="9"/>
  <c r="AN154" i="9"/>
  <c r="AO154" i="9"/>
  <c r="AP154" i="9"/>
  <c r="Y155" i="9"/>
  <c r="AA155" i="9"/>
  <c r="AB155" i="9"/>
  <c r="AC155" i="9"/>
  <c r="AM155" i="9"/>
  <c r="AN155" i="9"/>
  <c r="AO155" i="9"/>
  <c r="AP155" i="9"/>
  <c r="Y156" i="9"/>
  <c r="AA156" i="9"/>
  <c r="AB156" i="9"/>
  <c r="AC156" i="9"/>
  <c r="AM156" i="9"/>
  <c r="AN156" i="9"/>
  <c r="AO156" i="9"/>
  <c r="AP156" i="9"/>
  <c r="AB157" i="9"/>
  <c r="AA157" i="9"/>
  <c r="AC157" i="9"/>
  <c r="Y157" i="9"/>
  <c r="AM157" i="9"/>
  <c r="AN157" i="9"/>
  <c r="AO157" i="9"/>
  <c r="AP157" i="9"/>
  <c r="Y158" i="9"/>
  <c r="AB158" i="9"/>
  <c r="AC158" i="9"/>
  <c r="Y159" i="9"/>
  <c r="Z159" i="9" s="1"/>
  <c r="AA159" i="9"/>
  <c r="AB159" i="9"/>
  <c r="AC159" i="9"/>
  <c r="AM159" i="9"/>
  <c r="AN159" i="9"/>
  <c r="AO159" i="9"/>
  <c r="AP159" i="9"/>
  <c r="AB160" i="9"/>
  <c r="AA160" i="9"/>
  <c r="AC160" i="9"/>
  <c r="Y160" i="9"/>
  <c r="AM160" i="9"/>
  <c r="AN160" i="9"/>
  <c r="AO160" i="9"/>
  <c r="AP160" i="9"/>
  <c r="Y161" i="9"/>
  <c r="Z161" i="9" s="1"/>
  <c r="AA161" i="9"/>
  <c r="AB161" i="9"/>
  <c r="AC161" i="9"/>
  <c r="AM161" i="9"/>
  <c r="AN161" i="9"/>
  <c r="AO161" i="9"/>
  <c r="AP161" i="9"/>
  <c r="Y162" i="9"/>
  <c r="Z162" i="9" s="1"/>
  <c r="AB162" i="9"/>
  <c r="AC162" i="9"/>
  <c r="AB163" i="9"/>
  <c r="AA163" i="9"/>
  <c r="AC163" i="9"/>
  <c r="Y163" i="9"/>
  <c r="AM163" i="9"/>
  <c r="AN163" i="9"/>
  <c r="AO163" i="9"/>
  <c r="AP163" i="9"/>
  <c r="Y164" i="9"/>
  <c r="AA164" i="9"/>
  <c r="AB164" i="9"/>
  <c r="AC164" i="9"/>
  <c r="AM164" i="9"/>
  <c r="AN164" i="9"/>
  <c r="AO164" i="9"/>
  <c r="AP164" i="9"/>
  <c r="Y165" i="9"/>
  <c r="Z165" i="9" s="1"/>
  <c r="AA165" i="9"/>
  <c r="AB165" i="9"/>
  <c r="AC165" i="9"/>
  <c r="AM165" i="9"/>
  <c r="AN165" i="9"/>
  <c r="AO165" i="9"/>
  <c r="AP165" i="9"/>
  <c r="AB166" i="9"/>
  <c r="AA166" i="9"/>
  <c r="AC166" i="9"/>
  <c r="Y166" i="9"/>
  <c r="AM166" i="9"/>
  <c r="AN166" i="9"/>
  <c r="AO166" i="9"/>
  <c r="AP166" i="9"/>
  <c r="Y167" i="9"/>
  <c r="Z167" i="9" s="1"/>
  <c r="AA167" i="9"/>
  <c r="AB167" i="9"/>
  <c r="AC167" i="9"/>
  <c r="AM167" i="9"/>
  <c r="AN167" i="9"/>
  <c r="AO167" i="9"/>
  <c r="AP167" i="9"/>
  <c r="Y168" i="9"/>
  <c r="AA168" i="9"/>
  <c r="AB168" i="9"/>
  <c r="AC168" i="9"/>
  <c r="AM168" i="9"/>
  <c r="AN168" i="9"/>
  <c r="AO168" i="9"/>
  <c r="AP168" i="9"/>
  <c r="AB169" i="9"/>
  <c r="AA169" i="9"/>
  <c r="AC169" i="9"/>
  <c r="Y169" i="9"/>
  <c r="AM169" i="9"/>
  <c r="AN169" i="9"/>
  <c r="AO169" i="9"/>
  <c r="AP169" i="9"/>
  <c r="Y170" i="9"/>
  <c r="Z170" i="9" s="1"/>
  <c r="AB170" i="9"/>
  <c r="AC170" i="9"/>
  <c r="Y171" i="9"/>
  <c r="Z171" i="9" s="1"/>
  <c r="AA171" i="9"/>
  <c r="AB171" i="9"/>
  <c r="AC171" i="9"/>
  <c r="AM171" i="9"/>
  <c r="AN171" i="9"/>
  <c r="AO171" i="9"/>
  <c r="AP171" i="9"/>
  <c r="AB172" i="9"/>
  <c r="AA172" i="9"/>
  <c r="AC172" i="9"/>
  <c r="Y172" i="9"/>
  <c r="AM172" i="9"/>
  <c r="AN172" i="9"/>
  <c r="AO172" i="9"/>
  <c r="AP172" i="9"/>
  <c r="Y173" i="9"/>
  <c r="AA173" i="9"/>
  <c r="AB173" i="9"/>
  <c r="AC173" i="9"/>
  <c r="AM173" i="9"/>
  <c r="AN173" i="9"/>
  <c r="AO173" i="9"/>
  <c r="AP173" i="9"/>
  <c r="Y174" i="9"/>
  <c r="AB174" i="9"/>
  <c r="AC174" i="9"/>
  <c r="AB175" i="9"/>
  <c r="AA175" i="9"/>
  <c r="AC175" i="9"/>
  <c r="Y175" i="9"/>
  <c r="AM175" i="9"/>
  <c r="AN175" i="9"/>
  <c r="AO175" i="9"/>
  <c r="AP175" i="9"/>
  <c r="Y176" i="9"/>
  <c r="AA176" i="9"/>
  <c r="AB176" i="9"/>
  <c r="AC176" i="9"/>
  <c r="AM176" i="9"/>
  <c r="AN176" i="9"/>
  <c r="AO176" i="9"/>
  <c r="AP176" i="9"/>
  <c r="Y177" i="9"/>
  <c r="AA177" i="9"/>
  <c r="AB177" i="9"/>
  <c r="AC177" i="9"/>
  <c r="AM177" i="9"/>
  <c r="AN177" i="9"/>
  <c r="AO177" i="9"/>
  <c r="AP177" i="9"/>
  <c r="AB178" i="9"/>
  <c r="AA178" i="9"/>
  <c r="AC178" i="9"/>
  <c r="Y178" i="9"/>
  <c r="Z178" i="9" s="1"/>
  <c r="AM178" i="9"/>
  <c r="AN178" i="9"/>
  <c r="AO178" i="9"/>
  <c r="AP178" i="9"/>
  <c r="Y179" i="9"/>
  <c r="Z179" i="9" s="1"/>
  <c r="AA179" i="9"/>
  <c r="AB179" i="9"/>
  <c r="AC179" i="9"/>
  <c r="AM179" i="9"/>
  <c r="AN179" i="9"/>
  <c r="AO179" i="9"/>
  <c r="AP179" i="9"/>
  <c r="Y180" i="9"/>
  <c r="AA180" i="9"/>
  <c r="AB180" i="9"/>
  <c r="AC180" i="9"/>
  <c r="AM180" i="9"/>
  <c r="AN180" i="9"/>
  <c r="AO180" i="9"/>
  <c r="AP180" i="9"/>
  <c r="AB181" i="9"/>
  <c r="AA181" i="9"/>
  <c r="AC181" i="9"/>
  <c r="Y181" i="9"/>
  <c r="Z181" i="9" s="1"/>
  <c r="AM181" i="9"/>
  <c r="AN181" i="9"/>
  <c r="AO181" i="9"/>
  <c r="AP181" i="9"/>
  <c r="Y182" i="9"/>
  <c r="AB182" i="9"/>
  <c r="AC182" i="9"/>
  <c r="Y183" i="9"/>
  <c r="AA183" i="9"/>
  <c r="AB183" i="9"/>
  <c r="AC183" i="9"/>
  <c r="AM183" i="9"/>
  <c r="AN183" i="9"/>
  <c r="AO183" i="9"/>
  <c r="AP183" i="9"/>
  <c r="AB184" i="9"/>
  <c r="AA184" i="9"/>
  <c r="AC184" i="9"/>
  <c r="Y184" i="9"/>
  <c r="Z184" i="9" s="1"/>
  <c r="AM184" i="9"/>
  <c r="AN184" i="9"/>
  <c r="AO184" i="9"/>
  <c r="AP184" i="9"/>
  <c r="Y185" i="9"/>
  <c r="AA185" i="9"/>
  <c r="AB185" i="9"/>
  <c r="AC185" i="9"/>
  <c r="AM185" i="9"/>
  <c r="AN185" i="9"/>
  <c r="AO185" i="9"/>
  <c r="AP185" i="9"/>
  <c r="Y186" i="9"/>
  <c r="AB186" i="9"/>
  <c r="AC186" i="9"/>
  <c r="AB187" i="9"/>
  <c r="AA187" i="9"/>
  <c r="AC187" i="9"/>
  <c r="Y187" i="9"/>
  <c r="Z187" i="9" s="1"/>
  <c r="AM187" i="9"/>
  <c r="AN187" i="9"/>
  <c r="AO187" i="9"/>
  <c r="AP187" i="9"/>
  <c r="Y188" i="9"/>
  <c r="AA188" i="9"/>
  <c r="AB188" i="9"/>
  <c r="AC188" i="9"/>
  <c r="AM188" i="9"/>
  <c r="AN188" i="9"/>
  <c r="AO188" i="9"/>
  <c r="AP188" i="9"/>
  <c r="Y189" i="9"/>
  <c r="AA189" i="9"/>
  <c r="AB189" i="9"/>
  <c r="AC189" i="9"/>
  <c r="AM189" i="9"/>
  <c r="AN189" i="9"/>
  <c r="AO189" i="9"/>
  <c r="AP189" i="9"/>
  <c r="AB190" i="9"/>
  <c r="AA190" i="9"/>
  <c r="AC190" i="9"/>
  <c r="Y190" i="9"/>
  <c r="Z190" i="9" s="1"/>
  <c r="AM190" i="9"/>
  <c r="AN190" i="9"/>
  <c r="AO190" i="9"/>
  <c r="AP190" i="9"/>
  <c r="Y191" i="9"/>
  <c r="AA191" i="9"/>
  <c r="AB191" i="9"/>
  <c r="AC191" i="9"/>
  <c r="AM191" i="9"/>
  <c r="AN191" i="9"/>
  <c r="AO191" i="9"/>
  <c r="AP191" i="9"/>
  <c r="Y192" i="9"/>
  <c r="AA192" i="9"/>
  <c r="AB192" i="9"/>
  <c r="AC192" i="9"/>
  <c r="AM192" i="9"/>
  <c r="AN192" i="9"/>
  <c r="AO192" i="9"/>
  <c r="AP192" i="9"/>
  <c r="AB193" i="9"/>
  <c r="AA193" i="9"/>
  <c r="AC193" i="9"/>
  <c r="Y193" i="9"/>
  <c r="AM193" i="9"/>
  <c r="AN193" i="9"/>
  <c r="AO193" i="9"/>
  <c r="AP193" i="9"/>
  <c r="Y194" i="9"/>
  <c r="AB194" i="9"/>
  <c r="AC194" i="9"/>
  <c r="Y195" i="9"/>
  <c r="AA195" i="9"/>
  <c r="AB195" i="9"/>
  <c r="AC195" i="9"/>
  <c r="AM195" i="9"/>
  <c r="AN195" i="9"/>
  <c r="AO195" i="9"/>
  <c r="AP195" i="9"/>
  <c r="AB196" i="9"/>
  <c r="AA196" i="9"/>
  <c r="AC196" i="9"/>
  <c r="Y196" i="9"/>
  <c r="AM196" i="9"/>
  <c r="AN196" i="9"/>
  <c r="AO196" i="9"/>
  <c r="AP196" i="9"/>
  <c r="Y197" i="9"/>
  <c r="AA197" i="9"/>
  <c r="AB197" i="9"/>
  <c r="AC197" i="9"/>
  <c r="AM197" i="9"/>
  <c r="AN197" i="9"/>
  <c r="AO197" i="9"/>
  <c r="AP197" i="9"/>
  <c r="Y198" i="9"/>
  <c r="Z198" i="9" s="1"/>
  <c r="AB198" i="9"/>
  <c r="AC198" i="9"/>
  <c r="AB199" i="9"/>
  <c r="AA199" i="9"/>
  <c r="AC199" i="9"/>
  <c r="Y199" i="9"/>
  <c r="AM199" i="9"/>
  <c r="AN199" i="9"/>
  <c r="AO199" i="9"/>
  <c r="AP199" i="9"/>
  <c r="Y200" i="9"/>
  <c r="AA200" i="9"/>
  <c r="AB200" i="9"/>
  <c r="AC200" i="9"/>
  <c r="AM200" i="9"/>
  <c r="AN200" i="9"/>
  <c r="AO200" i="9"/>
  <c r="AP200" i="9"/>
  <c r="Y201" i="9"/>
  <c r="Z201" i="9" s="1"/>
  <c r="AA201" i="9"/>
  <c r="AB201" i="9"/>
  <c r="AC201" i="9"/>
  <c r="AM201" i="9"/>
  <c r="AN201" i="9"/>
  <c r="AO201" i="9"/>
  <c r="AP201" i="9"/>
  <c r="AB202" i="9"/>
  <c r="AA202" i="9"/>
  <c r="AC202" i="9"/>
  <c r="Y202" i="9"/>
  <c r="AM202" i="9"/>
  <c r="AN202" i="9"/>
  <c r="AO202" i="9"/>
  <c r="AP202" i="9"/>
  <c r="Y203" i="9"/>
  <c r="AA203" i="9"/>
  <c r="AB203" i="9"/>
  <c r="AC203" i="9"/>
  <c r="AM203" i="9"/>
  <c r="AN203" i="9"/>
  <c r="AO203" i="9"/>
  <c r="AP203" i="9"/>
  <c r="Y204" i="9"/>
  <c r="Z204" i="9" s="1"/>
  <c r="AA204" i="9"/>
  <c r="AB204" i="9"/>
  <c r="AC204" i="9"/>
  <c r="AM204" i="9"/>
  <c r="AN204" i="9"/>
  <c r="AO204" i="9"/>
  <c r="AP204" i="9"/>
  <c r="AB205" i="9"/>
  <c r="AA205" i="9"/>
  <c r="AC205" i="9"/>
  <c r="Y205" i="9"/>
  <c r="Z205" i="9" s="1"/>
  <c r="AM205" i="9"/>
  <c r="AN205" i="9"/>
  <c r="AO205" i="9"/>
  <c r="AP205" i="9"/>
  <c r="Y206" i="9"/>
  <c r="Z206" i="9" s="1"/>
  <c r="AB206" i="9"/>
  <c r="AC206" i="9"/>
  <c r="Y207" i="9"/>
  <c r="Z207" i="9" s="1"/>
  <c r="AA207" i="9"/>
  <c r="AB207" i="9"/>
  <c r="AC207" i="9"/>
  <c r="AM207" i="9"/>
  <c r="AN207" i="9"/>
  <c r="AO207" i="9"/>
  <c r="AP207" i="9"/>
  <c r="AB208" i="9"/>
  <c r="AA208" i="9"/>
  <c r="AC208" i="9"/>
  <c r="Y208" i="9"/>
  <c r="AM208" i="9"/>
  <c r="AN208" i="9"/>
  <c r="AO208" i="9"/>
  <c r="AP208" i="9"/>
  <c r="Y209" i="9"/>
  <c r="Z209" i="9" s="1"/>
  <c r="AA209" i="9"/>
  <c r="AB209" i="9"/>
  <c r="AC209" i="9"/>
  <c r="AM209" i="9"/>
  <c r="AN209" i="9"/>
  <c r="AO209" i="9"/>
  <c r="AP209" i="9"/>
  <c r="Y210" i="9"/>
  <c r="AB210" i="9"/>
  <c r="AC210" i="9"/>
  <c r="AB211" i="9"/>
  <c r="AA211" i="9"/>
  <c r="AC211" i="9"/>
  <c r="Y211" i="9"/>
  <c r="AM211" i="9"/>
  <c r="AN211" i="9"/>
  <c r="AO211" i="9"/>
  <c r="AP211" i="9"/>
  <c r="Y212" i="9"/>
  <c r="AA212" i="9"/>
  <c r="AB212" i="9"/>
  <c r="AC212" i="9"/>
  <c r="AM212" i="9"/>
  <c r="AN212" i="9"/>
  <c r="AO212" i="9"/>
  <c r="AP212" i="9"/>
  <c r="Y213" i="9"/>
  <c r="AA213" i="9"/>
  <c r="AB213" i="9"/>
  <c r="AC213" i="9"/>
  <c r="AM213" i="9"/>
  <c r="AN213" i="9"/>
  <c r="AO213" i="9"/>
  <c r="AP213" i="9"/>
  <c r="AB214" i="9"/>
  <c r="AA214" i="9"/>
  <c r="AC214" i="9"/>
  <c r="Y214" i="9"/>
  <c r="AM214" i="9"/>
  <c r="AN214" i="9"/>
  <c r="AO214" i="9"/>
  <c r="AP214" i="9"/>
  <c r="Y215" i="9"/>
  <c r="AA215" i="9"/>
  <c r="AB215" i="9"/>
  <c r="AC215" i="9"/>
  <c r="AM215" i="9"/>
  <c r="AN215" i="9"/>
  <c r="AO215" i="9"/>
  <c r="AP215" i="9"/>
  <c r="Y216" i="9"/>
  <c r="AA216" i="9"/>
  <c r="AB216" i="9"/>
  <c r="AC216" i="9"/>
  <c r="AM216" i="9"/>
  <c r="AN216" i="9"/>
  <c r="AO216" i="9"/>
  <c r="AP216" i="9"/>
  <c r="AB217" i="9"/>
  <c r="AA217" i="9"/>
  <c r="AC217" i="9"/>
  <c r="Y217" i="9"/>
  <c r="Z217" i="9" s="1"/>
  <c r="AM217" i="9"/>
  <c r="AN217" i="9"/>
  <c r="AO217" i="9"/>
  <c r="AP217" i="9"/>
  <c r="Y218" i="9"/>
  <c r="AB218" i="9"/>
  <c r="AC218" i="9"/>
  <c r="Y219" i="9"/>
  <c r="AA219" i="9"/>
  <c r="AB219" i="9"/>
  <c r="AC219" i="9"/>
  <c r="AM219" i="9"/>
  <c r="AN219" i="9"/>
  <c r="AO219" i="9"/>
  <c r="AP219" i="9"/>
  <c r="AB220" i="9"/>
  <c r="AA220" i="9"/>
  <c r="AC220" i="9"/>
  <c r="Y220" i="9"/>
  <c r="Z220" i="9" s="1"/>
  <c r="AM220" i="9"/>
  <c r="AN220" i="9"/>
  <c r="AO220" i="9"/>
  <c r="AP220" i="9"/>
  <c r="Y221" i="9"/>
  <c r="Z221" i="9" s="1"/>
  <c r="AA221" i="9"/>
  <c r="AB221" i="9"/>
  <c r="AC221" i="9"/>
  <c r="AM221" i="9"/>
  <c r="AN221" i="9"/>
  <c r="AO221" i="9"/>
  <c r="AP221" i="9"/>
  <c r="Y222" i="9"/>
  <c r="AB222" i="9"/>
  <c r="AC222" i="9"/>
  <c r="AB223" i="9"/>
  <c r="AA223" i="9"/>
  <c r="AC223" i="9"/>
  <c r="Y223" i="9"/>
  <c r="Z223" i="9" s="1"/>
  <c r="AM223" i="9"/>
  <c r="AN223" i="9"/>
  <c r="AO223" i="9"/>
  <c r="AP223" i="9"/>
  <c r="Y224" i="9"/>
  <c r="Z224" i="9" s="1"/>
  <c r="AA224" i="9"/>
  <c r="AB224" i="9"/>
  <c r="AC224" i="9"/>
  <c r="AM224" i="9"/>
  <c r="AN224" i="9"/>
  <c r="AO224" i="9"/>
  <c r="AP224" i="9"/>
  <c r="Y225" i="9"/>
  <c r="AA225" i="9"/>
  <c r="AB225" i="9"/>
  <c r="AC225" i="9"/>
  <c r="AM225" i="9"/>
  <c r="AN225" i="9"/>
  <c r="AO225" i="9"/>
  <c r="AP225" i="9"/>
  <c r="AB226" i="9"/>
  <c r="AA226" i="9"/>
  <c r="AC226" i="9"/>
  <c r="Y226" i="9"/>
  <c r="Z226" i="9" s="1"/>
  <c r="AM226" i="9"/>
  <c r="AN226" i="9"/>
  <c r="AO226" i="9"/>
  <c r="AP226" i="9"/>
  <c r="Y227" i="9"/>
  <c r="AA227" i="9"/>
  <c r="AB227" i="9"/>
  <c r="AC227" i="9"/>
  <c r="AM227" i="9"/>
  <c r="AN227" i="9"/>
  <c r="AO227" i="9"/>
  <c r="AP227" i="9"/>
  <c r="Y228" i="9"/>
  <c r="AA228" i="9"/>
  <c r="AB228" i="9"/>
  <c r="AC228" i="9"/>
  <c r="AM228" i="9"/>
  <c r="AN228" i="9"/>
  <c r="AO228" i="9"/>
  <c r="AP228" i="9"/>
  <c r="AB229" i="9"/>
  <c r="AA229" i="9"/>
  <c r="AC229" i="9"/>
  <c r="Y229" i="9"/>
  <c r="AM229" i="9"/>
  <c r="AN229" i="9"/>
  <c r="AO229" i="9"/>
  <c r="AP229" i="9"/>
  <c r="Y230" i="9"/>
  <c r="AB230" i="9"/>
  <c r="AC230" i="9"/>
  <c r="Y231" i="9"/>
  <c r="AA231" i="9"/>
  <c r="AB231" i="9"/>
  <c r="AC231" i="9"/>
  <c r="AM231" i="9"/>
  <c r="AN231" i="9"/>
  <c r="AO231" i="9"/>
  <c r="AP231" i="9"/>
  <c r="AB232" i="9"/>
  <c r="AA232" i="9"/>
  <c r="AC232" i="9"/>
  <c r="Y232" i="9"/>
  <c r="AM232" i="9"/>
  <c r="AN232" i="9"/>
  <c r="AO232" i="9"/>
  <c r="AP232" i="9"/>
  <c r="Y233" i="9"/>
  <c r="AA233" i="9"/>
  <c r="AB233" i="9"/>
  <c r="AC233" i="9"/>
  <c r="AM233" i="9"/>
  <c r="AN233" i="9"/>
  <c r="AO233" i="9"/>
  <c r="AP233" i="9"/>
  <c r="Y234" i="9"/>
  <c r="AB234" i="9"/>
  <c r="AC234" i="9"/>
  <c r="AB235" i="9"/>
  <c r="AA235" i="9"/>
  <c r="AC235" i="9"/>
  <c r="Y235" i="9"/>
  <c r="Z235" i="9" s="1"/>
  <c r="AM235" i="9"/>
  <c r="AN235" i="9"/>
  <c r="AO235" i="9"/>
  <c r="AP235" i="9"/>
  <c r="Y236" i="9"/>
  <c r="AA236" i="9"/>
  <c r="AB236" i="9"/>
  <c r="AC236" i="9"/>
  <c r="AM236" i="9"/>
  <c r="AN236" i="9"/>
  <c r="AO236" i="9"/>
  <c r="AP236" i="9"/>
  <c r="Y237" i="9"/>
  <c r="Z237" i="9" s="1"/>
  <c r="AA237" i="9"/>
  <c r="AB237" i="9"/>
  <c r="AC237" i="9"/>
  <c r="AM237" i="9"/>
  <c r="AN237" i="9"/>
  <c r="AO237" i="9"/>
  <c r="AP237" i="9"/>
  <c r="AB238" i="9"/>
  <c r="AA238" i="9"/>
  <c r="AC238" i="9"/>
  <c r="Y238" i="9"/>
  <c r="AM238" i="9"/>
  <c r="AN238" i="9"/>
  <c r="AO238" i="9"/>
  <c r="AP238" i="9"/>
  <c r="Y239" i="9"/>
  <c r="AA239" i="9"/>
  <c r="AB239" i="9"/>
  <c r="AC239" i="9"/>
  <c r="AM239" i="9"/>
  <c r="AN239" i="9"/>
  <c r="AO239" i="9"/>
  <c r="AP239" i="9"/>
  <c r="Y240" i="9"/>
  <c r="Z240" i="9" s="1"/>
  <c r="AA240" i="9"/>
  <c r="AB240" i="9"/>
  <c r="AC240" i="9"/>
  <c r="AM240" i="9"/>
  <c r="AN240" i="9"/>
  <c r="AO240" i="9"/>
  <c r="AP240" i="9"/>
  <c r="AB241" i="9"/>
  <c r="AA241" i="9"/>
  <c r="AC241" i="9"/>
  <c r="Y241" i="9"/>
  <c r="AM241" i="9"/>
  <c r="AN241" i="9"/>
  <c r="AO241" i="9"/>
  <c r="AP241" i="9"/>
  <c r="Y242" i="9"/>
  <c r="Z242" i="9" s="1"/>
  <c r="AB242" i="9"/>
  <c r="AC242" i="9"/>
  <c r="Y243" i="9"/>
  <c r="Z243" i="9" s="1"/>
  <c r="AA243" i="9"/>
  <c r="AB243" i="9"/>
  <c r="AC243" i="9"/>
  <c r="AM243" i="9"/>
  <c r="AN243" i="9"/>
  <c r="AO243" i="9"/>
  <c r="AP243" i="9"/>
  <c r="AB244" i="9"/>
  <c r="AA244" i="9"/>
  <c r="AC244" i="9"/>
  <c r="Y244" i="9"/>
  <c r="AM244" i="9"/>
  <c r="AN244" i="9"/>
  <c r="AO244" i="9"/>
  <c r="AP244" i="9"/>
  <c r="Y245" i="9"/>
  <c r="Z245" i="9" s="1"/>
  <c r="AA245" i="9"/>
  <c r="AB245" i="9"/>
  <c r="AC245" i="9"/>
  <c r="AM245" i="9"/>
  <c r="AN245" i="9"/>
  <c r="AO245" i="9"/>
  <c r="AP245" i="9"/>
  <c r="Y246" i="9"/>
  <c r="Z246" i="9" s="1"/>
  <c r="AB246" i="9"/>
  <c r="AC246" i="9"/>
  <c r="AB247" i="9"/>
  <c r="AA247" i="9"/>
  <c r="AC247" i="9"/>
  <c r="Y247" i="9"/>
  <c r="AM247" i="9"/>
  <c r="AN247" i="9"/>
  <c r="AO247" i="9"/>
  <c r="AP247" i="9"/>
  <c r="Y248" i="9"/>
  <c r="AA248" i="9"/>
  <c r="AB248" i="9"/>
  <c r="AC248" i="9"/>
  <c r="AM248" i="9"/>
  <c r="AN248" i="9"/>
  <c r="AO248" i="9"/>
  <c r="AP248" i="9"/>
  <c r="Y249" i="9"/>
  <c r="Z249" i="9" s="1"/>
  <c r="AA249" i="9"/>
  <c r="AB249" i="9"/>
  <c r="AC249" i="9"/>
  <c r="AM249" i="9"/>
  <c r="AN249" i="9"/>
  <c r="AO249" i="9"/>
  <c r="AP249" i="9"/>
  <c r="AB250" i="9"/>
  <c r="AA250" i="9"/>
  <c r="AC250" i="9"/>
  <c r="Y250" i="9"/>
  <c r="AM250" i="9"/>
  <c r="AN250" i="9"/>
  <c r="AO250" i="9"/>
  <c r="AP250" i="9"/>
  <c r="Y251" i="9"/>
  <c r="AA251" i="9"/>
  <c r="AB251" i="9"/>
  <c r="AC251" i="9"/>
  <c r="AM251" i="9"/>
  <c r="AN251" i="9"/>
  <c r="AO251" i="9"/>
  <c r="AP251" i="9"/>
  <c r="Y252" i="9"/>
  <c r="AA252" i="9"/>
  <c r="AB252" i="9"/>
  <c r="AC252" i="9"/>
  <c r="AM252" i="9"/>
  <c r="AN252" i="9"/>
  <c r="AO252" i="9"/>
  <c r="AP252" i="9"/>
  <c r="AB253" i="9"/>
  <c r="AA253" i="9"/>
  <c r="AC253" i="9"/>
  <c r="Y253" i="9"/>
  <c r="AM253" i="9"/>
  <c r="AN253" i="9"/>
  <c r="AO253" i="9"/>
  <c r="AP253" i="9"/>
  <c r="Y254" i="9"/>
  <c r="Z254" i="9" s="1"/>
  <c r="AB254" i="9"/>
  <c r="AC254" i="9"/>
  <c r="Y255" i="9"/>
  <c r="AA255" i="9"/>
  <c r="AB255" i="9"/>
  <c r="AC255" i="9"/>
  <c r="AM255" i="9"/>
  <c r="AN255" i="9"/>
  <c r="AO255" i="9"/>
  <c r="AP255" i="9"/>
  <c r="AB256" i="9"/>
  <c r="AA256" i="9"/>
  <c r="AC256" i="9"/>
  <c r="Y256" i="9"/>
  <c r="AM256" i="9"/>
  <c r="AN256" i="9"/>
  <c r="AO256" i="9"/>
  <c r="AP256" i="9"/>
  <c r="Y257" i="9"/>
  <c r="Z257" i="9" s="1"/>
  <c r="AA257" i="9"/>
  <c r="AB257" i="9"/>
  <c r="AC257" i="9"/>
  <c r="AM257" i="9"/>
  <c r="AN257" i="9"/>
  <c r="AO257" i="9"/>
  <c r="AP257" i="9"/>
  <c r="Y258" i="9"/>
  <c r="AB258" i="9"/>
  <c r="AC258" i="9"/>
  <c r="AB259" i="9"/>
  <c r="AA259" i="9"/>
  <c r="AC259" i="9"/>
  <c r="Y259" i="9"/>
  <c r="Z259" i="9" s="1"/>
  <c r="AM259" i="9"/>
  <c r="AN259" i="9"/>
  <c r="AO259" i="9"/>
  <c r="AP259" i="9"/>
  <c r="Y260" i="9"/>
  <c r="Z260" i="9" s="1"/>
  <c r="AA260" i="9"/>
  <c r="AB260" i="9"/>
  <c r="AC260" i="9"/>
  <c r="AM260" i="9"/>
  <c r="AN260" i="9"/>
  <c r="AO260" i="9"/>
  <c r="AP260" i="9"/>
  <c r="Y261" i="9"/>
  <c r="AA261" i="9"/>
  <c r="AB261" i="9"/>
  <c r="AC261" i="9"/>
  <c r="AM261" i="9"/>
  <c r="AN261" i="9"/>
  <c r="AO261" i="9"/>
  <c r="AP261" i="9"/>
  <c r="AB262" i="9"/>
  <c r="AA262" i="9"/>
  <c r="AC262" i="9"/>
  <c r="Y262" i="9"/>
  <c r="Z262" i="9" s="1"/>
  <c r="AM262" i="9"/>
  <c r="AN262" i="9"/>
  <c r="AO262" i="9"/>
  <c r="AP262" i="9"/>
  <c r="Y263" i="9"/>
  <c r="AA263" i="9"/>
  <c r="AB263" i="9"/>
  <c r="AC263" i="9"/>
  <c r="AM263" i="9"/>
  <c r="AN263" i="9"/>
  <c r="AO263" i="9"/>
  <c r="AP263" i="9"/>
  <c r="Y264" i="9"/>
  <c r="AA264" i="9"/>
  <c r="AB264" i="9"/>
  <c r="AC264" i="9"/>
  <c r="AM264" i="9"/>
  <c r="AN264" i="9"/>
  <c r="AO264" i="9"/>
  <c r="AP264" i="9"/>
  <c r="AB265" i="9"/>
  <c r="AA265" i="9"/>
  <c r="AC265" i="9"/>
  <c r="Y265" i="9"/>
  <c r="Z265" i="9" s="1"/>
  <c r="AM265" i="9"/>
  <c r="AN265" i="9"/>
  <c r="AO265" i="9"/>
  <c r="AP265" i="9"/>
  <c r="Y266" i="9"/>
  <c r="AA266" i="9"/>
  <c r="AB266" i="9"/>
  <c r="AC266" i="9"/>
  <c r="Y267" i="9"/>
  <c r="AA267" i="9"/>
  <c r="AB267" i="9"/>
  <c r="AC267" i="9"/>
  <c r="AM267" i="9"/>
  <c r="AN267" i="9"/>
  <c r="AO267" i="9"/>
  <c r="AP267" i="9"/>
  <c r="AB268" i="9"/>
  <c r="AA268" i="9"/>
  <c r="AC268" i="9"/>
  <c r="Y268" i="9"/>
  <c r="Z268" i="9" s="1"/>
  <c r="AM268" i="9"/>
  <c r="AN268" i="9"/>
  <c r="AO268" i="9"/>
  <c r="AP268" i="9"/>
  <c r="Y269" i="9"/>
  <c r="AA269" i="9"/>
  <c r="AB269" i="9"/>
  <c r="AC269" i="9"/>
  <c r="AM269" i="9"/>
  <c r="AN269" i="9"/>
  <c r="AO269" i="9"/>
  <c r="AP269" i="9"/>
  <c r="Y270" i="9"/>
  <c r="AA270" i="9"/>
  <c r="AB270" i="9"/>
  <c r="AC270" i="9"/>
  <c r="AB271" i="9"/>
  <c r="AA271" i="9"/>
  <c r="AC271" i="9"/>
  <c r="Y271" i="9"/>
  <c r="Z271" i="9" s="1"/>
  <c r="AM271" i="9"/>
  <c r="AN271" i="9"/>
  <c r="AO271" i="9"/>
  <c r="AP271" i="9"/>
  <c r="Y272" i="9"/>
  <c r="AA272" i="9"/>
  <c r="AB272" i="9"/>
  <c r="AC272" i="9"/>
  <c r="AM272" i="9"/>
  <c r="AN272" i="9"/>
  <c r="AO272" i="9"/>
  <c r="AP272" i="9"/>
  <c r="Y273" i="9"/>
  <c r="AA273" i="9"/>
  <c r="AB273" i="9"/>
  <c r="AC273" i="9"/>
  <c r="AM273" i="9"/>
  <c r="AN273" i="9"/>
  <c r="AO273" i="9"/>
  <c r="AP273" i="9"/>
  <c r="AB274" i="9"/>
  <c r="AA274" i="9"/>
  <c r="AC274" i="9"/>
  <c r="Y274" i="9"/>
  <c r="AM274" i="9"/>
  <c r="AN274" i="9"/>
  <c r="AO274" i="9"/>
  <c r="AP274" i="9"/>
  <c r="Y275" i="9"/>
  <c r="AA275" i="9"/>
  <c r="AB275" i="9"/>
  <c r="AC275" i="9"/>
  <c r="AM275" i="9"/>
  <c r="AN275" i="9"/>
  <c r="AO275" i="9"/>
  <c r="AP275" i="9"/>
  <c r="Y276" i="9"/>
  <c r="AA276" i="9"/>
  <c r="AB276" i="9"/>
  <c r="AC276" i="9"/>
  <c r="AM276" i="9"/>
  <c r="AN276" i="9"/>
  <c r="AO276" i="9"/>
  <c r="AP276" i="9"/>
  <c r="AB277" i="9"/>
  <c r="AA277" i="9"/>
  <c r="AC277" i="9"/>
  <c r="Y277" i="9"/>
  <c r="AM277" i="9"/>
  <c r="AN277" i="9"/>
  <c r="AO277" i="9"/>
  <c r="AP277" i="9"/>
  <c r="Y278" i="9"/>
  <c r="Z278" i="9" s="1"/>
  <c r="AA278" i="9"/>
  <c r="AD278" i="9" s="1"/>
  <c r="AB278" i="9"/>
  <c r="AC278" i="9"/>
  <c r="Y279" i="9"/>
  <c r="Z279" i="9" s="1"/>
  <c r="AA279" i="9"/>
  <c r="AB279" i="9"/>
  <c r="AC279" i="9"/>
  <c r="AM279" i="9"/>
  <c r="AN279" i="9"/>
  <c r="AO279" i="9"/>
  <c r="AP279" i="9"/>
  <c r="AB280" i="9"/>
  <c r="AA280" i="9"/>
  <c r="AC280" i="9"/>
  <c r="Y280" i="9"/>
  <c r="AM280" i="9"/>
  <c r="AN280" i="9"/>
  <c r="AO280" i="9"/>
  <c r="AP280" i="9"/>
  <c r="Y281" i="9"/>
  <c r="Z281" i="9" s="1"/>
  <c r="AA281" i="9"/>
  <c r="AB281" i="9"/>
  <c r="AC281" i="9"/>
  <c r="AM281" i="9"/>
  <c r="AN281" i="9"/>
  <c r="AO281" i="9"/>
  <c r="AP281" i="9"/>
  <c r="Y282" i="9"/>
  <c r="AA282" i="9"/>
  <c r="AB282" i="9"/>
  <c r="AC282" i="9"/>
  <c r="AB283" i="9"/>
  <c r="AA283" i="9"/>
  <c r="AC283" i="9"/>
  <c r="Y283" i="9"/>
  <c r="AM283" i="9"/>
  <c r="AN283" i="9"/>
  <c r="AO283" i="9"/>
  <c r="AP283" i="9"/>
  <c r="Y284" i="9"/>
  <c r="Z284" i="9" s="1"/>
  <c r="AA284" i="9"/>
  <c r="AB284" i="9"/>
  <c r="AC284" i="9"/>
  <c r="AM284" i="9"/>
  <c r="AN284" i="9"/>
  <c r="AO284" i="9"/>
  <c r="AP284" i="9"/>
  <c r="Y285" i="9"/>
  <c r="AA285" i="9"/>
  <c r="AB285" i="9"/>
  <c r="AC285" i="9"/>
  <c r="AM285" i="9"/>
  <c r="AN285" i="9"/>
  <c r="AO285" i="9"/>
  <c r="AP285" i="9"/>
  <c r="AB286" i="9"/>
  <c r="AA286" i="9"/>
  <c r="AC286" i="9"/>
  <c r="Y286" i="9"/>
  <c r="AM286" i="9"/>
  <c r="AN286" i="9"/>
  <c r="AO286" i="9"/>
  <c r="AP286" i="9"/>
  <c r="Y287" i="9"/>
  <c r="Z287" i="9" s="1"/>
  <c r="AA287" i="9"/>
  <c r="AB287" i="9"/>
  <c r="AC287" i="9"/>
  <c r="AM287" i="9"/>
  <c r="AN287" i="9"/>
  <c r="AO287" i="9"/>
  <c r="AP287" i="9"/>
  <c r="Y288" i="9"/>
  <c r="AA288" i="9"/>
  <c r="AB288" i="9"/>
  <c r="AC288" i="9"/>
  <c r="AM288" i="9"/>
  <c r="AN288" i="9"/>
  <c r="AO288" i="9"/>
  <c r="AP288" i="9"/>
  <c r="AB289" i="9"/>
  <c r="AA289" i="9"/>
  <c r="AC289" i="9"/>
  <c r="Y289" i="9"/>
  <c r="Z289" i="9" s="1"/>
  <c r="AM289" i="9"/>
  <c r="AN289" i="9"/>
  <c r="AO289" i="9"/>
  <c r="AP289" i="9"/>
  <c r="Y290" i="9"/>
  <c r="AA290" i="9"/>
  <c r="AB290" i="9"/>
  <c r="AC290" i="9"/>
  <c r="Y291" i="9"/>
  <c r="AA291" i="9"/>
  <c r="AB291" i="9"/>
  <c r="AC291" i="9"/>
  <c r="AM291" i="9"/>
  <c r="AN291" i="9"/>
  <c r="AO291" i="9"/>
  <c r="AP291" i="9"/>
  <c r="AB292" i="9"/>
  <c r="AA292" i="9"/>
  <c r="AC292" i="9"/>
  <c r="Y292" i="9"/>
  <c r="AM292" i="9"/>
  <c r="AN292" i="9"/>
  <c r="AO292" i="9"/>
  <c r="AP292" i="9"/>
  <c r="Y293" i="9"/>
  <c r="AA293" i="9"/>
  <c r="AB293" i="9"/>
  <c r="AC293" i="9"/>
  <c r="AM293" i="9"/>
  <c r="AN293" i="9"/>
  <c r="AO293" i="9"/>
  <c r="AP293" i="9"/>
  <c r="Y294" i="9"/>
  <c r="AA294" i="9"/>
  <c r="AD294" i="9" s="1"/>
  <c r="AB294" i="9"/>
  <c r="AC294" i="9"/>
  <c r="AB295" i="9"/>
  <c r="AA295" i="9"/>
  <c r="AC295" i="9"/>
  <c r="Y295" i="9"/>
  <c r="AM295" i="9"/>
  <c r="AN295" i="9"/>
  <c r="AO295" i="9"/>
  <c r="AP295" i="9"/>
  <c r="Y296" i="9"/>
  <c r="AA296" i="9"/>
  <c r="AB296" i="9"/>
  <c r="AC296" i="9"/>
  <c r="AM296" i="9"/>
  <c r="AN296" i="9"/>
  <c r="AO296" i="9"/>
  <c r="AP296" i="9"/>
  <c r="Y297" i="9"/>
  <c r="AA297" i="9"/>
  <c r="AB297" i="9"/>
  <c r="AC297" i="9"/>
  <c r="AM297" i="9"/>
  <c r="AN297" i="9"/>
  <c r="AO297" i="9"/>
  <c r="AP297" i="9"/>
  <c r="AB298" i="9"/>
  <c r="AA298" i="9"/>
  <c r="AC298" i="9"/>
  <c r="Y298" i="9"/>
  <c r="Z298" i="9" s="1"/>
  <c r="AM298" i="9"/>
  <c r="AN298" i="9"/>
  <c r="AO298" i="9"/>
  <c r="AP298" i="9"/>
  <c r="Y299" i="9"/>
  <c r="AA299" i="9"/>
  <c r="AB299" i="9"/>
  <c r="AC299" i="9"/>
  <c r="AM299" i="9"/>
  <c r="AN299" i="9"/>
  <c r="AO299" i="9"/>
  <c r="AP299" i="9"/>
  <c r="Y300" i="9"/>
  <c r="Z300" i="9" s="1"/>
  <c r="AA300" i="9"/>
  <c r="AB300" i="9"/>
  <c r="AC300" i="9"/>
  <c r="AM300" i="9"/>
  <c r="AN300" i="9"/>
  <c r="AO300" i="9"/>
  <c r="AP300" i="9"/>
  <c r="AB301" i="9"/>
  <c r="AA301" i="9"/>
  <c r="AC301" i="9"/>
  <c r="Y301" i="9"/>
  <c r="AM301" i="9"/>
  <c r="AN301" i="9"/>
  <c r="AO301" i="9"/>
  <c r="AP301" i="9"/>
  <c r="Y302" i="9"/>
  <c r="AA302" i="9"/>
  <c r="AB302" i="9"/>
  <c r="AC302" i="9"/>
  <c r="Y303" i="9"/>
  <c r="Z303" i="9" s="1"/>
  <c r="AA303" i="9"/>
  <c r="AB303" i="9"/>
  <c r="AC303" i="9"/>
  <c r="AM303" i="9"/>
  <c r="AN303" i="9"/>
  <c r="AO303" i="9"/>
  <c r="AP303" i="9"/>
  <c r="AB304" i="9"/>
  <c r="AA304" i="9"/>
  <c r="AC304" i="9"/>
  <c r="Y304" i="9"/>
  <c r="AM304" i="9"/>
  <c r="AN304" i="9"/>
  <c r="AO304" i="9"/>
  <c r="AP304" i="9"/>
  <c r="Y305" i="9"/>
  <c r="AA305" i="9"/>
  <c r="AB305" i="9"/>
  <c r="AC305" i="9"/>
  <c r="AM305" i="9"/>
  <c r="AN305" i="9"/>
  <c r="AO305" i="9"/>
  <c r="AP305" i="9"/>
  <c r="Y306" i="9"/>
  <c r="Z306" i="9" s="1"/>
  <c r="AA306" i="9"/>
  <c r="AD306" i="9" s="1"/>
  <c r="AB306" i="9"/>
  <c r="AC306" i="9"/>
  <c r="AB307" i="9"/>
  <c r="AA307" i="9"/>
  <c r="AC307" i="9"/>
  <c r="Y307" i="9"/>
  <c r="AM307" i="9"/>
  <c r="AN307" i="9"/>
  <c r="AO307" i="9"/>
  <c r="AP307" i="9"/>
  <c r="Y308" i="9"/>
  <c r="AA308" i="9"/>
  <c r="AB308" i="9"/>
  <c r="AC308" i="9"/>
  <c r="AM308" i="9"/>
  <c r="AN308" i="9"/>
  <c r="AO308" i="9"/>
  <c r="AP308" i="9"/>
  <c r="Y309" i="9"/>
  <c r="Z309" i="9" s="1"/>
  <c r="AA309" i="9"/>
  <c r="AB309" i="9"/>
  <c r="AC309" i="9"/>
  <c r="AM309" i="9"/>
  <c r="AN309" i="9"/>
  <c r="AO309" i="9"/>
  <c r="AP309" i="9"/>
  <c r="AB310" i="9"/>
  <c r="AA310" i="9"/>
  <c r="AC310" i="9"/>
  <c r="Y310" i="9"/>
  <c r="AM310" i="9"/>
  <c r="AN310" i="9"/>
  <c r="AO310" i="9"/>
  <c r="AP310" i="9"/>
  <c r="Y311" i="9"/>
  <c r="AA311" i="9"/>
  <c r="AB311" i="9"/>
  <c r="AC311" i="9"/>
  <c r="AM311" i="9"/>
  <c r="AN311" i="9"/>
  <c r="AO311" i="9"/>
  <c r="AP311" i="9"/>
  <c r="Y312" i="9"/>
  <c r="AA312" i="9"/>
  <c r="AB312" i="9"/>
  <c r="AC312" i="9"/>
  <c r="AM312" i="9"/>
  <c r="AN312" i="9"/>
  <c r="AO312" i="9"/>
  <c r="AP312" i="9"/>
  <c r="AB313" i="9"/>
  <c r="AA313" i="9"/>
  <c r="AC313" i="9"/>
  <c r="Y313" i="9"/>
  <c r="AM313" i="9"/>
  <c r="AN313" i="9"/>
  <c r="AO313" i="9"/>
  <c r="AP313" i="9"/>
  <c r="Y314" i="9"/>
  <c r="AA314" i="9"/>
  <c r="AB314" i="9"/>
  <c r="AC314" i="9"/>
  <c r="Y315" i="9"/>
  <c r="AA315" i="9"/>
  <c r="AB315" i="9"/>
  <c r="AC315" i="9"/>
  <c r="AM315" i="9"/>
  <c r="AN315" i="9"/>
  <c r="AO315" i="9"/>
  <c r="AP315" i="9"/>
  <c r="AB316" i="9"/>
  <c r="AA316" i="9"/>
  <c r="AC316" i="9"/>
  <c r="Y316" i="9"/>
  <c r="AM316" i="9"/>
  <c r="AN316" i="9"/>
  <c r="AO316" i="9"/>
  <c r="AP316" i="9"/>
  <c r="Y317" i="9"/>
  <c r="Z317" i="9" s="1"/>
  <c r="AA317" i="9"/>
  <c r="AB317" i="9"/>
  <c r="AC317" i="9"/>
  <c r="AM317" i="9"/>
  <c r="AN317" i="9"/>
  <c r="AO317" i="9"/>
  <c r="AP317" i="9"/>
  <c r="Y318" i="9"/>
  <c r="AA318" i="9"/>
  <c r="AB318" i="9"/>
  <c r="AC318" i="9"/>
  <c r="AB319" i="9"/>
  <c r="AA319" i="9"/>
  <c r="AC319" i="9"/>
  <c r="Y319" i="9"/>
  <c r="Z319" i="9" s="1"/>
  <c r="AM319" i="9"/>
  <c r="AN319" i="9"/>
  <c r="AO319" i="9"/>
  <c r="AP319" i="9"/>
  <c r="Y320" i="9"/>
  <c r="Z320" i="9" s="1"/>
  <c r="AA320" i="9"/>
  <c r="AB320" i="9"/>
  <c r="AC320" i="9"/>
  <c r="AM320" i="9"/>
  <c r="AN320" i="9"/>
  <c r="AO320" i="9"/>
  <c r="AP320" i="9"/>
  <c r="Y321" i="9"/>
  <c r="AA321" i="9"/>
  <c r="AB321" i="9"/>
  <c r="AC321" i="9"/>
  <c r="AM321" i="9"/>
  <c r="AN321" i="9"/>
  <c r="AO321" i="9"/>
  <c r="AP321" i="9"/>
  <c r="AB322" i="9"/>
  <c r="AA322" i="9"/>
  <c r="AC322" i="9"/>
  <c r="Y322" i="9"/>
  <c r="Z322" i="9" s="1"/>
  <c r="AM322" i="9"/>
  <c r="AN322" i="9"/>
  <c r="AO322" i="9"/>
  <c r="AP322" i="9"/>
  <c r="Y323" i="9"/>
  <c r="AA323" i="9"/>
  <c r="AB323" i="9"/>
  <c r="AC323" i="9"/>
  <c r="AM323" i="9"/>
  <c r="AN323" i="9"/>
  <c r="AO323" i="9"/>
  <c r="AP323" i="9"/>
  <c r="Y324" i="9"/>
  <c r="AA324" i="9"/>
  <c r="AB324" i="9"/>
  <c r="AC324" i="9"/>
  <c r="AM324" i="9"/>
  <c r="AN324" i="9"/>
  <c r="AO324" i="9"/>
  <c r="AP324" i="9"/>
  <c r="AB325" i="9"/>
  <c r="AA325" i="9"/>
  <c r="AC325" i="9"/>
  <c r="Y325" i="9"/>
  <c r="Z325" i="9" s="1"/>
  <c r="AM325" i="9"/>
  <c r="AN325" i="9"/>
  <c r="AO325" i="9"/>
  <c r="AP325" i="9"/>
  <c r="Y326" i="9"/>
  <c r="AA326" i="9"/>
  <c r="AB326" i="9"/>
  <c r="AC326" i="9"/>
  <c r="Y327" i="9"/>
  <c r="Z327" i="9" s="1"/>
  <c r="AA327" i="9"/>
  <c r="AB327" i="9"/>
  <c r="AC327" i="9"/>
  <c r="AM327" i="9"/>
  <c r="AN327" i="9"/>
  <c r="AO327" i="9"/>
  <c r="AP327" i="9"/>
  <c r="AB328" i="9"/>
  <c r="AA328" i="9"/>
  <c r="AC328" i="9"/>
  <c r="Y328" i="9"/>
  <c r="Z328" i="9" s="1"/>
  <c r="AM328" i="9"/>
  <c r="AN328" i="9"/>
  <c r="AO328" i="9"/>
  <c r="AP328" i="9"/>
  <c r="Y329" i="9"/>
  <c r="AA329" i="9"/>
  <c r="AB329" i="9"/>
  <c r="AC329" i="9"/>
  <c r="AM329" i="9"/>
  <c r="AN329" i="9"/>
  <c r="AO329" i="9"/>
  <c r="AP329" i="9"/>
  <c r="Y330" i="9"/>
  <c r="AA330" i="9"/>
  <c r="AB330" i="9"/>
  <c r="AC330" i="9"/>
  <c r="AB331" i="9"/>
  <c r="AA331" i="9"/>
  <c r="AC331" i="9"/>
  <c r="Y331" i="9"/>
  <c r="Z331" i="9" s="1"/>
  <c r="AM331" i="9"/>
  <c r="AN331" i="9"/>
  <c r="AO331" i="9"/>
  <c r="AP331" i="9"/>
  <c r="Y332" i="9"/>
  <c r="AA332" i="9"/>
  <c r="AB332" i="9"/>
  <c r="AC332" i="9"/>
  <c r="AM332" i="9"/>
  <c r="AN332" i="9"/>
  <c r="AO332" i="9"/>
  <c r="AP332" i="9"/>
  <c r="Y333" i="9"/>
  <c r="AA333" i="9"/>
  <c r="AB333" i="9"/>
  <c r="AC333" i="9"/>
  <c r="AM333" i="9"/>
  <c r="AN333" i="9"/>
  <c r="AO333" i="9"/>
  <c r="AP333" i="9"/>
  <c r="AB334" i="9"/>
  <c r="AA334" i="9"/>
  <c r="AC334" i="9"/>
  <c r="Y334" i="9"/>
  <c r="AM334" i="9"/>
  <c r="AN334" i="9"/>
  <c r="AO334" i="9"/>
  <c r="AP334" i="9"/>
  <c r="Y335" i="9"/>
  <c r="AA335" i="9"/>
  <c r="AB335" i="9"/>
  <c r="AC335" i="9"/>
  <c r="AM335" i="9"/>
  <c r="AN335" i="9"/>
  <c r="AO335" i="9"/>
  <c r="AP335" i="9"/>
  <c r="Y336" i="9"/>
  <c r="AA336" i="9"/>
  <c r="AB336" i="9"/>
  <c r="AC336" i="9"/>
  <c r="AM336" i="9"/>
  <c r="AN336" i="9"/>
  <c r="AO336" i="9"/>
  <c r="AP336" i="9"/>
  <c r="AB337" i="9"/>
  <c r="AA337" i="9"/>
  <c r="AC337" i="9"/>
  <c r="Y337" i="9"/>
  <c r="AM337" i="9"/>
  <c r="AN337" i="9"/>
  <c r="AO337" i="9"/>
  <c r="AP337" i="9"/>
  <c r="Y338" i="9"/>
  <c r="Z338" i="9" s="1"/>
  <c r="AA338" i="9"/>
  <c r="AD338" i="9" s="1"/>
  <c r="AB338" i="9"/>
  <c r="AC338" i="9"/>
  <c r="Y339" i="9"/>
  <c r="Z339" i="9" s="1"/>
  <c r="AA339" i="9"/>
  <c r="AB339" i="9"/>
  <c r="AC339" i="9"/>
  <c r="AM339" i="9"/>
  <c r="AN339" i="9"/>
  <c r="AO339" i="9"/>
  <c r="AP339" i="9"/>
  <c r="AB340" i="9"/>
  <c r="AA340" i="9"/>
  <c r="AC340" i="9"/>
  <c r="Y340" i="9"/>
  <c r="AM340" i="9"/>
  <c r="AN340" i="9"/>
  <c r="AO340" i="9"/>
  <c r="AP340" i="9"/>
  <c r="Y341" i="9"/>
  <c r="Z341" i="9" s="1"/>
  <c r="AA341" i="9"/>
  <c r="AB341" i="9"/>
  <c r="AC341" i="9"/>
  <c r="AM341" i="9"/>
  <c r="AN341" i="9"/>
  <c r="AO341" i="9"/>
  <c r="AP341" i="9"/>
  <c r="Y342" i="9"/>
  <c r="AA342" i="9"/>
  <c r="AB342" i="9"/>
  <c r="AC342" i="9"/>
  <c r="AB343" i="9"/>
  <c r="AA343" i="9"/>
  <c r="AC343" i="9"/>
  <c r="Y343" i="9"/>
  <c r="AM343" i="9"/>
  <c r="AN343" i="9"/>
  <c r="AO343" i="9"/>
  <c r="AP343" i="9"/>
  <c r="Y344" i="9"/>
  <c r="Z344" i="9" s="1"/>
  <c r="AA344" i="9"/>
  <c r="AB344" i="9"/>
  <c r="AC344" i="9"/>
  <c r="AM344" i="9"/>
  <c r="AN344" i="9"/>
  <c r="AO344" i="9"/>
  <c r="AP344" i="9"/>
  <c r="Y345" i="9"/>
  <c r="AA345" i="9"/>
  <c r="AB345" i="9"/>
  <c r="AC345" i="9"/>
  <c r="AM345" i="9"/>
  <c r="AN345" i="9"/>
  <c r="AO345" i="9"/>
  <c r="AP345" i="9"/>
  <c r="AB346" i="9"/>
  <c r="AA346" i="9"/>
  <c r="AC346" i="9"/>
  <c r="Y346" i="9"/>
  <c r="AM346" i="9"/>
  <c r="AN346" i="9"/>
  <c r="AO346" i="9"/>
  <c r="AP346" i="9"/>
  <c r="Y347" i="9"/>
  <c r="Z347" i="9" s="1"/>
  <c r="AA347" i="9"/>
  <c r="AB347" i="9"/>
  <c r="AC347" i="9"/>
  <c r="AM347" i="9"/>
  <c r="AN347" i="9"/>
  <c r="AO347" i="9"/>
  <c r="AP347" i="9"/>
  <c r="Y348" i="9"/>
  <c r="AA348" i="9"/>
  <c r="AB348" i="9"/>
  <c r="AC348" i="9"/>
  <c r="AM348" i="9"/>
  <c r="AN348" i="9"/>
  <c r="AO348" i="9"/>
  <c r="AP348" i="9"/>
  <c r="AB349" i="9"/>
  <c r="AA349" i="9"/>
  <c r="AC349" i="9"/>
  <c r="Y349" i="9"/>
  <c r="Z349" i="9" s="1"/>
  <c r="AM349" i="9"/>
  <c r="AN349" i="9"/>
  <c r="AO349" i="9"/>
  <c r="AP349" i="9"/>
  <c r="Y350" i="9"/>
  <c r="Z350" i="9" s="1"/>
  <c r="AA350" i="9"/>
  <c r="AB350" i="9"/>
  <c r="AC350" i="9"/>
  <c r="Y351" i="9"/>
  <c r="AA351" i="9"/>
  <c r="AB351" i="9"/>
  <c r="AC351" i="9"/>
  <c r="AM351" i="9"/>
  <c r="AN351" i="9"/>
  <c r="AO351" i="9"/>
  <c r="AP351" i="9"/>
  <c r="AB352" i="9"/>
  <c r="AA352" i="9"/>
  <c r="AC352" i="9"/>
  <c r="Y352" i="9"/>
  <c r="Z352" i="9" s="1"/>
  <c r="AM352" i="9"/>
  <c r="AN352" i="9"/>
  <c r="AO352" i="9"/>
  <c r="AP352" i="9"/>
  <c r="Y353" i="9"/>
  <c r="AA353" i="9"/>
  <c r="AB353" i="9"/>
  <c r="AC353" i="9"/>
  <c r="AM353" i="9"/>
  <c r="AN353" i="9"/>
  <c r="AO353" i="9"/>
  <c r="AP353" i="9"/>
  <c r="Y354" i="9"/>
  <c r="Z354" i="9" s="1"/>
  <c r="AA354" i="9"/>
  <c r="AB354" i="9"/>
  <c r="AC354" i="9"/>
  <c r="AB355" i="9"/>
  <c r="AA355" i="9"/>
  <c r="AC355" i="9"/>
  <c r="Y355" i="9"/>
  <c r="AM355" i="9"/>
  <c r="AN355" i="9"/>
  <c r="AO355" i="9"/>
  <c r="AP355" i="9"/>
  <c r="Y356" i="9"/>
  <c r="AA356" i="9"/>
  <c r="AB356" i="9"/>
  <c r="AC356" i="9"/>
  <c r="AM356" i="9"/>
  <c r="AN356" i="9"/>
  <c r="AO356" i="9"/>
  <c r="AP356" i="9"/>
  <c r="Y357" i="9"/>
  <c r="AA357" i="9"/>
  <c r="AB357" i="9"/>
  <c r="AC357" i="9"/>
  <c r="AM357" i="9"/>
  <c r="AN357" i="9"/>
  <c r="AO357" i="9"/>
  <c r="AP357" i="9"/>
  <c r="AB358" i="9"/>
  <c r="AA358" i="9"/>
  <c r="AC358" i="9"/>
  <c r="Y358" i="9"/>
  <c r="AM358" i="9"/>
  <c r="AN358" i="9"/>
  <c r="AO358" i="9"/>
  <c r="AP358" i="9"/>
  <c r="Y359" i="9"/>
  <c r="AA359" i="9"/>
  <c r="AB359" i="9"/>
  <c r="AC359" i="9"/>
  <c r="AM359" i="9"/>
  <c r="AN359" i="9"/>
  <c r="AO359" i="9"/>
  <c r="AP359" i="9"/>
  <c r="Y360" i="9"/>
  <c r="Z360" i="9" s="1"/>
  <c r="AA360" i="9"/>
  <c r="AB360" i="9"/>
  <c r="AC360" i="9"/>
  <c r="AM360" i="9"/>
  <c r="AN360" i="9"/>
  <c r="AO360" i="9"/>
  <c r="AP360" i="9"/>
  <c r="AB361" i="9"/>
  <c r="AA361" i="9"/>
  <c r="AC361" i="9"/>
  <c r="Y361" i="9"/>
  <c r="AM361" i="9"/>
  <c r="AN361" i="9"/>
  <c r="AO361" i="9"/>
  <c r="AP361" i="9"/>
  <c r="Y362" i="9"/>
  <c r="Z362" i="9" s="1"/>
  <c r="AA362" i="9"/>
  <c r="AD362" i="9" s="1"/>
  <c r="AE362" i="9" s="1"/>
  <c r="AB362" i="9"/>
  <c r="AC362" i="9"/>
  <c r="Y363" i="9"/>
  <c r="Z363" i="9" s="1"/>
  <c r="AA363" i="9"/>
  <c r="AB363" i="9"/>
  <c r="AC363" i="9"/>
  <c r="AM363" i="9"/>
  <c r="AN363" i="9"/>
  <c r="AO363" i="9"/>
  <c r="AP363" i="9"/>
  <c r="AB364" i="9"/>
  <c r="AA364" i="9"/>
  <c r="AC364" i="9"/>
  <c r="Y364" i="9"/>
  <c r="AM364" i="9"/>
  <c r="AN364" i="9"/>
  <c r="AO364" i="9"/>
  <c r="AP364" i="9"/>
  <c r="Y365" i="9"/>
  <c r="AA365" i="9"/>
  <c r="AB365" i="9"/>
  <c r="AC365" i="9"/>
  <c r="AM365" i="9"/>
  <c r="AN365" i="9"/>
  <c r="AO365" i="9"/>
  <c r="AP365" i="9"/>
  <c r="Y366" i="9"/>
  <c r="Z366" i="9" s="1"/>
  <c r="AA366" i="9"/>
  <c r="AB366" i="9"/>
  <c r="AC366" i="9"/>
  <c r="AB367" i="9"/>
  <c r="AA367" i="9"/>
  <c r="AC367" i="9"/>
  <c r="Y367" i="9"/>
  <c r="AM367" i="9"/>
  <c r="AN367" i="9"/>
  <c r="AO367" i="9"/>
  <c r="AP367" i="9"/>
  <c r="Y368" i="9"/>
  <c r="AA368" i="9"/>
  <c r="AB368" i="9"/>
  <c r="AC368" i="9"/>
  <c r="AM368" i="9"/>
  <c r="AN368" i="9"/>
  <c r="AO368" i="9"/>
  <c r="AP368" i="9"/>
  <c r="Y369" i="9"/>
  <c r="Z369" i="9" s="1"/>
  <c r="AA369" i="9"/>
  <c r="AB369" i="9"/>
  <c r="AC369" i="9"/>
  <c r="AM369" i="9"/>
  <c r="AN369" i="9"/>
  <c r="AO369" i="9"/>
  <c r="AP369" i="9"/>
  <c r="AB370" i="9"/>
  <c r="AA370" i="9"/>
  <c r="AC370" i="9"/>
  <c r="Y370" i="9"/>
  <c r="AM370" i="9"/>
  <c r="AN370" i="9"/>
  <c r="AO370" i="9"/>
  <c r="AP370" i="9"/>
  <c r="Y371" i="9"/>
  <c r="Z371" i="9" s="1"/>
  <c r="AA371" i="9"/>
  <c r="AB371" i="9"/>
  <c r="AC371" i="9"/>
  <c r="AM371" i="9"/>
  <c r="AN371" i="9"/>
  <c r="AO371" i="9"/>
  <c r="AP371" i="9"/>
  <c r="Y372" i="9"/>
  <c r="AA372" i="9"/>
  <c r="AB372" i="9"/>
  <c r="AC372" i="9"/>
  <c r="AM372" i="9"/>
  <c r="AN372" i="9"/>
  <c r="AO372" i="9"/>
  <c r="AP372" i="9"/>
  <c r="AB373" i="9"/>
  <c r="AA373" i="9"/>
  <c r="AC373" i="9"/>
  <c r="Y373" i="9"/>
  <c r="AM373" i="9"/>
  <c r="AN373" i="9"/>
  <c r="AO373" i="9"/>
  <c r="AP373" i="9"/>
  <c r="Y374" i="9"/>
  <c r="Z374" i="9" s="1"/>
  <c r="AA374" i="9"/>
  <c r="AB374" i="9"/>
  <c r="AC374" i="9"/>
  <c r="AD374" i="9" s="1"/>
  <c r="AE374" i="9" s="1"/>
  <c r="Y375" i="9"/>
  <c r="AA375" i="9"/>
  <c r="AB375" i="9"/>
  <c r="AC375" i="9"/>
  <c r="AM375" i="9"/>
  <c r="AN375" i="9"/>
  <c r="AO375" i="9"/>
  <c r="AP375" i="9"/>
  <c r="AB376" i="9"/>
  <c r="AA376" i="9"/>
  <c r="AC376" i="9"/>
  <c r="Y376" i="9"/>
  <c r="AM376" i="9"/>
  <c r="AN376" i="9"/>
  <c r="AO376" i="9"/>
  <c r="AP376" i="9"/>
  <c r="Y377" i="9"/>
  <c r="Z377" i="9" s="1"/>
  <c r="AA377" i="9"/>
  <c r="AB377" i="9"/>
  <c r="AC377" i="9"/>
  <c r="AM377" i="9"/>
  <c r="AN377" i="9"/>
  <c r="AO377" i="9"/>
  <c r="AP377" i="9"/>
  <c r="Y378" i="9"/>
  <c r="Z378" i="9" s="1"/>
  <c r="AA378" i="9"/>
  <c r="AB378" i="9"/>
  <c r="AC378" i="9"/>
  <c r="AB379" i="9"/>
  <c r="AA379" i="9"/>
  <c r="AC379" i="9"/>
  <c r="Y379" i="9"/>
  <c r="AM379" i="9"/>
  <c r="AN379" i="9"/>
  <c r="AO379" i="9"/>
  <c r="AP379" i="9"/>
  <c r="Y380" i="9"/>
  <c r="AA380" i="9"/>
  <c r="AB380" i="9"/>
  <c r="AC380" i="9"/>
  <c r="AM380" i="9"/>
  <c r="AN380" i="9"/>
  <c r="AO380" i="9"/>
  <c r="AP380" i="9"/>
  <c r="Y381" i="9"/>
  <c r="AA381" i="9"/>
  <c r="AB381" i="9"/>
  <c r="AC381" i="9"/>
  <c r="AM381" i="9"/>
  <c r="AN381" i="9"/>
  <c r="AO381" i="9"/>
  <c r="AP381" i="9"/>
  <c r="AB382" i="9"/>
  <c r="AA382" i="9"/>
  <c r="AC382" i="9"/>
  <c r="Y382" i="9"/>
  <c r="AM382" i="9"/>
  <c r="AN382" i="9"/>
  <c r="AO382" i="9"/>
  <c r="AP382" i="9"/>
  <c r="Y383" i="9"/>
  <c r="Z383" i="9" s="1"/>
  <c r="AA383" i="9"/>
  <c r="AB383" i="9"/>
  <c r="AC383" i="9"/>
  <c r="AM383" i="9"/>
  <c r="AN383" i="9"/>
  <c r="AO383" i="9"/>
  <c r="AP383" i="9"/>
  <c r="Y384" i="9"/>
  <c r="Z384" i="9" s="1"/>
  <c r="AA384" i="9"/>
  <c r="AB384" i="9"/>
  <c r="AC384" i="9"/>
  <c r="AM384" i="9"/>
  <c r="AN384" i="9"/>
  <c r="AO384" i="9"/>
  <c r="AP384" i="9"/>
  <c r="AB385" i="9"/>
  <c r="AA385" i="9"/>
  <c r="AC385" i="9"/>
  <c r="Y385" i="9"/>
  <c r="Z385" i="9" s="1"/>
  <c r="AM385" i="9"/>
  <c r="AN385" i="9"/>
  <c r="AO385" i="9"/>
  <c r="AP385" i="9"/>
  <c r="Y386" i="9"/>
  <c r="Z386" i="9" s="1"/>
  <c r="AA386" i="9"/>
  <c r="AB386" i="9"/>
  <c r="AC386" i="9"/>
  <c r="Y387" i="9"/>
  <c r="Z387" i="9" s="1"/>
  <c r="AA387" i="9"/>
  <c r="AB387" i="9"/>
  <c r="AC387" i="9"/>
  <c r="AM387" i="9"/>
  <c r="AN387" i="9"/>
  <c r="AO387" i="9"/>
  <c r="AP387" i="9"/>
  <c r="AB388" i="9"/>
  <c r="AA388" i="9"/>
  <c r="AC388" i="9"/>
  <c r="Y388" i="9"/>
  <c r="Z388" i="9" s="1"/>
  <c r="AM388" i="9"/>
  <c r="AN388" i="9"/>
  <c r="AO388" i="9"/>
  <c r="AP388" i="9"/>
  <c r="Y389" i="9"/>
  <c r="AA389" i="9"/>
  <c r="AB389" i="9"/>
  <c r="AC389" i="9"/>
  <c r="AM389" i="9"/>
  <c r="AN389" i="9"/>
  <c r="AO389" i="9"/>
  <c r="AP389" i="9"/>
  <c r="Y390" i="9"/>
  <c r="Z390" i="9" s="1"/>
  <c r="AA390" i="9"/>
  <c r="AB390" i="9"/>
  <c r="AC390" i="9"/>
  <c r="AD390" i="9" s="1"/>
  <c r="AB391" i="9"/>
  <c r="AA391" i="9"/>
  <c r="AC391" i="9"/>
  <c r="Y391" i="9"/>
  <c r="Z391" i="9" s="1"/>
  <c r="AM391" i="9"/>
  <c r="AN391" i="9"/>
  <c r="AO391" i="9"/>
  <c r="AP391" i="9"/>
  <c r="Y392" i="9"/>
  <c r="AA392" i="9"/>
  <c r="AB392" i="9"/>
  <c r="AC392" i="9"/>
  <c r="AM392" i="9"/>
  <c r="AN392" i="9"/>
  <c r="AO392" i="9"/>
  <c r="AP392" i="9"/>
  <c r="Y393" i="9"/>
  <c r="Z393" i="9" s="1"/>
  <c r="AA393" i="9"/>
  <c r="AB393" i="9"/>
  <c r="AC393" i="9"/>
  <c r="AM393" i="9"/>
  <c r="AN393" i="9"/>
  <c r="AO393" i="9"/>
  <c r="AP393" i="9"/>
  <c r="AB394" i="9"/>
  <c r="AA394" i="9"/>
  <c r="AC394" i="9"/>
  <c r="Y394" i="9"/>
  <c r="AM394" i="9"/>
  <c r="AN394" i="9"/>
  <c r="AO394" i="9"/>
  <c r="AP394" i="9"/>
  <c r="Y395" i="9"/>
  <c r="Z395" i="9" s="1"/>
  <c r="AA395" i="9"/>
  <c r="AB395" i="9"/>
  <c r="AC395" i="9"/>
  <c r="AM395" i="9"/>
  <c r="AN395" i="9"/>
  <c r="AO395" i="9"/>
  <c r="AP395" i="9"/>
  <c r="Y396" i="9"/>
  <c r="Z396" i="9" s="1"/>
  <c r="AA396" i="9"/>
  <c r="AB396" i="9"/>
  <c r="AC396" i="9"/>
  <c r="AM396" i="9"/>
  <c r="AN396" i="9"/>
  <c r="AO396" i="9"/>
  <c r="AP396" i="9"/>
  <c r="AB397" i="9"/>
  <c r="AA397" i="9"/>
  <c r="AC397" i="9"/>
  <c r="Y397" i="9"/>
  <c r="AM397" i="9"/>
  <c r="AN397" i="9"/>
  <c r="AO397" i="9"/>
  <c r="AP397" i="9"/>
  <c r="Y398" i="9"/>
  <c r="Z398" i="9" s="1"/>
  <c r="AA398" i="9"/>
  <c r="AB398" i="9"/>
  <c r="AC398" i="9"/>
  <c r="Y399" i="9"/>
  <c r="Z399" i="9" s="1"/>
  <c r="AA399" i="9"/>
  <c r="AB399" i="9"/>
  <c r="AC399" i="9"/>
  <c r="AM399" i="9"/>
  <c r="AN399" i="9"/>
  <c r="AO399" i="9"/>
  <c r="AP399" i="9"/>
  <c r="AB400" i="9"/>
  <c r="AA400" i="9"/>
  <c r="AC400" i="9"/>
  <c r="Y400" i="9"/>
  <c r="Z400" i="9" s="1"/>
  <c r="AM400" i="9"/>
  <c r="AN400" i="9"/>
  <c r="AO400" i="9"/>
  <c r="AP400" i="9"/>
  <c r="Y401" i="9"/>
  <c r="AA401" i="9"/>
  <c r="AB401" i="9"/>
  <c r="AC401" i="9"/>
  <c r="AM401" i="9"/>
  <c r="AN401" i="9"/>
  <c r="AO401" i="9"/>
  <c r="AP401" i="9"/>
  <c r="Y402" i="9"/>
  <c r="Z402" i="9" s="1"/>
  <c r="AA402" i="9"/>
  <c r="AB402" i="9"/>
  <c r="AC402" i="9"/>
  <c r="AB403" i="9"/>
  <c r="AA403" i="9"/>
  <c r="AC403" i="9"/>
  <c r="Y403" i="9"/>
  <c r="AM403" i="9"/>
  <c r="AN403" i="9"/>
  <c r="AO403" i="9"/>
  <c r="AP403" i="9"/>
  <c r="AQ5" i="9"/>
  <c r="AQ7" i="9"/>
  <c r="AQ8" i="9"/>
  <c r="AQ9" i="9"/>
  <c r="AQ10" i="9"/>
  <c r="AQ11" i="9"/>
  <c r="AQ12" i="9"/>
  <c r="AQ13" i="9"/>
  <c r="AQ15" i="9"/>
  <c r="AQ16" i="9"/>
  <c r="AQ17" i="9"/>
  <c r="AQ19" i="9"/>
  <c r="AQ20" i="9"/>
  <c r="AQ21" i="9"/>
  <c r="AQ22" i="9"/>
  <c r="AQ23" i="9"/>
  <c r="AQ24" i="9"/>
  <c r="AQ25" i="9"/>
  <c r="AQ27" i="9"/>
  <c r="AQ28" i="9"/>
  <c r="AQ29" i="9"/>
  <c r="AQ31" i="9"/>
  <c r="AQ32" i="9"/>
  <c r="AQ33" i="9"/>
  <c r="AQ34" i="9"/>
  <c r="AQ35" i="9"/>
  <c r="AQ36" i="9"/>
  <c r="AQ37" i="9"/>
  <c r="AQ39" i="9"/>
  <c r="AQ40" i="9"/>
  <c r="AQ41" i="9"/>
  <c r="AQ43" i="9"/>
  <c r="AQ44" i="9"/>
  <c r="AQ45" i="9"/>
  <c r="AQ46" i="9"/>
  <c r="AQ47" i="9"/>
  <c r="AQ48" i="9"/>
  <c r="AQ49" i="9"/>
  <c r="AQ51" i="9"/>
  <c r="AQ52" i="9"/>
  <c r="AQ53" i="9"/>
  <c r="AQ55" i="9"/>
  <c r="AQ56" i="9"/>
  <c r="AQ57" i="9"/>
  <c r="AQ58" i="9"/>
  <c r="AQ59" i="9"/>
  <c r="AQ60" i="9"/>
  <c r="AQ61" i="9"/>
  <c r="AQ63" i="9"/>
  <c r="AQ64" i="9"/>
  <c r="AQ65" i="9"/>
  <c r="AQ67" i="9"/>
  <c r="AQ68" i="9"/>
  <c r="AQ69" i="9"/>
  <c r="AQ70" i="9"/>
  <c r="AQ71" i="9"/>
  <c r="AQ72" i="9"/>
  <c r="AQ73" i="9"/>
  <c r="AQ75" i="9"/>
  <c r="AQ76" i="9"/>
  <c r="AQ77" i="9"/>
  <c r="AQ79" i="9"/>
  <c r="AQ80" i="9"/>
  <c r="AQ81" i="9"/>
  <c r="AQ82" i="9"/>
  <c r="AQ83" i="9"/>
  <c r="AQ84" i="9"/>
  <c r="AQ85" i="9"/>
  <c r="AQ87" i="9"/>
  <c r="AQ88" i="9"/>
  <c r="AQ89" i="9"/>
  <c r="AQ91" i="9"/>
  <c r="AQ92" i="9"/>
  <c r="AQ93" i="9"/>
  <c r="AQ94" i="9"/>
  <c r="AQ95" i="9"/>
  <c r="AQ96" i="9"/>
  <c r="AQ97" i="9"/>
  <c r="AQ99" i="9"/>
  <c r="AQ100" i="9"/>
  <c r="AQ101" i="9"/>
  <c r="AQ103" i="9"/>
  <c r="AQ104" i="9"/>
  <c r="AQ105" i="9"/>
  <c r="AQ106" i="9"/>
  <c r="AQ107" i="9"/>
  <c r="AQ108" i="9"/>
  <c r="AQ109" i="9"/>
  <c r="AQ111" i="9"/>
  <c r="AQ112" i="9"/>
  <c r="AQ113" i="9"/>
  <c r="AQ115" i="9"/>
  <c r="AQ116" i="9"/>
  <c r="AQ117" i="9"/>
  <c r="AQ118" i="9"/>
  <c r="AQ119" i="9"/>
  <c r="AQ120" i="9"/>
  <c r="AQ121" i="9"/>
  <c r="AQ123" i="9"/>
  <c r="AQ124" i="9"/>
  <c r="AQ125" i="9"/>
  <c r="AQ127" i="9"/>
  <c r="AQ128" i="9"/>
  <c r="AQ129" i="9"/>
  <c r="AQ130" i="9"/>
  <c r="AQ131" i="9"/>
  <c r="AQ132" i="9"/>
  <c r="AQ133" i="9"/>
  <c r="AQ135" i="9"/>
  <c r="AQ136" i="9"/>
  <c r="AQ137" i="9"/>
  <c r="AQ139" i="9"/>
  <c r="AQ140" i="9"/>
  <c r="AQ141" i="9"/>
  <c r="AQ142" i="9"/>
  <c r="AQ143" i="9"/>
  <c r="AQ144" i="9"/>
  <c r="AQ145" i="9"/>
  <c r="AQ147" i="9"/>
  <c r="AQ148" i="9"/>
  <c r="AQ149" i="9"/>
  <c r="AQ151" i="9"/>
  <c r="AQ152" i="9"/>
  <c r="AQ153" i="9"/>
  <c r="AQ154" i="9"/>
  <c r="AQ155" i="9"/>
  <c r="AQ156" i="9"/>
  <c r="AQ157" i="9"/>
  <c r="AQ159" i="9"/>
  <c r="AQ160" i="9"/>
  <c r="AQ161" i="9"/>
  <c r="AQ163" i="9"/>
  <c r="AQ164" i="9"/>
  <c r="AQ165" i="9"/>
  <c r="AQ166" i="9"/>
  <c r="AQ167" i="9"/>
  <c r="AQ168" i="9"/>
  <c r="AQ169" i="9"/>
  <c r="AQ171" i="9"/>
  <c r="AQ172" i="9"/>
  <c r="AQ173" i="9"/>
  <c r="AQ175" i="9"/>
  <c r="AQ176" i="9"/>
  <c r="AQ177" i="9"/>
  <c r="AQ178" i="9"/>
  <c r="AQ179" i="9"/>
  <c r="AQ180" i="9"/>
  <c r="AQ181" i="9"/>
  <c r="AQ183" i="9"/>
  <c r="AQ184" i="9"/>
  <c r="AQ185" i="9"/>
  <c r="AQ187" i="9"/>
  <c r="AQ188" i="9"/>
  <c r="AQ189" i="9"/>
  <c r="AQ190" i="9"/>
  <c r="AQ191" i="9"/>
  <c r="AQ192" i="9"/>
  <c r="AQ193" i="9"/>
  <c r="AQ195" i="9"/>
  <c r="AQ196" i="9"/>
  <c r="AQ197" i="9"/>
  <c r="AQ199" i="9"/>
  <c r="AQ200" i="9"/>
  <c r="AQ201" i="9"/>
  <c r="AQ202" i="9"/>
  <c r="AQ203" i="9"/>
  <c r="AQ204" i="9"/>
  <c r="AQ205" i="9"/>
  <c r="AQ207" i="9"/>
  <c r="AQ208" i="9"/>
  <c r="AQ209" i="9"/>
  <c r="AQ211" i="9"/>
  <c r="AQ212" i="9"/>
  <c r="AQ213" i="9"/>
  <c r="AQ214" i="9"/>
  <c r="AQ215" i="9"/>
  <c r="AQ216" i="9"/>
  <c r="AQ217" i="9"/>
  <c r="AQ219" i="9"/>
  <c r="AQ220" i="9"/>
  <c r="AQ221" i="9"/>
  <c r="AQ223" i="9"/>
  <c r="AQ224" i="9"/>
  <c r="AQ225" i="9"/>
  <c r="AQ226" i="9"/>
  <c r="AQ227" i="9"/>
  <c r="AQ228" i="9"/>
  <c r="AQ229" i="9"/>
  <c r="AQ231" i="9"/>
  <c r="AQ232" i="9"/>
  <c r="AQ233" i="9"/>
  <c r="AQ235" i="9"/>
  <c r="AQ236" i="9"/>
  <c r="AQ237" i="9"/>
  <c r="AQ238" i="9"/>
  <c r="AQ239" i="9"/>
  <c r="AQ240" i="9"/>
  <c r="AQ241" i="9"/>
  <c r="AQ243" i="9"/>
  <c r="AQ244" i="9"/>
  <c r="AQ245" i="9"/>
  <c r="AQ247" i="9"/>
  <c r="AQ248" i="9"/>
  <c r="AQ249" i="9"/>
  <c r="AQ250" i="9"/>
  <c r="AQ251" i="9"/>
  <c r="AQ252" i="9"/>
  <c r="AQ253" i="9"/>
  <c r="AQ255" i="9"/>
  <c r="AQ256" i="9"/>
  <c r="AQ257" i="9"/>
  <c r="AQ259" i="9"/>
  <c r="AQ260" i="9"/>
  <c r="AQ261" i="9"/>
  <c r="AQ262" i="9"/>
  <c r="AQ263" i="9"/>
  <c r="AQ264" i="9"/>
  <c r="AQ265" i="9"/>
  <c r="AQ267" i="9"/>
  <c r="AQ268" i="9"/>
  <c r="AQ269" i="9"/>
  <c r="AQ271" i="9"/>
  <c r="AQ272" i="9"/>
  <c r="AQ273" i="9"/>
  <c r="AQ274" i="9"/>
  <c r="AQ275" i="9"/>
  <c r="AQ276" i="9"/>
  <c r="AQ277" i="9"/>
  <c r="AQ279" i="9"/>
  <c r="AQ280" i="9"/>
  <c r="AQ281" i="9"/>
  <c r="AQ283" i="9"/>
  <c r="AQ284" i="9"/>
  <c r="AQ285" i="9"/>
  <c r="AQ286" i="9"/>
  <c r="AQ287" i="9"/>
  <c r="AQ288" i="9"/>
  <c r="AQ289" i="9"/>
  <c r="AQ291" i="9"/>
  <c r="AQ292" i="9"/>
  <c r="AQ293" i="9"/>
  <c r="AQ295" i="9"/>
  <c r="AQ296" i="9"/>
  <c r="AQ297" i="9"/>
  <c r="AQ298" i="9"/>
  <c r="AQ299" i="9"/>
  <c r="AQ300" i="9"/>
  <c r="AQ301" i="9"/>
  <c r="AQ303" i="9"/>
  <c r="AQ304" i="9"/>
  <c r="AQ305" i="9"/>
  <c r="AQ307" i="9"/>
  <c r="AQ308" i="9"/>
  <c r="AQ309" i="9"/>
  <c r="AQ310" i="9"/>
  <c r="AQ311" i="9"/>
  <c r="AQ312" i="9"/>
  <c r="AQ313" i="9"/>
  <c r="AQ315" i="9"/>
  <c r="AQ316" i="9"/>
  <c r="AQ317" i="9"/>
  <c r="AQ319" i="9"/>
  <c r="AQ320" i="9"/>
  <c r="AQ321" i="9"/>
  <c r="AQ322" i="9"/>
  <c r="AQ323" i="9"/>
  <c r="AQ324" i="9"/>
  <c r="AQ325" i="9"/>
  <c r="AQ327" i="9"/>
  <c r="AQ328" i="9"/>
  <c r="AQ329" i="9"/>
  <c r="AQ331" i="9"/>
  <c r="AQ332" i="9"/>
  <c r="AQ333" i="9"/>
  <c r="AQ334" i="9"/>
  <c r="AQ335" i="9"/>
  <c r="AQ336" i="9"/>
  <c r="AQ337" i="9"/>
  <c r="AQ339" i="9"/>
  <c r="AQ340" i="9"/>
  <c r="AQ341" i="9"/>
  <c r="AQ343" i="9"/>
  <c r="AQ344" i="9"/>
  <c r="AQ345" i="9"/>
  <c r="AQ346" i="9"/>
  <c r="AQ347" i="9"/>
  <c r="AQ348" i="9"/>
  <c r="AQ349" i="9"/>
  <c r="AQ351" i="9"/>
  <c r="AQ352" i="9"/>
  <c r="AQ353" i="9"/>
  <c r="AQ355" i="9"/>
  <c r="AQ356" i="9"/>
  <c r="AQ357" i="9"/>
  <c r="AQ358" i="9"/>
  <c r="AQ359" i="9"/>
  <c r="AQ360" i="9"/>
  <c r="AQ361" i="9"/>
  <c r="AQ363" i="9"/>
  <c r="AQ364" i="9"/>
  <c r="AQ365" i="9"/>
  <c r="AQ367" i="9"/>
  <c r="AQ368" i="9"/>
  <c r="AQ369" i="9"/>
  <c r="AQ370" i="9"/>
  <c r="AQ371" i="9"/>
  <c r="AQ372" i="9"/>
  <c r="AQ373" i="9"/>
  <c r="AQ375" i="9"/>
  <c r="AQ376" i="9"/>
  <c r="AQ377" i="9"/>
  <c r="AQ379" i="9"/>
  <c r="AQ380" i="9"/>
  <c r="AQ381" i="9"/>
  <c r="AQ382" i="9"/>
  <c r="AQ383" i="9"/>
  <c r="AQ384" i="9"/>
  <c r="AQ385" i="9"/>
  <c r="AQ387" i="9"/>
  <c r="AQ388" i="9"/>
  <c r="AQ389" i="9"/>
  <c r="AQ391" i="9"/>
  <c r="AQ392" i="9"/>
  <c r="AQ393" i="9"/>
  <c r="AQ394" i="9"/>
  <c r="AQ395" i="9"/>
  <c r="AQ396" i="9"/>
  <c r="AQ397" i="9"/>
  <c r="AQ399" i="9"/>
  <c r="AQ400" i="9"/>
  <c r="AQ401" i="9"/>
  <c r="AQ403" i="9"/>
  <c r="AN2" i="9"/>
  <c r="AN3" i="9"/>
  <c r="AP3" i="9"/>
  <c r="AT2" i="9" s="1"/>
  <c r="AV2" i="9" s="1"/>
  <c r="AR404" i="9"/>
  <c r="AR403" i="9"/>
  <c r="AR402" i="9"/>
  <c r="AR401" i="9"/>
  <c r="AR400" i="9"/>
  <c r="AR399" i="9"/>
  <c r="AR398" i="9"/>
  <c r="AR397" i="9"/>
  <c r="AR396" i="9"/>
  <c r="AR395" i="9"/>
  <c r="AR394" i="9"/>
  <c r="AR393" i="9"/>
  <c r="AR392" i="9"/>
  <c r="AR391" i="9"/>
  <c r="AR390" i="9"/>
  <c r="AR389" i="9"/>
  <c r="AR388" i="9"/>
  <c r="AR387" i="9"/>
  <c r="AR386" i="9"/>
  <c r="AR385" i="9"/>
  <c r="AR384" i="9"/>
  <c r="AR383" i="9"/>
  <c r="AR382" i="9"/>
  <c r="AR381" i="9"/>
  <c r="AR380" i="9"/>
  <c r="AR379" i="9"/>
  <c r="AR378" i="9"/>
  <c r="AR377" i="9"/>
  <c r="AR376" i="9"/>
  <c r="AR375" i="9"/>
  <c r="AR374" i="9"/>
  <c r="AR373" i="9"/>
  <c r="AR372" i="9"/>
  <c r="AR371" i="9"/>
  <c r="AR370" i="9"/>
  <c r="AR369" i="9"/>
  <c r="AR368" i="9"/>
  <c r="AR367" i="9"/>
  <c r="AR366" i="9"/>
  <c r="AR365" i="9"/>
  <c r="AR364" i="9"/>
  <c r="AR363" i="9"/>
  <c r="AR362" i="9"/>
  <c r="AR361" i="9"/>
  <c r="AR360" i="9"/>
  <c r="AR359" i="9"/>
  <c r="AR358" i="9"/>
  <c r="AR357" i="9"/>
  <c r="AR356" i="9"/>
  <c r="AR355" i="9"/>
  <c r="AR354" i="9"/>
  <c r="AR353" i="9"/>
  <c r="AR352" i="9"/>
  <c r="AR351" i="9"/>
  <c r="AR350" i="9"/>
  <c r="AR349" i="9"/>
  <c r="AR348" i="9"/>
  <c r="AR347" i="9"/>
  <c r="AR346" i="9"/>
  <c r="AR345" i="9"/>
  <c r="AR344" i="9"/>
  <c r="AR343" i="9"/>
  <c r="AR342" i="9"/>
  <c r="AR341" i="9"/>
  <c r="AR340" i="9"/>
  <c r="AR339" i="9"/>
  <c r="AR338" i="9"/>
  <c r="AR337" i="9"/>
  <c r="AR336" i="9"/>
  <c r="AR335" i="9"/>
  <c r="AR334" i="9"/>
  <c r="AR333" i="9"/>
  <c r="AR332" i="9"/>
  <c r="AR331" i="9"/>
  <c r="AR330" i="9"/>
  <c r="AR329" i="9"/>
  <c r="AR328" i="9"/>
  <c r="AR327" i="9"/>
  <c r="AR326" i="9"/>
  <c r="AR325" i="9"/>
  <c r="AR324" i="9"/>
  <c r="AR323" i="9"/>
  <c r="AR322" i="9"/>
  <c r="AR321" i="9"/>
  <c r="AR320" i="9"/>
  <c r="AR319" i="9"/>
  <c r="AR318" i="9"/>
  <c r="AR317" i="9"/>
  <c r="AR316" i="9"/>
  <c r="AR315" i="9"/>
  <c r="AR314" i="9"/>
  <c r="AR313" i="9"/>
  <c r="AR312" i="9"/>
  <c r="AR311" i="9"/>
  <c r="AR310" i="9"/>
  <c r="AR309" i="9"/>
  <c r="AR308" i="9"/>
  <c r="AR307" i="9"/>
  <c r="AR306" i="9"/>
  <c r="AR305" i="9"/>
  <c r="AR304" i="9"/>
  <c r="AR303" i="9"/>
  <c r="AR302" i="9"/>
  <c r="AR301" i="9"/>
  <c r="AR300" i="9"/>
  <c r="AR299" i="9"/>
  <c r="AR298" i="9"/>
  <c r="AR297" i="9"/>
  <c r="AR296" i="9"/>
  <c r="AR295" i="9"/>
  <c r="AR294" i="9"/>
  <c r="AR293" i="9"/>
  <c r="AR292" i="9"/>
  <c r="AR291" i="9"/>
  <c r="AR290" i="9"/>
  <c r="AR289" i="9"/>
  <c r="AR288" i="9"/>
  <c r="AR287" i="9"/>
  <c r="AR286" i="9"/>
  <c r="AR285" i="9"/>
  <c r="AR284" i="9"/>
  <c r="AR283" i="9"/>
  <c r="AR282" i="9"/>
  <c r="AR281" i="9"/>
  <c r="AR280" i="9"/>
  <c r="AR279" i="9"/>
  <c r="AR278" i="9"/>
  <c r="AR277" i="9"/>
  <c r="AR276" i="9"/>
  <c r="AR275" i="9"/>
  <c r="AR274" i="9"/>
  <c r="AR273" i="9"/>
  <c r="AR272" i="9"/>
  <c r="AR271" i="9"/>
  <c r="AR270" i="9"/>
  <c r="AR269" i="9"/>
  <c r="AR268" i="9"/>
  <c r="AR267" i="9"/>
  <c r="AR266" i="9"/>
  <c r="AR265" i="9"/>
  <c r="AR264" i="9"/>
  <c r="AR263" i="9"/>
  <c r="AR262" i="9"/>
  <c r="AR261" i="9"/>
  <c r="AR260" i="9"/>
  <c r="AR259" i="9"/>
  <c r="AR258" i="9"/>
  <c r="AR257" i="9"/>
  <c r="AR256" i="9"/>
  <c r="AR255" i="9"/>
  <c r="AR254" i="9"/>
  <c r="AR253" i="9"/>
  <c r="AR252" i="9"/>
  <c r="AR251" i="9"/>
  <c r="AR250" i="9"/>
  <c r="AR249" i="9"/>
  <c r="AR248" i="9"/>
  <c r="AR247" i="9"/>
  <c r="AR246" i="9"/>
  <c r="AR245" i="9"/>
  <c r="AR244" i="9"/>
  <c r="AR243" i="9"/>
  <c r="AR242" i="9"/>
  <c r="AR241" i="9"/>
  <c r="AR240" i="9"/>
  <c r="AR239" i="9"/>
  <c r="AR238" i="9"/>
  <c r="AR237" i="9"/>
  <c r="AR236" i="9"/>
  <c r="AR235" i="9"/>
  <c r="AR234" i="9"/>
  <c r="AR233" i="9"/>
  <c r="AR232" i="9"/>
  <c r="AR231" i="9"/>
  <c r="AR230" i="9"/>
  <c r="AR229" i="9"/>
  <c r="AR228" i="9"/>
  <c r="AR227" i="9"/>
  <c r="AR226" i="9"/>
  <c r="AR225" i="9"/>
  <c r="AR224" i="9"/>
  <c r="AR223" i="9"/>
  <c r="AR222" i="9"/>
  <c r="AR221" i="9"/>
  <c r="AR220" i="9"/>
  <c r="AR219" i="9"/>
  <c r="AR218" i="9"/>
  <c r="AR217" i="9"/>
  <c r="AR216" i="9"/>
  <c r="AR215" i="9"/>
  <c r="AR214" i="9"/>
  <c r="AR213" i="9"/>
  <c r="AR212" i="9"/>
  <c r="AR211" i="9"/>
  <c r="AR210" i="9"/>
  <c r="AR209" i="9"/>
  <c r="AR208" i="9"/>
  <c r="AR207" i="9"/>
  <c r="AR206" i="9"/>
  <c r="AR205" i="9"/>
  <c r="AR204" i="9"/>
  <c r="AR203" i="9"/>
  <c r="AR202" i="9"/>
  <c r="AR201" i="9"/>
  <c r="AR200" i="9"/>
  <c r="AR199" i="9"/>
  <c r="AR198" i="9"/>
  <c r="AR197" i="9"/>
  <c r="AR196" i="9"/>
  <c r="AR195" i="9"/>
  <c r="AR194" i="9"/>
  <c r="AR193" i="9"/>
  <c r="AR192" i="9"/>
  <c r="AR191" i="9"/>
  <c r="AR190" i="9"/>
  <c r="AR189" i="9"/>
  <c r="AR188" i="9"/>
  <c r="AR187" i="9"/>
  <c r="AR186" i="9"/>
  <c r="AR185" i="9"/>
  <c r="AR184" i="9"/>
  <c r="AR183" i="9"/>
  <c r="AR182" i="9"/>
  <c r="AR181" i="9"/>
  <c r="AR180" i="9"/>
  <c r="AR179" i="9"/>
  <c r="AR178" i="9"/>
  <c r="AR177" i="9"/>
  <c r="AR176" i="9"/>
  <c r="AR175" i="9"/>
  <c r="AR174" i="9"/>
  <c r="AR173" i="9"/>
  <c r="AR172" i="9"/>
  <c r="AR171" i="9"/>
  <c r="AR170" i="9"/>
  <c r="AR169" i="9"/>
  <c r="AR168" i="9"/>
  <c r="AR167" i="9"/>
  <c r="AR166" i="9"/>
  <c r="AR165" i="9"/>
  <c r="AR164" i="9"/>
  <c r="AR163" i="9"/>
  <c r="AR162" i="9"/>
  <c r="AR161" i="9"/>
  <c r="AR160" i="9"/>
  <c r="AR159" i="9"/>
  <c r="AR158" i="9"/>
  <c r="AR157" i="9"/>
  <c r="AR156" i="9"/>
  <c r="AR155" i="9"/>
  <c r="AR154" i="9"/>
  <c r="AR153" i="9"/>
  <c r="AR152" i="9"/>
  <c r="AR151" i="9"/>
  <c r="AR150" i="9"/>
  <c r="AR149" i="9"/>
  <c r="AR148" i="9"/>
  <c r="AR147" i="9"/>
  <c r="AR146" i="9"/>
  <c r="AR145" i="9"/>
  <c r="AR144" i="9"/>
  <c r="AR143" i="9"/>
  <c r="AR142" i="9"/>
  <c r="AR141" i="9"/>
  <c r="AR140" i="9"/>
  <c r="AR139" i="9"/>
  <c r="AR138" i="9"/>
  <c r="AR137" i="9"/>
  <c r="AR136" i="9"/>
  <c r="AR135" i="9"/>
  <c r="AR134" i="9"/>
  <c r="AR133" i="9"/>
  <c r="AR132" i="9"/>
  <c r="AR131" i="9"/>
  <c r="AR130" i="9"/>
  <c r="AR129" i="9"/>
  <c r="AR128" i="9"/>
  <c r="AR127" i="9"/>
  <c r="AR126" i="9"/>
  <c r="AR125" i="9"/>
  <c r="AR124" i="9"/>
  <c r="AR123" i="9"/>
  <c r="AR122" i="9"/>
  <c r="AR121" i="9"/>
  <c r="AR120" i="9"/>
  <c r="AR119" i="9"/>
  <c r="AR118" i="9"/>
  <c r="AR117" i="9"/>
  <c r="AR116" i="9"/>
  <c r="AR115" i="9"/>
  <c r="AR114" i="9"/>
  <c r="AR113" i="9"/>
  <c r="AR112" i="9"/>
  <c r="AR111" i="9"/>
  <c r="AR110" i="9"/>
  <c r="AR109" i="9"/>
  <c r="AR108" i="9"/>
  <c r="AR107" i="9"/>
  <c r="AR106" i="9"/>
  <c r="AR105" i="9"/>
  <c r="AR104" i="9"/>
  <c r="AR103" i="9"/>
  <c r="AR102" i="9"/>
  <c r="AR101" i="9"/>
  <c r="AR100" i="9"/>
  <c r="AR99" i="9"/>
  <c r="AR98" i="9"/>
  <c r="AR97" i="9"/>
  <c r="AR96" i="9"/>
  <c r="AR95" i="9"/>
  <c r="AR94" i="9"/>
  <c r="AR93" i="9"/>
  <c r="AR92" i="9"/>
  <c r="AR91" i="9"/>
  <c r="AR90" i="9"/>
  <c r="AR89" i="9"/>
  <c r="AR88" i="9"/>
  <c r="AR87" i="9"/>
  <c r="AR86" i="9"/>
  <c r="AR85" i="9"/>
  <c r="AR84" i="9"/>
  <c r="AR83" i="9"/>
  <c r="AR82" i="9"/>
  <c r="AR81" i="9"/>
  <c r="AR80" i="9"/>
  <c r="AR79" i="9"/>
  <c r="AR78" i="9"/>
  <c r="AR77" i="9"/>
  <c r="AR76" i="9"/>
  <c r="AR75" i="9"/>
  <c r="AR74" i="9"/>
  <c r="AR73" i="9"/>
  <c r="AR72" i="9"/>
  <c r="AR71" i="9"/>
  <c r="AR70" i="9"/>
  <c r="AR69" i="9"/>
  <c r="AR68" i="9"/>
  <c r="AR67" i="9"/>
  <c r="AR66" i="9"/>
  <c r="AR65" i="9"/>
  <c r="AR64" i="9"/>
  <c r="AR63" i="9"/>
  <c r="AR62" i="9"/>
  <c r="AR61" i="9"/>
  <c r="AR60" i="9"/>
  <c r="AR59" i="9"/>
  <c r="AR58" i="9"/>
  <c r="AR57" i="9"/>
  <c r="AR56" i="9"/>
  <c r="AR55" i="9"/>
  <c r="AR54" i="9"/>
  <c r="AR53" i="9"/>
  <c r="AR52" i="9"/>
  <c r="AR51" i="9"/>
  <c r="AR50" i="9"/>
  <c r="AR49" i="9"/>
  <c r="AR48" i="9"/>
  <c r="AR47" i="9"/>
  <c r="AR46" i="9"/>
  <c r="AR45" i="9"/>
  <c r="AR44" i="9"/>
  <c r="AR43" i="9"/>
  <c r="AR42" i="9"/>
  <c r="AR41" i="9"/>
  <c r="AR40" i="9"/>
  <c r="AR39" i="9"/>
  <c r="AR38" i="9"/>
  <c r="AR37" i="9"/>
  <c r="AR36" i="9"/>
  <c r="AR35" i="9"/>
  <c r="AR34" i="9"/>
  <c r="AR33" i="9"/>
  <c r="AR32" i="9"/>
  <c r="AR31" i="9"/>
  <c r="AR30" i="9"/>
  <c r="AR29" i="9"/>
  <c r="AR28" i="9"/>
  <c r="AR27" i="9"/>
  <c r="AR26" i="9"/>
  <c r="AR25" i="9"/>
  <c r="AR24" i="9"/>
  <c r="AR23" i="9"/>
  <c r="AR22" i="9"/>
  <c r="AR21" i="9"/>
  <c r="AR20" i="9"/>
  <c r="AR19" i="9"/>
  <c r="AR18" i="9"/>
  <c r="AR17" i="9"/>
  <c r="AR16" i="9"/>
  <c r="AR15" i="9"/>
  <c r="AR14" i="9"/>
  <c r="AR13" i="9"/>
  <c r="AR12" i="9"/>
  <c r="AR11" i="9"/>
  <c r="AR10" i="9"/>
  <c r="AR9" i="9"/>
  <c r="AR8" i="9"/>
  <c r="AR7" i="9"/>
  <c r="AR6" i="9"/>
  <c r="AR5" i="9"/>
  <c r="AI5" i="9"/>
  <c r="AI6" i="9"/>
  <c r="AI7" i="9"/>
  <c r="AI11" i="9"/>
  <c r="AI12" i="9"/>
  <c r="AI13" i="9"/>
  <c r="AJ34" i="10"/>
  <c r="AJ35" i="10"/>
  <c r="S32" i="10"/>
  <c r="AH34" i="10"/>
  <c r="AT404" i="9"/>
  <c r="AT403" i="9"/>
  <c r="AT401" i="9"/>
  <c r="AT400" i="9"/>
  <c r="AT399" i="9"/>
  <c r="AT397" i="9"/>
  <c r="AT396" i="9"/>
  <c r="AT395" i="9"/>
  <c r="AT394" i="9"/>
  <c r="AT393" i="9"/>
  <c r="AT392" i="9"/>
  <c r="AT391" i="9"/>
  <c r="AT389" i="9"/>
  <c r="AT388" i="9"/>
  <c r="AT387" i="9"/>
  <c r="AT385" i="9"/>
  <c r="AT384" i="9"/>
  <c r="AT383" i="9"/>
  <c r="AT382" i="9"/>
  <c r="AT381" i="9"/>
  <c r="AT380" i="9"/>
  <c r="AT379" i="9"/>
  <c r="AT377" i="9"/>
  <c r="AT376" i="9"/>
  <c r="AT375" i="9"/>
  <c r="AT373" i="9"/>
  <c r="AT372" i="9"/>
  <c r="AT371" i="9"/>
  <c r="AT370" i="9"/>
  <c r="AT369" i="9"/>
  <c r="AT368" i="9"/>
  <c r="AT367" i="9"/>
  <c r="AT365" i="9"/>
  <c r="AT364" i="9"/>
  <c r="AT363" i="9"/>
  <c r="AT361" i="9"/>
  <c r="AT360" i="9"/>
  <c r="AT359" i="9"/>
  <c r="AT358" i="9"/>
  <c r="AT357" i="9"/>
  <c r="AT356" i="9"/>
  <c r="AT355" i="9"/>
  <c r="AT353" i="9"/>
  <c r="AT352" i="9"/>
  <c r="AT351" i="9"/>
  <c r="AT349" i="9"/>
  <c r="AT348" i="9"/>
  <c r="AT347" i="9"/>
  <c r="AT346" i="9"/>
  <c r="AT345" i="9"/>
  <c r="AT344" i="9"/>
  <c r="AT343" i="9"/>
  <c r="AT341" i="9"/>
  <c r="AT340" i="9"/>
  <c r="AT339" i="9"/>
  <c r="AT337" i="9"/>
  <c r="AT336" i="9"/>
  <c r="AT335" i="9"/>
  <c r="AT334" i="9"/>
  <c r="AT333" i="9"/>
  <c r="AT332" i="9"/>
  <c r="AT331" i="9"/>
  <c r="AT329" i="9"/>
  <c r="AT328" i="9"/>
  <c r="AT327" i="9"/>
  <c r="AT325" i="9"/>
  <c r="AT324" i="9"/>
  <c r="AT323" i="9"/>
  <c r="AT322" i="9"/>
  <c r="AT321" i="9"/>
  <c r="AT320" i="9"/>
  <c r="AT319" i="9"/>
  <c r="AT317" i="9"/>
  <c r="AT316" i="9"/>
  <c r="AT315" i="9"/>
  <c r="AT313" i="9"/>
  <c r="AT312" i="9"/>
  <c r="AT311" i="9"/>
  <c r="AT310" i="9"/>
  <c r="AT309" i="9"/>
  <c r="AT308" i="9"/>
  <c r="AT307" i="9"/>
  <c r="AT305" i="9"/>
  <c r="AT304" i="9"/>
  <c r="AT303" i="9"/>
  <c r="AT301" i="9"/>
  <c r="AT300" i="9"/>
  <c r="AT299" i="9"/>
  <c r="AT298" i="9"/>
  <c r="AT297" i="9"/>
  <c r="AT296" i="9"/>
  <c r="AT295" i="9"/>
  <c r="AT293" i="9"/>
  <c r="AT292" i="9"/>
  <c r="AT291" i="9"/>
  <c r="AT289" i="9"/>
  <c r="AT288" i="9"/>
  <c r="AT287" i="9"/>
  <c r="AT286" i="9"/>
  <c r="AT285" i="9"/>
  <c r="AT284" i="9"/>
  <c r="AT283" i="9"/>
  <c r="AT281" i="9"/>
  <c r="AT280" i="9"/>
  <c r="AT279" i="9"/>
  <c r="AT277" i="9"/>
  <c r="AT276" i="9"/>
  <c r="AT275" i="9"/>
  <c r="AT274" i="9"/>
  <c r="AT273" i="9"/>
  <c r="AT272" i="9"/>
  <c r="AT271" i="9"/>
  <c r="AT269" i="9"/>
  <c r="AT268" i="9"/>
  <c r="AT267" i="9"/>
  <c r="AT265" i="9"/>
  <c r="AT264" i="9"/>
  <c r="AT263" i="9"/>
  <c r="AT262" i="9"/>
  <c r="AT261" i="9"/>
  <c r="AT260" i="9"/>
  <c r="AT259" i="9"/>
  <c r="AT257" i="9"/>
  <c r="AT256" i="9"/>
  <c r="AT255" i="9"/>
  <c r="AT253" i="9"/>
  <c r="AT252" i="9"/>
  <c r="AT251" i="9"/>
  <c r="AT250" i="9"/>
  <c r="AT249" i="9"/>
  <c r="AT248" i="9"/>
  <c r="AT247" i="9"/>
  <c r="AT245" i="9"/>
  <c r="AT244" i="9"/>
  <c r="AT243" i="9"/>
  <c r="AT241" i="9"/>
  <c r="AT240" i="9"/>
  <c r="AT239" i="9"/>
  <c r="AT238" i="9"/>
  <c r="AT237" i="9"/>
  <c r="AT236" i="9"/>
  <c r="AT235" i="9"/>
  <c r="AT233" i="9"/>
  <c r="AT232" i="9"/>
  <c r="AT231" i="9"/>
  <c r="AT229" i="9"/>
  <c r="AT228" i="9"/>
  <c r="AT227" i="9"/>
  <c r="AT226" i="9"/>
  <c r="AT225" i="9"/>
  <c r="AT224" i="9"/>
  <c r="AT223" i="9"/>
  <c r="AT221" i="9"/>
  <c r="AT220" i="9"/>
  <c r="AT219" i="9"/>
  <c r="AT217" i="9"/>
  <c r="AT216" i="9"/>
  <c r="AT215" i="9"/>
  <c r="AT214" i="9"/>
  <c r="AT213" i="9"/>
  <c r="AT212" i="9"/>
  <c r="AT211" i="9"/>
  <c r="AT209" i="9"/>
  <c r="AT208" i="9"/>
  <c r="AT207" i="9"/>
  <c r="AT205" i="9"/>
  <c r="AT204" i="9"/>
  <c r="AT203" i="9"/>
  <c r="AT202" i="9"/>
  <c r="AT201" i="9"/>
  <c r="AT200" i="9"/>
  <c r="AT199" i="9"/>
  <c r="AT197" i="9"/>
  <c r="AT196" i="9"/>
  <c r="AT195" i="9"/>
  <c r="AT193" i="9"/>
  <c r="AT192" i="9"/>
  <c r="AT191" i="9"/>
  <c r="AT190" i="9"/>
  <c r="AT189" i="9"/>
  <c r="AT188" i="9"/>
  <c r="AT187" i="9"/>
  <c r="AT185" i="9"/>
  <c r="AT184" i="9"/>
  <c r="AT183" i="9"/>
  <c r="AT181" i="9"/>
  <c r="AT180" i="9"/>
  <c r="AT179" i="9"/>
  <c r="AT178" i="9"/>
  <c r="AT177" i="9"/>
  <c r="AT176" i="9"/>
  <c r="AT175" i="9"/>
  <c r="AT173" i="9"/>
  <c r="AT172" i="9"/>
  <c r="AT171" i="9"/>
  <c r="AT169" i="9"/>
  <c r="AT168" i="9"/>
  <c r="AT167" i="9"/>
  <c r="AT166" i="9"/>
  <c r="AT165" i="9"/>
  <c r="AT164" i="9"/>
  <c r="AT163" i="9"/>
  <c r="AT161" i="9"/>
  <c r="AT160" i="9"/>
  <c r="AT159" i="9"/>
  <c r="AT157" i="9"/>
  <c r="AT156" i="9"/>
  <c r="AT155" i="9"/>
  <c r="AT154" i="9"/>
  <c r="AT153" i="9"/>
  <c r="AT152" i="9"/>
  <c r="AT151" i="9"/>
  <c r="AT149" i="9"/>
  <c r="AT148" i="9"/>
  <c r="AT147" i="9"/>
  <c r="AT145" i="9"/>
  <c r="AT144" i="9"/>
  <c r="AT143" i="9"/>
  <c r="AT142" i="9"/>
  <c r="AT141" i="9"/>
  <c r="AT140" i="9"/>
  <c r="AT139" i="9"/>
  <c r="AT137" i="9"/>
  <c r="AT136" i="9"/>
  <c r="AT135" i="9"/>
  <c r="AT133" i="9"/>
  <c r="AT132" i="9"/>
  <c r="AT131" i="9"/>
  <c r="AT130" i="9"/>
  <c r="AT129" i="9"/>
  <c r="AT128" i="9"/>
  <c r="AT127" i="9"/>
  <c r="AT125" i="9"/>
  <c r="AT124" i="9"/>
  <c r="AT123" i="9"/>
  <c r="AT121" i="9"/>
  <c r="AT120" i="9"/>
  <c r="AT119" i="9"/>
  <c r="AT118" i="9"/>
  <c r="AT117" i="9"/>
  <c r="AT116" i="9"/>
  <c r="AT115" i="9"/>
  <c r="AT113" i="9"/>
  <c r="AT112" i="9"/>
  <c r="AT111" i="9"/>
  <c r="AT109" i="9"/>
  <c r="AT108" i="9"/>
  <c r="AT107" i="9"/>
  <c r="AT106" i="9"/>
  <c r="AT105" i="9"/>
  <c r="AT104" i="9"/>
  <c r="AT103" i="9"/>
  <c r="AT101" i="9"/>
  <c r="AT100" i="9"/>
  <c r="AT99" i="9"/>
  <c r="AT97" i="9"/>
  <c r="AT96" i="9"/>
  <c r="AT95" i="9"/>
  <c r="AT94" i="9"/>
  <c r="AT93" i="9"/>
  <c r="AT92" i="9"/>
  <c r="AT91" i="9"/>
  <c r="AT89" i="9"/>
  <c r="AT88" i="9"/>
  <c r="AT87" i="9"/>
  <c r="AT85" i="9"/>
  <c r="AT84" i="9"/>
  <c r="AT83" i="9"/>
  <c r="AT82" i="9"/>
  <c r="AT81" i="9"/>
  <c r="AT80" i="9"/>
  <c r="AT79" i="9"/>
  <c r="AT77" i="9"/>
  <c r="AT76" i="9"/>
  <c r="AT75" i="9"/>
  <c r="AT73" i="9"/>
  <c r="AT72" i="9"/>
  <c r="AT71" i="9"/>
  <c r="AT70" i="9"/>
  <c r="AT69" i="9"/>
  <c r="AT68" i="9"/>
  <c r="AT67" i="9"/>
  <c r="AT65" i="9"/>
  <c r="AT64" i="9"/>
  <c r="AT63" i="9"/>
  <c r="AT61" i="9"/>
  <c r="AT60" i="9"/>
  <c r="AT59" i="9"/>
  <c r="AT58" i="9"/>
  <c r="AT57" i="9"/>
  <c r="AT56" i="9"/>
  <c r="AT55" i="9"/>
  <c r="AT53" i="9"/>
  <c r="AT52" i="9"/>
  <c r="AT51" i="9"/>
  <c r="AT49" i="9"/>
  <c r="AT48" i="9"/>
  <c r="AT47" i="9"/>
  <c r="AT46" i="9"/>
  <c r="AT45" i="9"/>
  <c r="AT44" i="9"/>
  <c r="AT43" i="9"/>
  <c r="AT41" i="9"/>
  <c r="AT40" i="9"/>
  <c r="AT39" i="9"/>
  <c r="AT37" i="9"/>
  <c r="AT36" i="9"/>
  <c r="AT35" i="9"/>
  <c r="AT34" i="9"/>
  <c r="AT33" i="9"/>
  <c r="AT32" i="9"/>
  <c r="AT31" i="9"/>
  <c r="AT29" i="9"/>
  <c r="AT28" i="9"/>
  <c r="AT27" i="9"/>
  <c r="AT25" i="9"/>
  <c r="AT24" i="9"/>
  <c r="AT23" i="9"/>
  <c r="AT22" i="9"/>
  <c r="AT21" i="9"/>
  <c r="AT20" i="9"/>
  <c r="AT19" i="9"/>
  <c r="AT17" i="9"/>
  <c r="AT16" i="9"/>
  <c r="AT15" i="9"/>
  <c r="AT13" i="9"/>
  <c r="AT12" i="9"/>
  <c r="AT11" i="9"/>
  <c r="AT10" i="9"/>
  <c r="AT9" i="9"/>
  <c r="AT8" i="9"/>
  <c r="AT7" i="9"/>
  <c r="AT5" i="9"/>
  <c r="S2" i="9"/>
  <c r="AD5" i="9"/>
  <c r="Y3" i="9"/>
  <c r="AV404" i="9"/>
  <c r="AU404" i="9"/>
  <c r="AV403" i="9"/>
  <c r="AU403" i="9"/>
  <c r="AV401" i="9"/>
  <c r="AU401" i="9"/>
  <c r="AV400" i="9"/>
  <c r="AU400" i="9"/>
  <c r="AV399" i="9"/>
  <c r="AU399" i="9"/>
  <c r="AV397" i="9"/>
  <c r="AU397" i="9"/>
  <c r="AV396" i="9"/>
  <c r="AU396" i="9"/>
  <c r="AV395" i="9"/>
  <c r="AU395" i="9"/>
  <c r="AV394" i="9"/>
  <c r="AU394" i="9"/>
  <c r="AV393" i="9"/>
  <c r="AU393" i="9"/>
  <c r="AV392" i="9"/>
  <c r="AU392" i="9"/>
  <c r="AV391" i="9"/>
  <c r="AU391" i="9"/>
  <c r="AV389" i="9"/>
  <c r="AU389" i="9"/>
  <c r="AV388" i="9"/>
  <c r="AU388" i="9"/>
  <c r="AV387" i="9"/>
  <c r="AU387" i="9"/>
  <c r="AV385" i="9"/>
  <c r="AU385" i="9"/>
  <c r="AV384" i="9"/>
  <c r="AU384" i="9"/>
  <c r="AV383" i="9"/>
  <c r="AU383" i="9"/>
  <c r="AV382" i="9"/>
  <c r="AU382" i="9"/>
  <c r="AV381" i="9"/>
  <c r="AU381" i="9"/>
  <c r="AV380" i="9"/>
  <c r="AU380" i="9"/>
  <c r="AV379" i="9"/>
  <c r="AU379" i="9"/>
  <c r="AV377" i="9"/>
  <c r="AU377" i="9"/>
  <c r="AV376" i="9"/>
  <c r="AU376" i="9"/>
  <c r="AV375" i="9"/>
  <c r="AU375" i="9"/>
  <c r="AV373" i="9"/>
  <c r="AU373" i="9"/>
  <c r="AV372" i="9"/>
  <c r="AU372" i="9"/>
  <c r="AV371" i="9"/>
  <c r="AU371" i="9"/>
  <c r="AV370" i="9"/>
  <c r="AU370" i="9"/>
  <c r="AV369" i="9"/>
  <c r="AU369" i="9"/>
  <c r="AV368" i="9"/>
  <c r="AU368" i="9"/>
  <c r="AV367" i="9"/>
  <c r="AU367" i="9"/>
  <c r="AV365" i="9"/>
  <c r="AU365" i="9"/>
  <c r="AV364" i="9"/>
  <c r="AU364" i="9"/>
  <c r="AV363" i="9"/>
  <c r="AU363" i="9"/>
  <c r="AV361" i="9"/>
  <c r="AU361" i="9"/>
  <c r="AV360" i="9"/>
  <c r="AU360" i="9"/>
  <c r="AV359" i="9"/>
  <c r="AU359" i="9"/>
  <c r="AV358" i="9"/>
  <c r="AU358" i="9"/>
  <c r="AV357" i="9"/>
  <c r="AU357" i="9"/>
  <c r="AV356" i="9"/>
  <c r="AU356" i="9"/>
  <c r="AV355" i="9"/>
  <c r="AU355" i="9"/>
  <c r="AV353" i="9"/>
  <c r="AU353" i="9"/>
  <c r="AV352" i="9"/>
  <c r="AU352" i="9"/>
  <c r="AV351" i="9"/>
  <c r="AU351" i="9"/>
  <c r="AV349" i="9"/>
  <c r="AU349" i="9"/>
  <c r="AV348" i="9"/>
  <c r="AU348" i="9"/>
  <c r="AV347" i="9"/>
  <c r="AU347" i="9"/>
  <c r="AV346" i="9"/>
  <c r="AU346" i="9"/>
  <c r="AV345" i="9"/>
  <c r="AU345" i="9"/>
  <c r="AV344" i="9"/>
  <c r="AU344" i="9"/>
  <c r="AV343" i="9"/>
  <c r="AU343" i="9"/>
  <c r="AV341" i="9"/>
  <c r="AU341" i="9"/>
  <c r="AV340" i="9"/>
  <c r="AU340" i="9"/>
  <c r="AV339" i="9"/>
  <c r="AU339" i="9"/>
  <c r="AV337" i="9"/>
  <c r="AU337" i="9"/>
  <c r="AV336" i="9"/>
  <c r="AU336" i="9"/>
  <c r="AV335" i="9"/>
  <c r="AU335" i="9"/>
  <c r="AV334" i="9"/>
  <c r="AU334" i="9"/>
  <c r="AV333" i="9"/>
  <c r="AU333" i="9"/>
  <c r="AV332" i="9"/>
  <c r="AU332" i="9"/>
  <c r="AV331" i="9"/>
  <c r="AU331" i="9"/>
  <c r="AV329" i="9"/>
  <c r="AU329" i="9"/>
  <c r="AV328" i="9"/>
  <c r="AU328" i="9"/>
  <c r="AV327" i="9"/>
  <c r="AU327" i="9"/>
  <c r="AV325" i="9"/>
  <c r="AU325" i="9"/>
  <c r="AV324" i="9"/>
  <c r="AU324" i="9"/>
  <c r="AV323" i="9"/>
  <c r="AU323" i="9"/>
  <c r="AV322" i="9"/>
  <c r="AU322" i="9"/>
  <c r="AV321" i="9"/>
  <c r="AU321" i="9"/>
  <c r="AV320" i="9"/>
  <c r="AU320" i="9"/>
  <c r="AV319" i="9"/>
  <c r="AU319" i="9"/>
  <c r="AV317" i="9"/>
  <c r="AU317" i="9"/>
  <c r="AV316" i="9"/>
  <c r="AU316" i="9"/>
  <c r="AV315" i="9"/>
  <c r="AU315" i="9"/>
  <c r="AV313" i="9"/>
  <c r="AU313" i="9"/>
  <c r="AV312" i="9"/>
  <c r="AU312" i="9"/>
  <c r="AV311" i="9"/>
  <c r="AU311" i="9"/>
  <c r="AV310" i="9"/>
  <c r="AU310" i="9"/>
  <c r="AV309" i="9"/>
  <c r="AU309" i="9"/>
  <c r="AV308" i="9"/>
  <c r="AU308" i="9"/>
  <c r="AV307" i="9"/>
  <c r="AU307" i="9"/>
  <c r="AV305" i="9"/>
  <c r="AU305" i="9"/>
  <c r="AV304" i="9"/>
  <c r="AU304" i="9"/>
  <c r="AV303" i="9"/>
  <c r="AU303" i="9"/>
  <c r="AV301" i="9"/>
  <c r="AU301" i="9"/>
  <c r="AV300" i="9"/>
  <c r="AU300" i="9"/>
  <c r="AV299" i="9"/>
  <c r="AU299" i="9"/>
  <c r="AV298" i="9"/>
  <c r="AU298" i="9"/>
  <c r="AV297" i="9"/>
  <c r="AU297" i="9"/>
  <c r="AV296" i="9"/>
  <c r="AU296" i="9"/>
  <c r="AV295" i="9"/>
  <c r="AU295" i="9"/>
  <c r="AV293" i="9"/>
  <c r="AU293" i="9"/>
  <c r="AV292" i="9"/>
  <c r="AU292" i="9"/>
  <c r="AV291" i="9"/>
  <c r="AU291" i="9"/>
  <c r="AV289" i="9"/>
  <c r="AU289" i="9"/>
  <c r="AV288" i="9"/>
  <c r="AU288" i="9"/>
  <c r="AV287" i="9"/>
  <c r="AU287" i="9"/>
  <c r="AV286" i="9"/>
  <c r="AU286" i="9"/>
  <c r="AV285" i="9"/>
  <c r="AU285" i="9"/>
  <c r="AV284" i="9"/>
  <c r="AU284" i="9"/>
  <c r="AV283" i="9"/>
  <c r="AU283" i="9"/>
  <c r="AV281" i="9"/>
  <c r="AU281" i="9"/>
  <c r="AV280" i="9"/>
  <c r="AU280" i="9"/>
  <c r="AV279" i="9"/>
  <c r="AU279" i="9"/>
  <c r="AV277" i="9"/>
  <c r="AU277" i="9"/>
  <c r="AV276" i="9"/>
  <c r="AU276" i="9"/>
  <c r="AV275" i="9"/>
  <c r="AU275" i="9"/>
  <c r="AV274" i="9"/>
  <c r="AU274" i="9"/>
  <c r="AV273" i="9"/>
  <c r="AU273" i="9"/>
  <c r="AV272" i="9"/>
  <c r="AU272" i="9"/>
  <c r="AV271" i="9"/>
  <c r="AU271" i="9"/>
  <c r="AV269" i="9"/>
  <c r="AU269" i="9"/>
  <c r="AV268" i="9"/>
  <c r="AU268" i="9"/>
  <c r="AV267" i="9"/>
  <c r="AU267" i="9"/>
  <c r="AV265" i="9"/>
  <c r="AU265" i="9"/>
  <c r="AV264" i="9"/>
  <c r="AU264" i="9"/>
  <c r="AV263" i="9"/>
  <c r="AU263" i="9"/>
  <c r="AV262" i="9"/>
  <c r="AU262" i="9"/>
  <c r="AV261" i="9"/>
  <c r="AU261" i="9"/>
  <c r="AV260" i="9"/>
  <c r="AU260" i="9"/>
  <c r="AV259" i="9"/>
  <c r="AU259" i="9"/>
  <c r="AV257" i="9"/>
  <c r="AU257" i="9"/>
  <c r="AV256" i="9"/>
  <c r="AU256" i="9"/>
  <c r="AV255" i="9"/>
  <c r="AU255" i="9"/>
  <c r="AV253" i="9"/>
  <c r="AU253" i="9"/>
  <c r="AV252" i="9"/>
  <c r="AU252" i="9"/>
  <c r="AV251" i="9"/>
  <c r="AU251" i="9"/>
  <c r="AV250" i="9"/>
  <c r="AU250" i="9"/>
  <c r="AV249" i="9"/>
  <c r="AU249" i="9"/>
  <c r="AV248" i="9"/>
  <c r="AU248" i="9"/>
  <c r="AV247" i="9"/>
  <c r="AU247" i="9"/>
  <c r="AV245" i="9"/>
  <c r="AU245" i="9"/>
  <c r="AV244" i="9"/>
  <c r="AU244" i="9"/>
  <c r="AV243" i="9"/>
  <c r="AU243" i="9"/>
  <c r="AV241" i="9"/>
  <c r="AU241" i="9"/>
  <c r="AV240" i="9"/>
  <c r="AU240" i="9"/>
  <c r="AV239" i="9"/>
  <c r="AU239" i="9"/>
  <c r="AV238" i="9"/>
  <c r="AU238" i="9"/>
  <c r="AV237" i="9"/>
  <c r="AU237" i="9"/>
  <c r="AV236" i="9"/>
  <c r="AU236" i="9"/>
  <c r="AV235" i="9"/>
  <c r="AU235" i="9"/>
  <c r="AV233" i="9"/>
  <c r="AU233" i="9"/>
  <c r="AV232" i="9"/>
  <c r="AU232" i="9"/>
  <c r="AV231" i="9"/>
  <c r="AU231" i="9"/>
  <c r="AV229" i="9"/>
  <c r="AU229" i="9"/>
  <c r="AV228" i="9"/>
  <c r="AU228" i="9"/>
  <c r="AV227" i="9"/>
  <c r="AU227" i="9"/>
  <c r="AV226" i="9"/>
  <c r="AU226" i="9"/>
  <c r="AV225" i="9"/>
  <c r="AU225" i="9"/>
  <c r="AV224" i="9"/>
  <c r="AU224" i="9"/>
  <c r="AV223" i="9"/>
  <c r="AU223" i="9"/>
  <c r="AV221" i="9"/>
  <c r="AU221" i="9"/>
  <c r="AV220" i="9"/>
  <c r="AU220" i="9"/>
  <c r="AV219" i="9"/>
  <c r="AU219" i="9"/>
  <c r="AV217" i="9"/>
  <c r="AU217" i="9"/>
  <c r="AV216" i="9"/>
  <c r="AU216" i="9"/>
  <c r="AV215" i="9"/>
  <c r="AU215" i="9"/>
  <c r="AV214" i="9"/>
  <c r="AU214" i="9"/>
  <c r="AV213" i="9"/>
  <c r="AU213" i="9"/>
  <c r="AV212" i="9"/>
  <c r="AU212" i="9"/>
  <c r="AV211" i="9"/>
  <c r="AU211" i="9"/>
  <c r="AV209" i="9"/>
  <c r="AU209" i="9"/>
  <c r="AV208" i="9"/>
  <c r="AU208" i="9"/>
  <c r="AV207" i="9"/>
  <c r="AU207" i="9"/>
  <c r="AV205" i="9"/>
  <c r="AU205" i="9"/>
  <c r="AV204" i="9"/>
  <c r="AU204" i="9"/>
  <c r="AV203" i="9"/>
  <c r="AU203" i="9"/>
  <c r="AV202" i="9"/>
  <c r="AU202" i="9"/>
  <c r="AV201" i="9"/>
  <c r="AU201" i="9"/>
  <c r="AV200" i="9"/>
  <c r="AU200" i="9"/>
  <c r="AV199" i="9"/>
  <c r="AU199" i="9"/>
  <c r="AV197" i="9"/>
  <c r="AU197" i="9"/>
  <c r="AV196" i="9"/>
  <c r="AU196" i="9"/>
  <c r="AV195" i="9"/>
  <c r="AU195" i="9"/>
  <c r="AV193" i="9"/>
  <c r="AU193" i="9"/>
  <c r="AV192" i="9"/>
  <c r="AU192" i="9"/>
  <c r="AV191" i="9"/>
  <c r="AU191" i="9"/>
  <c r="AV190" i="9"/>
  <c r="AU190" i="9"/>
  <c r="AV189" i="9"/>
  <c r="AU189" i="9"/>
  <c r="AV188" i="9"/>
  <c r="AU188" i="9"/>
  <c r="AV187" i="9"/>
  <c r="AU187" i="9"/>
  <c r="AV185" i="9"/>
  <c r="AU185" i="9"/>
  <c r="AV184" i="9"/>
  <c r="AU184" i="9"/>
  <c r="AV183" i="9"/>
  <c r="AU183" i="9"/>
  <c r="AV181" i="9"/>
  <c r="AU181" i="9"/>
  <c r="AV180" i="9"/>
  <c r="AU180" i="9"/>
  <c r="AV179" i="9"/>
  <c r="AU179" i="9"/>
  <c r="AV178" i="9"/>
  <c r="AU178" i="9"/>
  <c r="AV177" i="9"/>
  <c r="AU177" i="9"/>
  <c r="AV176" i="9"/>
  <c r="AU176" i="9"/>
  <c r="AV175" i="9"/>
  <c r="AU175" i="9"/>
  <c r="AV173" i="9"/>
  <c r="AU173" i="9"/>
  <c r="AV172" i="9"/>
  <c r="AU172" i="9"/>
  <c r="AV171" i="9"/>
  <c r="AU171" i="9"/>
  <c r="AV169" i="9"/>
  <c r="AU169" i="9"/>
  <c r="AV168" i="9"/>
  <c r="AU168" i="9"/>
  <c r="AV167" i="9"/>
  <c r="AU167" i="9"/>
  <c r="AV166" i="9"/>
  <c r="AU166" i="9"/>
  <c r="AV165" i="9"/>
  <c r="AU165" i="9"/>
  <c r="AV164" i="9"/>
  <c r="AU164" i="9"/>
  <c r="AV163" i="9"/>
  <c r="AU163" i="9"/>
  <c r="AV161" i="9"/>
  <c r="AU161" i="9"/>
  <c r="AV160" i="9"/>
  <c r="AU160" i="9"/>
  <c r="AV159" i="9"/>
  <c r="AU159" i="9"/>
  <c r="AV157" i="9"/>
  <c r="AU157" i="9"/>
  <c r="AV156" i="9"/>
  <c r="AU156" i="9"/>
  <c r="AV155" i="9"/>
  <c r="AU155" i="9"/>
  <c r="AV154" i="9"/>
  <c r="AU154" i="9"/>
  <c r="AV153" i="9"/>
  <c r="AU153" i="9"/>
  <c r="AV152" i="9"/>
  <c r="AU152" i="9"/>
  <c r="AV151" i="9"/>
  <c r="AU151" i="9"/>
  <c r="AV149" i="9"/>
  <c r="AU149" i="9"/>
  <c r="AV148" i="9"/>
  <c r="AU148" i="9"/>
  <c r="AV147" i="9"/>
  <c r="AU147" i="9"/>
  <c r="AV145" i="9"/>
  <c r="AU145" i="9"/>
  <c r="AV144" i="9"/>
  <c r="AU144" i="9"/>
  <c r="AV143" i="9"/>
  <c r="AU143" i="9"/>
  <c r="AV142" i="9"/>
  <c r="AU142" i="9"/>
  <c r="AV141" i="9"/>
  <c r="AU141" i="9"/>
  <c r="AV140" i="9"/>
  <c r="AU140" i="9"/>
  <c r="AV139" i="9"/>
  <c r="AU139" i="9"/>
  <c r="AV137" i="9"/>
  <c r="AU137" i="9"/>
  <c r="AV136" i="9"/>
  <c r="AU136" i="9"/>
  <c r="AV135" i="9"/>
  <c r="AU135" i="9"/>
  <c r="AV133" i="9"/>
  <c r="AU133" i="9"/>
  <c r="AV132" i="9"/>
  <c r="AU132" i="9"/>
  <c r="AV131" i="9"/>
  <c r="AU131" i="9"/>
  <c r="AV130" i="9"/>
  <c r="AU130" i="9"/>
  <c r="AV129" i="9"/>
  <c r="AU129" i="9"/>
  <c r="AV128" i="9"/>
  <c r="AU128" i="9"/>
  <c r="AV127" i="9"/>
  <c r="AU127" i="9"/>
  <c r="AV125" i="9"/>
  <c r="AU125" i="9"/>
  <c r="AV124" i="9"/>
  <c r="AU124" i="9"/>
  <c r="AV123" i="9"/>
  <c r="AU123" i="9"/>
  <c r="AV121" i="9"/>
  <c r="AU121" i="9"/>
  <c r="AV120" i="9"/>
  <c r="AU120" i="9"/>
  <c r="AV119" i="9"/>
  <c r="AU119" i="9"/>
  <c r="AV118" i="9"/>
  <c r="AU118" i="9"/>
  <c r="AV117" i="9"/>
  <c r="AU117" i="9"/>
  <c r="AV116" i="9"/>
  <c r="AU116" i="9"/>
  <c r="AV115" i="9"/>
  <c r="AU115" i="9"/>
  <c r="AV113" i="9"/>
  <c r="AU113" i="9"/>
  <c r="AV112" i="9"/>
  <c r="AU112" i="9"/>
  <c r="AV111" i="9"/>
  <c r="AU111" i="9"/>
  <c r="AV109" i="9"/>
  <c r="AU109" i="9"/>
  <c r="AV108" i="9"/>
  <c r="AU108" i="9"/>
  <c r="AV107" i="9"/>
  <c r="AU107" i="9"/>
  <c r="AV106" i="9"/>
  <c r="AU106" i="9"/>
  <c r="AV105" i="9"/>
  <c r="AU105" i="9"/>
  <c r="AV104" i="9"/>
  <c r="AU104" i="9"/>
  <c r="AV103" i="9"/>
  <c r="AU103" i="9"/>
  <c r="AV101" i="9"/>
  <c r="AU101" i="9"/>
  <c r="AV100" i="9"/>
  <c r="AU100" i="9"/>
  <c r="AV99" i="9"/>
  <c r="AU99" i="9"/>
  <c r="AV97" i="9"/>
  <c r="AU97" i="9"/>
  <c r="AV96" i="9"/>
  <c r="AU96" i="9"/>
  <c r="AV95" i="9"/>
  <c r="AU95" i="9"/>
  <c r="AV94" i="9"/>
  <c r="AU94" i="9"/>
  <c r="AV93" i="9"/>
  <c r="AU93" i="9"/>
  <c r="AV92" i="9"/>
  <c r="AU92" i="9"/>
  <c r="AV91" i="9"/>
  <c r="AU91" i="9"/>
  <c r="AV89" i="9"/>
  <c r="AU89" i="9"/>
  <c r="AV88" i="9"/>
  <c r="AU88" i="9"/>
  <c r="AV87" i="9"/>
  <c r="AU87" i="9"/>
  <c r="AV85" i="9"/>
  <c r="AU85" i="9"/>
  <c r="AV84" i="9"/>
  <c r="AU84" i="9"/>
  <c r="AV83" i="9"/>
  <c r="AU83" i="9"/>
  <c r="AV82" i="9"/>
  <c r="AU82" i="9"/>
  <c r="AV81" i="9"/>
  <c r="AU81" i="9"/>
  <c r="AV80" i="9"/>
  <c r="AU80" i="9"/>
  <c r="AV79" i="9"/>
  <c r="AU79" i="9"/>
  <c r="AV77" i="9"/>
  <c r="AU77" i="9"/>
  <c r="AV76" i="9"/>
  <c r="AU76" i="9"/>
  <c r="AV75" i="9"/>
  <c r="AU75" i="9"/>
  <c r="AV73" i="9"/>
  <c r="AU73" i="9"/>
  <c r="AV72" i="9"/>
  <c r="AU72" i="9"/>
  <c r="AV71" i="9"/>
  <c r="AU71" i="9"/>
  <c r="AV70" i="9"/>
  <c r="AU70" i="9"/>
  <c r="AV69" i="9"/>
  <c r="AU69" i="9"/>
  <c r="AV68" i="9"/>
  <c r="AU68" i="9"/>
  <c r="AV67" i="9"/>
  <c r="AU67" i="9"/>
  <c r="AV65" i="9"/>
  <c r="AU65" i="9"/>
  <c r="AV64" i="9"/>
  <c r="AU64" i="9"/>
  <c r="AV63" i="9"/>
  <c r="AU63" i="9"/>
  <c r="AV61" i="9"/>
  <c r="AU61" i="9"/>
  <c r="AV60" i="9"/>
  <c r="AU60" i="9"/>
  <c r="AV59" i="9"/>
  <c r="AU59" i="9"/>
  <c r="AV58" i="9"/>
  <c r="AU58" i="9"/>
  <c r="AV57" i="9"/>
  <c r="AU57" i="9"/>
  <c r="AV56" i="9"/>
  <c r="AU56" i="9"/>
  <c r="AV55" i="9"/>
  <c r="AU55" i="9"/>
  <c r="AV53" i="9"/>
  <c r="AU53" i="9"/>
  <c r="AV52" i="9"/>
  <c r="AU52" i="9"/>
  <c r="AV51" i="9"/>
  <c r="AU51" i="9"/>
  <c r="AV49" i="9"/>
  <c r="AU49" i="9"/>
  <c r="AV48" i="9"/>
  <c r="AU48" i="9"/>
  <c r="AV47" i="9"/>
  <c r="AU47" i="9"/>
  <c r="AV46" i="9"/>
  <c r="AU46" i="9"/>
  <c r="AV45" i="9"/>
  <c r="AU45" i="9"/>
  <c r="AV44" i="9"/>
  <c r="AU44" i="9"/>
  <c r="AV43" i="9"/>
  <c r="AU43" i="9"/>
  <c r="AV41" i="9"/>
  <c r="AU41" i="9"/>
  <c r="AV40" i="9"/>
  <c r="AU40" i="9"/>
  <c r="AV39" i="9"/>
  <c r="AU39" i="9"/>
  <c r="AV37" i="9"/>
  <c r="AU37" i="9"/>
  <c r="AV36" i="9"/>
  <c r="AU36" i="9"/>
  <c r="AV35" i="9"/>
  <c r="AU35" i="9"/>
  <c r="AV34" i="9"/>
  <c r="AU34" i="9"/>
  <c r="AV33" i="9"/>
  <c r="AU33" i="9"/>
  <c r="AV32" i="9"/>
  <c r="AU32" i="9"/>
  <c r="AV31" i="9"/>
  <c r="AU31" i="9"/>
  <c r="AV29" i="9"/>
  <c r="AU29" i="9"/>
  <c r="AV28" i="9"/>
  <c r="AU28" i="9"/>
  <c r="AV27" i="9"/>
  <c r="AU27" i="9"/>
  <c r="AV25" i="9"/>
  <c r="AU25" i="9"/>
  <c r="AV24" i="9"/>
  <c r="AU24" i="9"/>
  <c r="AV23" i="9"/>
  <c r="AU23" i="9"/>
  <c r="AV22" i="9"/>
  <c r="AU22" i="9"/>
  <c r="AV21" i="9"/>
  <c r="AU21" i="9"/>
  <c r="AV20" i="9"/>
  <c r="AU20" i="9"/>
  <c r="AV19" i="9"/>
  <c r="AU19" i="9"/>
  <c r="AV17" i="9"/>
  <c r="AU17" i="9"/>
  <c r="AV16" i="9"/>
  <c r="AU16" i="9"/>
  <c r="AV15" i="9"/>
  <c r="AU15" i="9"/>
  <c r="AV13" i="9"/>
  <c r="AU13" i="9"/>
  <c r="AV12" i="9"/>
  <c r="AU12" i="9"/>
  <c r="AV11" i="9"/>
  <c r="AU11" i="9"/>
  <c r="AV10" i="9"/>
  <c r="AU10" i="9"/>
  <c r="AV9" i="9"/>
  <c r="AU9" i="9"/>
  <c r="AV8" i="9"/>
  <c r="AU8" i="9"/>
  <c r="AU7" i="9"/>
  <c r="AV7" i="9"/>
  <c r="AV5" i="9"/>
  <c r="AU5" i="9"/>
  <c r="AH6" i="9"/>
  <c r="AH7" i="9"/>
  <c r="AH8" i="9"/>
  <c r="AH9" i="9"/>
  <c r="AH10" i="9"/>
  <c r="AH11" i="9"/>
  <c r="AH12" i="9"/>
  <c r="AH13" i="9"/>
  <c r="AH14" i="9"/>
  <c r="AH15" i="9"/>
  <c r="AH5" i="9"/>
  <c r="Z5" i="9"/>
  <c r="Z6" i="9"/>
  <c r="Z7" i="9"/>
  <c r="Z15" i="9"/>
  <c r="Z16" i="9"/>
  <c r="Z18" i="9"/>
  <c r="Z19" i="9"/>
  <c r="Z20" i="9"/>
  <c r="Z21" i="9"/>
  <c r="Z22" i="9"/>
  <c r="Z24" i="9"/>
  <c r="Z26" i="9"/>
  <c r="Z27" i="9"/>
  <c r="Z29" i="9"/>
  <c r="Z30" i="9"/>
  <c r="Z33" i="9"/>
  <c r="Z35" i="9"/>
  <c r="Z37" i="9"/>
  <c r="Z38" i="9"/>
  <c r="Z39" i="9"/>
  <c r="Z41" i="9"/>
  <c r="Z42" i="9"/>
  <c r="Z43" i="9"/>
  <c r="Z44" i="9"/>
  <c r="Z45" i="9"/>
  <c r="Z46" i="9"/>
  <c r="Z47" i="9"/>
  <c r="Z49" i="9"/>
  <c r="Z50" i="9"/>
  <c r="Z51" i="9"/>
  <c r="Z52" i="9"/>
  <c r="Z53" i="9"/>
  <c r="Z55" i="9"/>
  <c r="Z58" i="9"/>
  <c r="Z59" i="9"/>
  <c r="Z61" i="9"/>
  <c r="Z62" i="9"/>
  <c r="Z64" i="9"/>
  <c r="Z65" i="9"/>
  <c r="Z67" i="9"/>
  <c r="Z68" i="9"/>
  <c r="Z72" i="9"/>
  <c r="Z75" i="9"/>
  <c r="Z78" i="9"/>
  <c r="Z81" i="9"/>
  <c r="Z86" i="9"/>
  <c r="Z87" i="9"/>
  <c r="Z88" i="9"/>
  <c r="Z89" i="9"/>
  <c r="Z90" i="9"/>
  <c r="Z93" i="9"/>
  <c r="Z95" i="9"/>
  <c r="Z96" i="9"/>
  <c r="Z97" i="9"/>
  <c r="Z98" i="9"/>
  <c r="Z100" i="9"/>
  <c r="Z101" i="9"/>
  <c r="Z106" i="9"/>
  <c r="Z107" i="9"/>
  <c r="Z109" i="9"/>
  <c r="Z111" i="9"/>
  <c r="Z112" i="9"/>
  <c r="Z113" i="9"/>
  <c r="Z114" i="9"/>
  <c r="Z115" i="9"/>
  <c r="Z116" i="9"/>
  <c r="Z118" i="9"/>
  <c r="Z121" i="9"/>
  <c r="Z124" i="9"/>
  <c r="Z126" i="9"/>
  <c r="Z127" i="9"/>
  <c r="Z130" i="9"/>
  <c r="Z131" i="9"/>
  <c r="Z133" i="9"/>
  <c r="Z135" i="9"/>
  <c r="Z136" i="9"/>
  <c r="Z138" i="9"/>
  <c r="Z141" i="9"/>
  <c r="Z143" i="9"/>
  <c r="Z144" i="9"/>
  <c r="Z146" i="9"/>
  <c r="Z147" i="9"/>
  <c r="Z149" i="9"/>
  <c r="Z150" i="9"/>
  <c r="Z152" i="9"/>
  <c r="Z153" i="9"/>
  <c r="Z154" i="9"/>
  <c r="Z155" i="9"/>
  <c r="Z156" i="9"/>
  <c r="Z157" i="9"/>
  <c r="Z158" i="9"/>
  <c r="Z160" i="9"/>
  <c r="Z163" i="9"/>
  <c r="Z164" i="9"/>
  <c r="Z166" i="9"/>
  <c r="Z168" i="9"/>
  <c r="Z169" i="9"/>
  <c r="Z172" i="9"/>
  <c r="Z173" i="9"/>
  <c r="Z174" i="9"/>
  <c r="Z175" i="9"/>
  <c r="Z176" i="9"/>
  <c r="Z177" i="9"/>
  <c r="Z180" i="9"/>
  <c r="Z182" i="9"/>
  <c r="Z183" i="9"/>
  <c r="Z185" i="9"/>
  <c r="Z186" i="9"/>
  <c r="Z188" i="9"/>
  <c r="Z189" i="9"/>
  <c r="Z191" i="9"/>
  <c r="Z192" i="9"/>
  <c r="Z193" i="9"/>
  <c r="Z194" i="9"/>
  <c r="Z195" i="9"/>
  <c r="Z196" i="9"/>
  <c r="Z197" i="9"/>
  <c r="Z199" i="9"/>
  <c r="Z200" i="9"/>
  <c r="Z202" i="9"/>
  <c r="Z203" i="9"/>
  <c r="Z208" i="9"/>
  <c r="Z210" i="9"/>
  <c r="Z211" i="9"/>
  <c r="Z212" i="9"/>
  <c r="Z213" i="9"/>
  <c r="Z214" i="9"/>
  <c r="Z215" i="9"/>
  <c r="Z216" i="9"/>
  <c r="Z218" i="9"/>
  <c r="Z219" i="9"/>
  <c r="Z222" i="9"/>
  <c r="Z225" i="9"/>
  <c r="Z227" i="9"/>
  <c r="Z228" i="9"/>
  <c r="Z229" i="9"/>
  <c r="Z230" i="9"/>
  <c r="Z231" i="9"/>
  <c r="Z232" i="9"/>
  <c r="Z233" i="9"/>
  <c r="Z234" i="9"/>
  <c r="Z236" i="9"/>
  <c r="Z238" i="9"/>
  <c r="Z239" i="9"/>
  <c r="Z241" i="9"/>
  <c r="Z244" i="9"/>
  <c r="Z247" i="9"/>
  <c r="Z248" i="9"/>
  <c r="Z250" i="9"/>
  <c r="Z251" i="9"/>
  <c r="Z252" i="9"/>
  <c r="Z253" i="9"/>
  <c r="Z255" i="9"/>
  <c r="Z256" i="9"/>
  <c r="Z258" i="9"/>
  <c r="Z261" i="9"/>
  <c r="Z263" i="9"/>
  <c r="Z264" i="9"/>
  <c r="Z266" i="9"/>
  <c r="Z267" i="9"/>
  <c r="Z269" i="9"/>
  <c r="Z270" i="9"/>
  <c r="Z272" i="9"/>
  <c r="Z273" i="9"/>
  <c r="Z274" i="9"/>
  <c r="Z275" i="9"/>
  <c r="Z276" i="9"/>
  <c r="Z277" i="9"/>
  <c r="Z280" i="9"/>
  <c r="Z282" i="9"/>
  <c r="Z283" i="9"/>
  <c r="Z285" i="9"/>
  <c r="Z286" i="9"/>
  <c r="Z288" i="9"/>
  <c r="Z290" i="9"/>
  <c r="Z291" i="9"/>
  <c r="Z292" i="9"/>
  <c r="Z293" i="9"/>
  <c r="Z294" i="9"/>
  <c r="Z295" i="9"/>
  <c r="Z296" i="9"/>
  <c r="Z297" i="9"/>
  <c r="Z299" i="9"/>
  <c r="Z301" i="9"/>
  <c r="Z302" i="9"/>
  <c r="Z304" i="9"/>
  <c r="Z305" i="9"/>
  <c r="Z307" i="9"/>
  <c r="Z308" i="9"/>
  <c r="Z310" i="9"/>
  <c r="Z311" i="9"/>
  <c r="Z312" i="9"/>
  <c r="Z313" i="9"/>
  <c r="Z314" i="9"/>
  <c r="Z315" i="9"/>
  <c r="Z316" i="9"/>
  <c r="Z318" i="9"/>
  <c r="Z321" i="9"/>
  <c r="Z323" i="9"/>
  <c r="Z324" i="9"/>
  <c r="Z326" i="9"/>
  <c r="Z329" i="9"/>
  <c r="Z330" i="9"/>
  <c r="Z332" i="9"/>
  <c r="Z333" i="9"/>
  <c r="Z334" i="9"/>
  <c r="Z335" i="9"/>
  <c r="Z336" i="9"/>
  <c r="Z337" i="9"/>
  <c r="Z340" i="9"/>
  <c r="Z342" i="9"/>
  <c r="Z343" i="9"/>
  <c r="Z345" i="9"/>
  <c r="Z346" i="9"/>
  <c r="Z348" i="9"/>
  <c r="Z351" i="9"/>
  <c r="Z353" i="9"/>
  <c r="Z355" i="9"/>
  <c r="Z356" i="9"/>
  <c r="Z357" i="9"/>
  <c r="Z358" i="9"/>
  <c r="Z359" i="9"/>
  <c r="Z361" i="9"/>
  <c r="Z364" i="9"/>
  <c r="Z365" i="9"/>
  <c r="Z367" i="9"/>
  <c r="Z368" i="9"/>
  <c r="Z370" i="9"/>
  <c r="Z372" i="9"/>
  <c r="Z373" i="9"/>
  <c r="Z375" i="9"/>
  <c r="Z376" i="9"/>
  <c r="Z379" i="9"/>
  <c r="Z380" i="9"/>
  <c r="Z381" i="9"/>
  <c r="Z382" i="9"/>
  <c r="Z389" i="9"/>
  <c r="Z392" i="9"/>
  <c r="Z394" i="9"/>
  <c r="Z397" i="9"/>
  <c r="Z401" i="9"/>
  <c r="Z403" i="9"/>
  <c r="BB1" i="10"/>
  <c r="BF1" i="10"/>
  <c r="AV1" i="9"/>
  <c r="AD7" i="9"/>
  <c r="AF7" i="9" s="1"/>
  <c r="AD8" i="9"/>
  <c r="AE8" i="9" s="1"/>
  <c r="AD9" i="9"/>
  <c r="AE9" i="9" s="1"/>
  <c r="AD10" i="9"/>
  <c r="AD11" i="9"/>
  <c r="AE11" i="9" s="1"/>
  <c r="AD12" i="9"/>
  <c r="AE12" i="9" s="1"/>
  <c r="AD13" i="9"/>
  <c r="AE13" i="9" s="1"/>
  <c r="AD15" i="9"/>
  <c r="AD16" i="9"/>
  <c r="AD17" i="9"/>
  <c r="AE17" i="9" s="1"/>
  <c r="AD19" i="9"/>
  <c r="AE19" i="9" s="1"/>
  <c r="AD20" i="9"/>
  <c r="AD21" i="9"/>
  <c r="AD22" i="9"/>
  <c r="AE22" i="9" s="1"/>
  <c r="AD23" i="9"/>
  <c r="AE23" i="9" s="1"/>
  <c r="AD24" i="9"/>
  <c r="AD25" i="9"/>
  <c r="AE25" i="9" s="1"/>
  <c r="AD27" i="9"/>
  <c r="AE27" i="9" s="1"/>
  <c r="AD28" i="9"/>
  <c r="AD29" i="9"/>
  <c r="AD31" i="9"/>
  <c r="AE31" i="9" s="1"/>
  <c r="AD32" i="9"/>
  <c r="AE32" i="9" s="1"/>
  <c r="AD33" i="9"/>
  <c r="AE33" i="9" s="1"/>
  <c r="AD34" i="9"/>
  <c r="AE34" i="9" s="1"/>
  <c r="AD35" i="9"/>
  <c r="AE35" i="9" s="1"/>
  <c r="AD36" i="9"/>
  <c r="AE36" i="9" s="1"/>
  <c r="AD37" i="9"/>
  <c r="AE37" i="9" s="1"/>
  <c r="AD39" i="9"/>
  <c r="AE39" i="9" s="1"/>
  <c r="AD40" i="9"/>
  <c r="AE40" i="9" s="1"/>
  <c r="AD41" i="9"/>
  <c r="AD43" i="9"/>
  <c r="AE43" i="9" s="1"/>
  <c r="AD44" i="9"/>
  <c r="AE44" i="9" s="1"/>
  <c r="AD45" i="9"/>
  <c r="AD46" i="9"/>
  <c r="AE46" i="9" s="1"/>
  <c r="AD47" i="9"/>
  <c r="AE47" i="9" s="1"/>
  <c r="AD48" i="9"/>
  <c r="AD49" i="9"/>
  <c r="AE49" i="9" s="1"/>
  <c r="AD51" i="9"/>
  <c r="AD52" i="9"/>
  <c r="AE52" i="9" s="1"/>
  <c r="AD53" i="9"/>
  <c r="AE53" i="9" s="1"/>
  <c r="AD55" i="9"/>
  <c r="AE55" i="9" s="1"/>
  <c r="AD56" i="9"/>
  <c r="AD57" i="9"/>
  <c r="AD58" i="9"/>
  <c r="AE58" i="9" s="1"/>
  <c r="AD59" i="9"/>
  <c r="AD60" i="9"/>
  <c r="AE60" i="9" s="1"/>
  <c r="AD61" i="9"/>
  <c r="AD63" i="9"/>
  <c r="AD64" i="9"/>
  <c r="AE64" i="9" s="1"/>
  <c r="AD65" i="9"/>
  <c r="AE65" i="9" s="1"/>
  <c r="AD67" i="9"/>
  <c r="AE67" i="9" s="1"/>
  <c r="AD68" i="9"/>
  <c r="AD69" i="9"/>
  <c r="AD70" i="9"/>
  <c r="AE70" i="9" s="1"/>
  <c r="AD71" i="9"/>
  <c r="AE71" i="9" s="1"/>
  <c r="AD72" i="9"/>
  <c r="AE72" i="9" s="1"/>
  <c r="AD73" i="9"/>
  <c r="AD75" i="9"/>
  <c r="AF75" i="9" s="1"/>
  <c r="AD76" i="9"/>
  <c r="AE76" i="9" s="1"/>
  <c r="AD77" i="9"/>
  <c r="AE77" i="9" s="1"/>
  <c r="AD79" i="9"/>
  <c r="AF79" i="9" s="1"/>
  <c r="AD80" i="9"/>
  <c r="AE80" i="9" s="1"/>
  <c r="AD81" i="9"/>
  <c r="AE81" i="9" s="1"/>
  <c r="AD82" i="9"/>
  <c r="AD83" i="9"/>
  <c r="AD84" i="9"/>
  <c r="AE84" i="9" s="1"/>
  <c r="AD85" i="9"/>
  <c r="AE85" i="9" s="1"/>
  <c r="AD87" i="9"/>
  <c r="AE87" i="9" s="1"/>
  <c r="AD88" i="9"/>
  <c r="AD89" i="9"/>
  <c r="AE89" i="9" s="1"/>
  <c r="AD91" i="9"/>
  <c r="AD92" i="9"/>
  <c r="AE92" i="9" s="1"/>
  <c r="AD93" i="9"/>
  <c r="AE93" i="9" s="1"/>
  <c r="AD94" i="9"/>
  <c r="AE94" i="9" s="1"/>
  <c r="AD95" i="9"/>
  <c r="AD96" i="9"/>
  <c r="AD97" i="9"/>
  <c r="AD99" i="9"/>
  <c r="AE99" i="9" s="1"/>
  <c r="AD100" i="9"/>
  <c r="AE100" i="9" s="1"/>
  <c r="AD101" i="9"/>
  <c r="AD103" i="9"/>
  <c r="AE103" i="9" s="1"/>
  <c r="AD104" i="9"/>
  <c r="AE104" i="9" s="1"/>
  <c r="AD105" i="9"/>
  <c r="AE105" i="9" s="1"/>
  <c r="AD106" i="9"/>
  <c r="AE106" i="9" s="1"/>
  <c r="AD107" i="9"/>
  <c r="AF107" i="9" s="1"/>
  <c r="AD108" i="9"/>
  <c r="AD109" i="9"/>
  <c r="AE109" i="9" s="1"/>
  <c r="AD111" i="9"/>
  <c r="AE111" i="9" s="1"/>
  <c r="AD112" i="9"/>
  <c r="AD113" i="9"/>
  <c r="AE113" i="9" s="1"/>
  <c r="AD115" i="9"/>
  <c r="AE115" i="9" s="1"/>
  <c r="AD116" i="9"/>
  <c r="AE116" i="9" s="1"/>
  <c r="AD117" i="9"/>
  <c r="AD118" i="9"/>
  <c r="AE118" i="9" s="1"/>
  <c r="AD119" i="9"/>
  <c r="AE119" i="9" s="1"/>
  <c r="AD120" i="9"/>
  <c r="AD121" i="9"/>
  <c r="AD123" i="9"/>
  <c r="AE123" i="9" s="1"/>
  <c r="AD124" i="9"/>
  <c r="AE124" i="9" s="1"/>
  <c r="AD125" i="9"/>
  <c r="AE125" i="9" s="1"/>
  <c r="AD127" i="9"/>
  <c r="AD128" i="9"/>
  <c r="AE128" i="9" s="1"/>
  <c r="AD129" i="9"/>
  <c r="AD130" i="9"/>
  <c r="AE130" i="9" s="1"/>
  <c r="AD131" i="9"/>
  <c r="AE131" i="9" s="1"/>
  <c r="AD132" i="9"/>
  <c r="AE132" i="9" s="1"/>
  <c r="AD133" i="9"/>
  <c r="AD135" i="9"/>
  <c r="AD136" i="9"/>
  <c r="AD137" i="9"/>
  <c r="AE137" i="9" s="1"/>
  <c r="AD139" i="9"/>
  <c r="AE139" i="9" s="1"/>
  <c r="AD140" i="9"/>
  <c r="AE140" i="9" s="1"/>
  <c r="AD141" i="9"/>
  <c r="AE141" i="9" s="1"/>
  <c r="AD142" i="9"/>
  <c r="AE142" i="9" s="1"/>
  <c r="AD143" i="9"/>
  <c r="AD144" i="9"/>
  <c r="AE144" i="9" s="1"/>
  <c r="AD145" i="9"/>
  <c r="AE145" i="9" s="1"/>
  <c r="AD147" i="9"/>
  <c r="AE147" i="9" s="1"/>
  <c r="AD148" i="9"/>
  <c r="AD149" i="9"/>
  <c r="AE149" i="9" s="1"/>
  <c r="AD151" i="9"/>
  <c r="AE151" i="9" s="1"/>
  <c r="AD152" i="9"/>
  <c r="AD153" i="9"/>
  <c r="AE153" i="9" s="1"/>
  <c r="AD154" i="9"/>
  <c r="AE154" i="9" s="1"/>
  <c r="AD155" i="9"/>
  <c r="AE155" i="9" s="1"/>
  <c r="AD156" i="9"/>
  <c r="AE156" i="9" s="1"/>
  <c r="AD157" i="9"/>
  <c r="AE157" i="9" s="1"/>
  <c r="AD159" i="9"/>
  <c r="AD160" i="9"/>
  <c r="AE160" i="9" s="1"/>
  <c r="AD161" i="9"/>
  <c r="AE161" i="9" s="1"/>
  <c r="AD163" i="9"/>
  <c r="AE163" i="9" s="1"/>
  <c r="AD164" i="9"/>
  <c r="AE164" i="9" s="1"/>
  <c r="AD165" i="9"/>
  <c r="AD166" i="9"/>
  <c r="AE166" i="9" s="1"/>
  <c r="AD167" i="9"/>
  <c r="AD168" i="9"/>
  <c r="AE168" i="9" s="1"/>
  <c r="AD169" i="9"/>
  <c r="AD171" i="9"/>
  <c r="AE171" i="9" s="1"/>
  <c r="AD172" i="9"/>
  <c r="AD173" i="9"/>
  <c r="AE173" i="9" s="1"/>
  <c r="AD175" i="9"/>
  <c r="AF175" i="9" s="1"/>
  <c r="AD176" i="9"/>
  <c r="AE176" i="9" s="1"/>
  <c r="AD177" i="9"/>
  <c r="AE177" i="9" s="1"/>
  <c r="AD178" i="9"/>
  <c r="AD179" i="9"/>
  <c r="AE179" i="9" s="1"/>
  <c r="AD180" i="9"/>
  <c r="AD181" i="9"/>
  <c r="AE181" i="9" s="1"/>
  <c r="AD183" i="9"/>
  <c r="AE183" i="9" s="1"/>
  <c r="AD184" i="9"/>
  <c r="AD185" i="9"/>
  <c r="AE185" i="9" s="1"/>
  <c r="AD187" i="9"/>
  <c r="AE187" i="9" s="1"/>
  <c r="AD188" i="9"/>
  <c r="AD189" i="9"/>
  <c r="AE189" i="9" s="1"/>
  <c r="AD190" i="9"/>
  <c r="AE190" i="9" s="1"/>
  <c r="AD191" i="9"/>
  <c r="AD192" i="9"/>
  <c r="AE192" i="9" s="1"/>
  <c r="AD193" i="9"/>
  <c r="AE193" i="9" s="1"/>
  <c r="AD195" i="9"/>
  <c r="AF195" i="9" s="1"/>
  <c r="AD196" i="9"/>
  <c r="AE196" i="9" s="1"/>
  <c r="AD197" i="9"/>
  <c r="AD199" i="9"/>
  <c r="AD200" i="9"/>
  <c r="AE200" i="9" s="1"/>
  <c r="AD201" i="9"/>
  <c r="AE201" i="9" s="1"/>
  <c r="AD202" i="9"/>
  <c r="AE202" i="9" s="1"/>
  <c r="AD203" i="9"/>
  <c r="AE203" i="9" s="1"/>
  <c r="AD204" i="9"/>
  <c r="AE204" i="9" s="1"/>
  <c r="AD205" i="9"/>
  <c r="AD207" i="9"/>
  <c r="AD208" i="9"/>
  <c r="AE208" i="9" s="1"/>
  <c r="AD209" i="9"/>
  <c r="AE209" i="9" s="1"/>
  <c r="AD211" i="9"/>
  <c r="AE211" i="9" s="1"/>
  <c r="AD212" i="9"/>
  <c r="AD213" i="9"/>
  <c r="AE213" i="9" s="1"/>
  <c r="AD214" i="9"/>
  <c r="AE214" i="9" s="1"/>
  <c r="AD215" i="9"/>
  <c r="AE215" i="9" s="1"/>
  <c r="AD216" i="9"/>
  <c r="AD217" i="9"/>
  <c r="AE217" i="9" s="1"/>
  <c r="AD219" i="9"/>
  <c r="AE219" i="9" s="1"/>
  <c r="AD220" i="9"/>
  <c r="AE220" i="9" s="1"/>
  <c r="AD221" i="9"/>
  <c r="AE221" i="9" s="1"/>
  <c r="AD223" i="9"/>
  <c r="AE223" i="9" s="1"/>
  <c r="AD224" i="9"/>
  <c r="AE224" i="9" s="1"/>
  <c r="AD225" i="9"/>
  <c r="AD226" i="9"/>
  <c r="AE226" i="9" s="1"/>
  <c r="AD227" i="9"/>
  <c r="AE227" i="9" s="1"/>
  <c r="AD228" i="9"/>
  <c r="AE228" i="9" s="1"/>
  <c r="AD229" i="9"/>
  <c r="AD231" i="9"/>
  <c r="AF231" i="9" s="1"/>
  <c r="AD232" i="9"/>
  <c r="AE232" i="9" s="1"/>
  <c r="AD233" i="9"/>
  <c r="AD235" i="9"/>
  <c r="AE235" i="9" s="1"/>
  <c r="AD236" i="9"/>
  <c r="AE236" i="9" s="1"/>
  <c r="AD237" i="9"/>
  <c r="AE237" i="9" s="1"/>
  <c r="AD238" i="9"/>
  <c r="AF238" i="9" s="1"/>
  <c r="AD239" i="9"/>
  <c r="AE239" i="9" s="1"/>
  <c r="AD240" i="9"/>
  <c r="AE240" i="9" s="1"/>
  <c r="AD241" i="9"/>
  <c r="AD243" i="9"/>
  <c r="AE243" i="9" s="1"/>
  <c r="AD244" i="9"/>
  <c r="AE244" i="9" s="1"/>
  <c r="AD245" i="9"/>
  <c r="AE245" i="9" s="1"/>
  <c r="AD247" i="9"/>
  <c r="AE247" i="9" s="1"/>
  <c r="AD248" i="9"/>
  <c r="AD249" i="9"/>
  <c r="AE249" i="9" s="1"/>
  <c r="AD250" i="9"/>
  <c r="AE250" i="9" s="1"/>
  <c r="AD251" i="9"/>
  <c r="AD252" i="9"/>
  <c r="AE252" i="9" s="1"/>
  <c r="AD253" i="9"/>
  <c r="AD255" i="9"/>
  <c r="AD256" i="9"/>
  <c r="AD257" i="9"/>
  <c r="AE257" i="9" s="1"/>
  <c r="AD259" i="9"/>
  <c r="AD260" i="9"/>
  <c r="AD261" i="9"/>
  <c r="AE261" i="9" s="1"/>
  <c r="AD262" i="9"/>
  <c r="AD263" i="9"/>
  <c r="AE263" i="9" s="1"/>
  <c r="AD264" i="9"/>
  <c r="AE264" i="9" s="1"/>
  <c r="AD265" i="9"/>
  <c r="AE265" i="9" s="1"/>
  <c r="AD266" i="9"/>
  <c r="AF266" i="9" s="1"/>
  <c r="AD267" i="9"/>
  <c r="AE267" i="9" s="1"/>
  <c r="AD268" i="9"/>
  <c r="AE268" i="9" s="1"/>
  <c r="AD269" i="9"/>
  <c r="AF269" i="9" s="1"/>
  <c r="AD270" i="9"/>
  <c r="AE270" i="9" s="1"/>
  <c r="AD271" i="9"/>
  <c r="AD272" i="9"/>
  <c r="AD273" i="9"/>
  <c r="AE273" i="9" s="1"/>
  <c r="AD274" i="9"/>
  <c r="AD275" i="9"/>
  <c r="AE275" i="9" s="1"/>
  <c r="AD276" i="9"/>
  <c r="AD277" i="9"/>
  <c r="AE277" i="9" s="1"/>
  <c r="AD279" i="9"/>
  <c r="AE279" i="9" s="1"/>
  <c r="AD280" i="9"/>
  <c r="AD281" i="9"/>
  <c r="AE281" i="9" s="1"/>
  <c r="AD282" i="9"/>
  <c r="AE282" i="9" s="1"/>
  <c r="AD283" i="9"/>
  <c r="AD284" i="9"/>
  <c r="AD285" i="9"/>
  <c r="AD286" i="9"/>
  <c r="AE286" i="9" s="1"/>
  <c r="AD287" i="9"/>
  <c r="AE287" i="9" s="1"/>
  <c r="AD288" i="9"/>
  <c r="AE288" i="9" s="1"/>
  <c r="AD289" i="9"/>
  <c r="AE289" i="9" s="1"/>
  <c r="AD290" i="9"/>
  <c r="AE290" i="9" s="1"/>
  <c r="AD291" i="9"/>
  <c r="AE291" i="9" s="1"/>
  <c r="AD292" i="9"/>
  <c r="AD293" i="9"/>
  <c r="AD295" i="9"/>
  <c r="AF295" i="9" s="1"/>
  <c r="AD296" i="9"/>
  <c r="AE296" i="9" s="1"/>
  <c r="AD297" i="9"/>
  <c r="AD298" i="9"/>
  <c r="AE298" i="9" s="1"/>
  <c r="AD299" i="9"/>
  <c r="AD300" i="9"/>
  <c r="AD301" i="9"/>
  <c r="AE301" i="9" s="1"/>
  <c r="AD302" i="9"/>
  <c r="AE302" i="9" s="1"/>
  <c r="AD303" i="9"/>
  <c r="AD304" i="9"/>
  <c r="AD305" i="9"/>
  <c r="AE305" i="9" s="1"/>
  <c r="AD307" i="9"/>
  <c r="AE307" i="9" s="1"/>
  <c r="AD308" i="9"/>
  <c r="AE308" i="9" s="1"/>
  <c r="AD309" i="9"/>
  <c r="AE309" i="9" s="1"/>
  <c r="AD310" i="9"/>
  <c r="AD311" i="9"/>
  <c r="AE311" i="9" s="1"/>
  <c r="AD312" i="9"/>
  <c r="AD313" i="9"/>
  <c r="AE313" i="9" s="1"/>
  <c r="AD315" i="9"/>
  <c r="AD316" i="9"/>
  <c r="AE316" i="9" s="1"/>
  <c r="AD317" i="9"/>
  <c r="AD319" i="9"/>
  <c r="AE319" i="9" s="1"/>
  <c r="AD320" i="9"/>
  <c r="AE320" i="9" s="1"/>
  <c r="AD321" i="9"/>
  <c r="AF321" i="9" s="1"/>
  <c r="AD322" i="9"/>
  <c r="AE322" i="9" s="1"/>
  <c r="AD323" i="9"/>
  <c r="AE323" i="9" s="1"/>
  <c r="AD324" i="9"/>
  <c r="AD325" i="9"/>
  <c r="AE325" i="9" s="1"/>
  <c r="AD326" i="9"/>
  <c r="AD327" i="9"/>
  <c r="AE327" i="9" s="1"/>
  <c r="AD328" i="9"/>
  <c r="AD329" i="9"/>
  <c r="AD331" i="9"/>
  <c r="AE331" i="9" s="1"/>
  <c r="AD332" i="9"/>
  <c r="AD333" i="9"/>
  <c r="AE333" i="9" s="1"/>
  <c r="AD334" i="9"/>
  <c r="AE334" i="9" s="1"/>
  <c r="AD335" i="9"/>
  <c r="AD336" i="9"/>
  <c r="AE336" i="9" s="1"/>
  <c r="AD337" i="9"/>
  <c r="AE337" i="9" s="1"/>
  <c r="AD339" i="9"/>
  <c r="AD340" i="9"/>
  <c r="AE340" i="9" s="1"/>
  <c r="AD341" i="9"/>
  <c r="AF341" i="9" s="1"/>
  <c r="AD343" i="9"/>
  <c r="AE343" i="9" s="1"/>
  <c r="AD344" i="9"/>
  <c r="AD345" i="9"/>
  <c r="AE345" i="9" s="1"/>
  <c r="AD346" i="9"/>
  <c r="AE346" i="9" s="1"/>
  <c r="AD347" i="9"/>
  <c r="AE347" i="9" s="1"/>
  <c r="AD348" i="9"/>
  <c r="AD349" i="9"/>
  <c r="AE349" i="9" s="1"/>
  <c r="AD351" i="9"/>
  <c r="AE351" i="9" s="1"/>
  <c r="AD352" i="9"/>
  <c r="AD353" i="9"/>
  <c r="AD354" i="9"/>
  <c r="AE354" i="9" s="1"/>
  <c r="AD355" i="9"/>
  <c r="AD356" i="9"/>
  <c r="AD357" i="9"/>
  <c r="AF357" i="9" s="1"/>
  <c r="AD358" i="9"/>
  <c r="AD359" i="9"/>
  <c r="AE359" i="9" s="1"/>
  <c r="AD360" i="9"/>
  <c r="AD361" i="9"/>
  <c r="AE361" i="9" s="1"/>
  <c r="AD363" i="9"/>
  <c r="AE363" i="9" s="1"/>
  <c r="AD364" i="9"/>
  <c r="AD365" i="9"/>
  <c r="AF365" i="9" s="1"/>
  <c r="AD367" i="9"/>
  <c r="AE367" i="9" s="1"/>
  <c r="AD368" i="9"/>
  <c r="AD369" i="9"/>
  <c r="AE369" i="9" s="1"/>
  <c r="AD370" i="9"/>
  <c r="AE370" i="9" s="1"/>
  <c r="AD371" i="9"/>
  <c r="AD372" i="9"/>
  <c r="AD373" i="9"/>
  <c r="AE373" i="9" s="1"/>
  <c r="AD375" i="9"/>
  <c r="AE375" i="9" s="1"/>
  <c r="AD376" i="9"/>
  <c r="AD377" i="9"/>
  <c r="AD378" i="9"/>
  <c r="AE378" i="9" s="1"/>
  <c r="AD379" i="9"/>
  <c r="AE379" i="9" s="1"/>
  <c r="AD380" i="9"/>
  <c r="AD381" i="9"/>
  <c r="AE381" i="9" s="1"/>
  <c r="AD382" i="9"/>
  <c r="AE382" i="9" s="1"/>
  <c r="AD383" i="9"/>
  <c r="AD384" i="9"/>
  <c r="AD385" i="9"/>
  <c r="AE385" i="9" s="1"/>
  <c r="AD386" i="9"/>
  <c r="AE386" i="9" s="1"/>
  <c r="AD387" i="9"/>
  <c r="AE387" i="9" s="1"/>
  <c r="AD388" i="9"/>
  <c r="AD389" i="9"/>
  <c r="AE389" i="9" s="1"/>
  <c r="AD391" i="9"/>
  <c r="AE391" i="9" s="1"/>
  <c r="AD392" i="9"/>
  <c r="AD393" i="9"/>
  <c r="AE393" i="9" s="1"/>
  <c r="AD394" i="9"/>
  <c r="AE394" i="9" s="1"/>
  <c r="AD395" i="9"/>
  <c r="AE395" i="9" s="1"/>
  <c r="AD396" i="9"/>
  <c r="AD397" i="9"/>
  <c r="AD399" i="9"/>
  <c r="AE399" i="9" s="1"/>
  <c r="AD400" i="9"/>
  <c r="AD401" i="9"/>
  <c r="AD402" i="9"/>
  <c r="AE402" i="9" s="1"/>
  <c r="AD403" i="9"/>
  <c r="AE403" i="9" s="1"/>
  <c r="AD404" i="9"/>
  <c r="AF12" i="9"/>
  <c r="AF13" i="9"/>
  <c r="AF19" i="9"/>
  <c r="AF22" i="9"/>
  <c r="AF23" i="9"/>
  <c r="AF25" i="9"/>
  <c r="AF31" i="9"/>
  <c r="AF37" i="9"/>
  <c r="AF47" i="9"/>
  <c r="AF60" i="9"/>
  <c r="AF65" i="9"/>
  <c r="AF67" i="9"/>
  <c r="AF84" i="9"/>
  <c r="AF89" i="9"/>
  <c r="AF99" i="9"/>
  <c r="AF109" i="9"/>
  <c r="AF111" i="9"/>
  <c r="AF113" i="9"/>
  <c r="AF118" i="9"/>
  <c r="AF119" i="9"/>
  <c r="AF132" i="9"/>
  <c r="AF137" i="9"/>
  <c r="AF156" i="9"/>
  <c r="AF161" i="9"/>
  <c r="AF171" i="9"/>
  <c r="AF185" i="9"/>
  <c r="AF187" i="9"/>
  <c r="AF200" i="9"/>
  <c r="AF201" i="9"/>
  <c r="AF209" i="9"/>
  <c r="AF298" i="9"/>
  <c r="AF319" i="9"/>
  <c r="AF369" i="9"/>
  <c r="AC2" i="9"/>
  <c r="Q18" i="10"/>
  <c r="Q19" i="10"/>
  <c r="Q12" i="10"/>
  <c r="AU3" i="10"/>
  <c r="AV3" i="10"/>
  <c r="AR4" i="10"/>
  <c r="J5" i="10"/>
  <c r="AQ5" i="10"/>
  <c r="AR5" i="10"/>
  <c r="Q6" i="10"/>
  <c r="AQ6" i="10"/>
  <c r="AR6" i="10"/>
  <c r="AZ6" i="10"/>
  <c r="AW34" i="10" s="1"/>
  <c r="R7" i="10"/>
  <c r="T7" i="10" s="1"/>
  <c r="S7" i="10"/>
  <c r="U7" i="10" s="1"/>
  <c r="W7" i="10"/>
  <c r="AQ7" i="10"/>
  <c r="AR7" i="10"/>
  <c r="AZ7" i="10"/>
  <c r="W8" i="10"/>
  <c r="AQ8" i="10"/>
  <c r="AR8" i="10"/>
  <c r="AZ8" i="10"/>
  <c r="AQ9" i="10"/>
  <c r="AR9" i="10"/>
  <c r="AU9" i="10"/>
  <c r="AV9" i="10"/>
  <c r="AZ9" i="10"/>
  <c r="AQ10" i="10"/>
  <c r="AR10" i="10"/>
  <c r="AZ10" i="10"/>
  <c r="AQ11" i="10"/>
  <c r="AR11" i="10"/>
  <c r="AZ11" i="10"/>
  <c r="AQ12" i="10"/>
  <c r="AR12" i="10"/>
  <c r="AZ12" i="10"/>
  <c r="AQ13" i="10"/>
  <c r="AR13" i="10"/>
  <c r="AZ13" i="10"/>
  <c r="AQ14" i="10"/>
  <c r="AR14" i="10"/>
  <c r="AZ14" i="10"/>
  <c r="AQ15" i="10"/>
  <c r="AR15" i="10"/>
  <c r="AZ15" i="10"/>
  <c r="AQ16" i="10"/>
  <c r="AR16" i="10"/>
  <c r="AZ16" i="10"/>
  <c r="AZ17" i="10"/>
  <c r="AZ18" i="10"/>
  <c r="G19" i="10"/>
  <c r="H19" i="10"/>
  <c r="AZ19" i="10"/>
  <c r="AZ20" i="10"/>
  <c r="AZ21" i="10"/>
  <c r="C22" i="10"/>
  <c r="D22" i="10"/>
  <c r="AZ22" i="10"/>
  <c r="AZ23" i="10"/>
  <c r="AZ24" i="10"/>
  <c r="AZ25" i="10"/>
  <c r="AP26" i="10"/>
  <c r="AZ26" i="10"/>
  <c r="AZ27" i="10"/>
  <c r="AZ28" i="10"/>
  <c r="AV35" i="10"/>
  <c r="AV36" i="10"/>
  <c r="AV37" i="10"/>
  <c r="AV38" i="10"/>
  <c r="AV39" i="10"/>
  <c r="AV40" i="10"/>
  <c r="AV41" i="10"/>
  <c r="AV42" i="10"/>
  <c r="AV43" i="10"/>
  <c r="AV44" i="10"/>
  <c r="AV45" i="10"/>
  <c r="AV46" i="10"/>
  <c r="AV47" i="10"/>
  <c r="AV48" i="10"/>
  <c r="AV49" i="10"/>
  <c r="AV50" i="10"/>
  <c r="AV51" i="10"/>
  <c r="AV52" i="10"/>
  <c r="AV53" i="10"/>
  <c r="AV54" i="10"/>
  <c r="AV55" i="10"/>
  <c r="AV56" i="10"/>
  <c r="AV57" i="10"/>
  <c r="AV58" i="10"/>
  <c r="AV59" i="10"/>
  <c r="AV60" i="10"/>
  <c r="AV61" i="10"/>
  <c r="AV62" i="10"/>
  <c r="AV63" i="10"/>
  <c r="AV64" i="10"/>
  <c r="AV65" i="10"/>
  <c r="AV66" i="10"/>
  <c r="AV67" i="10"/>
  <c r="AV68" i="10"/>
  <c r="AV69" i="10"/>
  <c r="AV70" i="10"/>
  <c r="AV71" i="10"/>
  <c r="AV72" i="10"/>
  <c r="AV73" i="10"/>
  <c r="AV74" i="10"/>
  <c r="AV75" i="10"/>
  <c r="AV76" i="10"/>
  <c r="AV77" i="10"/>
  <c r="AV78" i="10"/>
  <c r="AV79" i="10"/>
  <c r="AV80" i="10"/>
  <c r="AV81" i="10"/>
  <c r="AV82" i="10"/>
  <c r="AV83" i="10"/>
  <c r="AV84" i="10"/>
  <c r="AV85" i="10"/>
  <c r="AV86" i="10"/>
  <c r="AV87" i="10"/>
  <c r="AV88" i="10"/>
  <c r="AV89" i="10"/>
  <c r="AV90" i="10"/>
  <c r="AV91" i="10"/>
  <c r="AV92" i="10"/>
  <c r="AV93" i="10"/>
  <c r="AV94" i="10"/>
  <c r="AV95" i="10"/>
  <c r="AV96" i="10"/>
  <c r="AV97" i="10"/>
  <c r="AV98" i="10"/>
  <c r="AV99" i="10"/>
  <c r="AV100" i="10"/>
  <c r="AV101" i="10"/>
  <c r="AV102" i="10"/>
  <c r="AV103" i="10"/>
  <c r="AV104" i="10"/>
  <c r="AV105" i="10"/>
  <c r="K29" i="10"/>
  <c r="L29" i="10"/>
  <c r="AZ29" i="10"/>
  <c r="C30" i="10"/>
  <c r="D105" i="10"/>
  <c r="D104" i="10"/>
  <c r="D103" i="10"/>
  <c r="D102" i="10"/>
  <c r="D101" i="10"/>
  <c r="D100" i="10"/>
  <c r="D99" i="10"/>
  <c r="D98" i="10"/>
  <c r="D97" i="10"/>
  <c r="D96" i="10"/>
  <c r="D95" i="10"/>
  <c r="D94" i="10"/>
  <c r="D93" i="10"/>
  <c r="D92" i="10"/>
  <c r="D91" i="10"/>
  <c r="D90" i="10"/>
  <c r="D89" i="10"/>
  <c r="D88" i="10"/>
  <c r="D87" i="10"/>
  <c r="D86" i="10"/>
  <c r="D85" i="10"/>
  <c r="D84" i="10"/>
  <c r="D83" i="10"/>
  <c r="D82" i="10"/>
  <c r="D81" i="10"/>
  <c r="D80" i="10"/>
  <c r="D79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AZ30" i="10"/>
  <c r="E31" i="10"/>
  <c r="G31" i="10"/>
  <c r="AZ31" i="10"/>
  <c r="AZ32" i="10"/>
  <c r="AZ33" i="10"/>
  <c r="AX34" i="10"/>
  <c r="AZ34" i="10"/>
  <c r="AW35" i="10"/>
  <c r="AZ35" i="10"/>
  <c r="AZ36" i="10"/>
  <c r="AZ37" i="10"/>
  <c r="AZ38" i="10"/>
  <c r="AW39" i="10"/>
  <c r="AZ39" i="10"/>
  <c r="AZ40" i="10"/>
  <c r="AW41" i="10"/>
  <c r="AX41" i="10"/>
  <c r="AZ41" i="10"/>
  <c r="AX42" i="10"/>
  <c r="AZ42" i="10"/>
  <c r="AW43" i="10"/>
  <c r="AZ43" i="10"/>
  <c r="AZ44" i="10"/>
  <c r="AZ45" i="10"/>
  <c r="AZ46" i="10"/>
  <c r="AW47" i="10"/>
  <c r="AZ47" i="10"/>
  <c r="AZ48" i="10"/>
  <c r="AW49" i="10"/>
  <c r="AX49" i="10"/>
  <c r="AZ49" i="10"/>
  <c r="AX50" i="10"/>
  <c r="AZ50" i="10"/>
  <c r="AW51" i="10"/>
  <c r="AZ51" i="10"/>
  <c r="AZ52" i="10"/>
  <c r="AZ53" i="10"/>
  <c r="AZ54" i="10"/>
  <c r="AW55" i="10"/>
  <c r="AZ55" i="10"/>
  <c r="AX57" i="10"/>
  <c r="E58" i="10"/>
  <c r="AW58" i="10"/>
  <c r="AW59" i="10"/>
  <c r="AX59" i="10"/>
  <c r="AW60" i="10"/>
  <c r="E61" i="10"/>
  <c r="E67" i="10"/>
  <c r="E69" i="10"/>
  <c r="E70" i="10"/>
  <c r="AW70" i="10"/>
  <c r="E71" i="10"/>
  <c r="AX71" i="10"/>
  <c r="AW72" i="10"/>
  <c r="AX72" i="10"/>
  <c r="E79" i="10"/>
  <c r="E81" i="10"/>
  <c r="AW81" i="10"/>
  <c r="E82" i="10"/>
  <c r="AW82" i="10"/>
  <c r="AX82" i="10"/>
  <c r="AW83" i="10"/>
  <c r="AX83" i="10"/>
  <c r="E87" i="10"/>
  <c r="AW88" i="10"/>
  <c r="AX88" i="10"/>
  <c r="E89" i="10"/>
  <c r="AW89" i="10"/>
  <c r="AX89" i="10"/>
  <c r="E90" i="10"/>
  <c r="AW90" i="10"/>
  <c r="AX93" i="10"/>
  <c r="E95" i="10"/>
  <c r="AW95" i="10"/>
  <c r="AX95" i="10"/>
  <c r="E96" i="10"/>
  <c r="AW96" i="10"/>
  <c r="AX96" i="10"/>
  <c r="E97" i="10"/>
  <c r="AW100" i="10"/>
  <c r="AX101" i="10"/>
  <c r="E102" i="10"/>
  <c r="AW102" i="10"/>
  <c r="AX102" i="10"/>
  <c r="E103" i="10"/>
  <c r="AW103" i="10"/>
  <c r="AX103" i="10"/>
  <c r="B3" i="9"/>
  <c r="G3" i="9"/>
  <c r="C58" i="6"/>
  <c r="C61" i="6"/>
  <c r="C63" i="6"/>
  <c r="H82" i="6" s="1"/>
  <c r="H83" i="6" s="1"/>
  <c r="C67" i="6"/>
  <c r="E82" i="6"/>
  <c r="E83" i="6" s="1"/>
  <c r="D84" i="6" s="1"/>
  <c r="G82" i="6"/>
  <c r="G83" i="6" s="1"/>
  <c r="I82" i="6"/>
  <c r="I83" i="6" s="1"/>
  <c r="H84" i="6" s="1"/>
  <c r="J82" i="6"/>
  <c r="J83" i="6" s="1"/>
  <c r="L82" i="6"/>
  <c r="L83" i="6" s="1"/>
  <c r="M82" i="6"/>
  <c r="M83" i="6" s="1"/>
  <c r="L84" i="6" s="1"/>
  <c r="N82" i="6"/>
  <c r="N83" i="6" s="1"/>
  <c r="Q82" i="6"/>
  <c r="Q83" i="6" s="1"/>
  <c r="U82" i="6"/>
  <c r="U83" i="6" s="1"/>
  <c r="V82" i="6"/>
  <c r="V83" i="6" s="1"/>
  <c r="W82" i="6"/>
  <c r="W83" i="6" s="1"/>
  <c r="Z82" i="6"/>
  <c r="Z83" i="6" s="1"/>
  <c r="AA82" i="6"/>
  <c r="AA83" i="6" s="1"/>
  <c r="AB82" i="6"/>
  <c r="AB83" i="6" s="1"/>
  <c r="AD82" i="6"/>
  <c r="AD83" i="6" s="1"/>
  <c r="AE82" i="6"/>
  <c r="AE83" i="6" s="1"/>
  <c r="AD84" i="6" s="1"/>
  <c r="AG82" i="6"/>
  <c r="AG83" i="6" s="1"/>
  <c r="AI82" i="6"/>
  <c r="AI83" i="6" s="1"/>
  <c r="AJ82" i="6"/>
  <c r="AJ83" i="6" s="1"/>
  <c r="AK82" i="6"/>
  <c r="AK83" i="6" s="1"/>
  <c r="AM82" i="6"/>
  <c r="AM83" i="6" s="1"/>
  <c r="AO82" i="6"/>
  <c r="AO83" i="6" s="1"/>
  <c r="AP82" i="6"/>
  <c r="AP83" i="6" s="1"/>
  <c r="AO84" i="6" s="1"/>
  <c r="AR82" i="6"/>
  <c r="AR83" i="6" s="1"/>
  <c r="AS82" i="6"/>
  <c r="AS83" i="6" s="1"/>
  <c r="AR84" i="6" s="1"/>
  <c r="AT82" i="6"/>
  <c r="AT83" i="6" s="1"/>
  <c r="E96" i="6"/>
  <c r="H96" i="6"/>
  <c r="J96" i="6"/>
  <c r="K96" i="6"/>
  <c r="L96" i="6"/>
  <c r="M96" i="6"/>
  <c r="N96" i="6"/>
  <c r="P96" i="6"/>
  <c r="R96" i="6"/>
  <c r="S96" i="6"/>
  <c r="T96" i="6"/>
  <c r="V96" i="6"/>
  <c r="W96" i="6"/>
  <c r="X96" i="6"/>
  <c r="Y96" i="6"/>
  <c r="Z96" i="6"/>
  <c r="AA96" i="6"/>
  <c r="AB96" i="6"/>
  <c r="AC96" i="6"/>
  <c r="AD96" i="6"/>
  <c r="AF96" i="6"/>
  <c r="AG96" i="6"/>
  <c r="AH96" i="6"/>
  <c r="AI96" i="6"/>
  <c r="C114" i="6"/>
  <c r="C115" i="6"/>
  <c r="C116" i="6"/>
  <c r="C6" i="5"/>
  <c r="W7" i="5"/>
  <c r="Z7" i="5"/>
  <c r="AC7" i="5"/>
  <c r="C8" i="5"/>
  <c r="C44" i="5" s="1"/>
  <c r="C13" i="5"/>
  <c r="C9" i="5"/>
  <c r="C15" i="5"/>
  <c r="C19" i="5" s="1"/>
  <c r="BV9" i="5"/>
  <c r="CA9" i="5"/>
  <c r="BV10" i="5"/>
  <c r="CA10" i="5"/>
  <c r="BV11" i="5"/>
  <c r="CA11" i="5"/>
  <c r="BV12" i="5"/>
  <c r="CA12" i="5"/>
  <c r="BV13" i="5"/>
  <c r="CA13" i="5"/>
  <c r="BV14" i="5"/>
  <c r="CA14" i="5"/>
  <c r="BV15" i="5"/>
  <c r="CA15" i="5"/>
  <c r="BV16" i="5"/>
  <c r="CA16" i="5"/>
  <c r="BV17" i="5"/>
  <c r="CA17" i="5"/>
  <c r="BV18" i="5"/>
  <c r="CA18" i="5"/>
  <c r="BV19" i="5"/>
  <c r="CA19" i="5"/>
  <c r="BV20" i="5"/>
  <c r="CA20" i="5"/>
  <c r="BV21" i="5"/>
  <c r="CA21" i="5"/>
  <c r="BV22" i="5"/>
  <c r="CA22" i="5"/>
  <c r="BV23" i="5"/>
  <c r="CA23" i="5"/>
  <c r="BV24" i="5"/>
  <c r="CA24" i="5"/>
  <c r="BV25" i="5"/>
  <c r="CA25" i="5"/>
  <c r="BV26" i="5"/>
  <c r="CA26" i="5"/>
  <c r="BV27" i="5"/>
  <c r="CA27" i="5"/>
  <c r="BV28" i="5"/>
  <c r="CA28" i="5"/>
  <c r="BV29" i="5"/>
  <c r="CA29" i="5"/>
  <c r="BV30" i="5"/>
  <c r="CA30" i="5"/>
  <c r="BV31" i="5"/>
  <c r="CA31" i="5"/>
  <c r="BV32" i="5"/>
  <c r="CA32" i="5"/>
  <c r="CA33" i="5"/>
  <c r="CA34" i="5"/>
  <c r="CA35" i="5"/>
  <c r="C43" i="5"/>
  <c r="C46" i="5"/>
  <c r="C50" i="5"/>
  <c r="B51" i="5" s="1"/>
  <c r="C61" i="5"/>
  <c r="B62" i="5"/>
  <c r="B66" i="5"/>
  <c r="B70" i="5" s="1"/>
  <c r="B67" i="5"/>
  <c r="B68" i="5"/>
  <c r="B69" i="5"/>
  <c r="C59" i="6"/>
  <c r="C62" i="6"/>
  <c r="C14" i="5"/>
  <c r="C7" i="5"/>
  <c r="C41" i="5"/>
  <c r="C42" i="5"/>
  <c r="AM81" i="10" l="1"/>
  <c r="AM70" i="10"/>
  <c r="AF106" i="9"/>
  <c r="AX104" i="9"/>
  <c r="AS104" i="9" s="1"/>
  <c r="AD398" i="9"/>
  <c r="AF398" i="9" s="1"/>
  <c r="E88" i="10"/>
  <c r="AX48" i="10"/>
  <c r="AF166" i="9"/>
  <c r="AX168" i="9"/>
  <c r="AS168" i="9" s="1"/>
  <c r="AX59" i="9"/>
  <c r="AS59" i="9" s="1"/>
  <c r="AX75" i="9"/>
  <c r="AS75" i="9" s="1"/>
  <c r="AF177" i="9"/>
  <c r="AX94" i="10"/>
  <c r="AX80" i="10"/>
  <c r="AX68" i="10"/>
  <c r="AX56" i="10"/>
  <c r="AW94" i="10"/>
  <c r="AX79" i="10"/>
  <c r="AW56" i="10"/>
  <c r="AW40" i="10"/>
  <c r="AF333" i="9"/>
  <c r="AF80" i="9"/>
  <c r="AX200" i="9"/>
  <c r="AS200" i="9" s="1"/>
  <c r="AF34" i="9"/>
  <c r="AD314" i="9"/>
  <c r="AD330" i="9"/>
  <c r="AX136" i="9"/>
  <c r="AS136" i="9" s="1"/>
  <c r="AW101" i="10"/>
  <c r="AX40" i="10"/>
  <c r="E101" i="10"/>
  <c r="AX87" i="10"/>
  <c r="AW68" i="10"/>
  <c r="AW48" i="10"/>
  <c r="AX100" i="10"/>
  <c r="E94" i="10"/>
  <c r="AW87" i="10"/>
  <c r="AW79" i="10"/>
  <c r="AW67" i="10"/>
  <c r="AF160" i="9"/>
  <c r="AF77" i="9"/>
  <c r="AX232" i="9"/>
  <c r="AS232" i="9" s="1"/>
  <c r="AN74" i="10"/>
  <c r="AF76" i="9"/>
  <c r="AX268" i="9"/>
  <c r="AS268" i="9" s="1"/>
  <c r="AF9" i="9"/>
  <c r="E100" i="10"/>
  <c r="AW93" i="10"/>
  <c r="AX86" i="10"/>
  <c r="E78" i="10"/>
  <c r="AW66" i="10"/>
  <c r="AF151" i="9"/>
  <c r="AF72" i="9"/>
  <c r="AF8" i="9"/>
  <c r="AX332" i="9"/>
  <c r="AS332" i="9" s="1"/>
  <c r="AX99" i="10"/>
  <c r="E93" i="10"/>
  <c r="AW86" i="10"/>
  <c r="AX77" i="10"/>
  <c r="AX65" i="10"/>
  <c r="AX54" i="10"/>
  <c r="AX46" i="10"/>
  <c r="AX38" i="10"/>
  <c r="AF149" i="9"/>
  <c r="AF70" i="9"/>
  <c r="U32" i="10"/>
  <c r="AX396" i="9"/>
  <c r="AS396" i="9" s="1"/>
  <c r="AD366" i="9"/>
  <c r="AX92" i="10"/>
  <c r="E86" i="10"/>
  <c r="E77" i="10"/>
  <c r="E65" i="10"/>
  <c r="AF311" i="9"/>
  <c r="AN69" i="10"/>
  <c r="AW99" i="10"/>
  <c r="AX105" i="10"/>
  <c r="E99" i="10"/>
  <c r="AW92" i="10"/>
  <c r="AX85" i="10"/>
  <c r="AW76" i="10"/>
  <c r="AX64" i="10"/>
  <c r="AX53" i="10"/>
  <c r="AX45" i="10"/>
  <c r="AX37" i="10"/>
  <c r="AD318" i="9"/>
  <c r="AW85" i="10"/>
  <c r="AX63" i="10"/>
  <c r="AW37" i="10"/>
  <c r="AF226" i="9"/>
  <c r="AF128" i="9"/>
  <c r="AN70" i="10"/>
  <c r="AM60" i="10"/>
  <c r="AN60" i="10"/>
  <c r="E92" i="10"/>
  <c r="E85" i="10"/>
  <c r="G27" i="10"/>
  <c r="AF52" i="9"/>
  <c r="AX393" i="9"/>
  <c r="AS393" i="9" s="1"/>
  <c r="AW53" i="10"/>
  <c r="AW74" i="10"/>
  <c r="AX27" i="9"/>
  <c r="AS27" i="9" s="1"/>
  <c r="AF33" i="9"/>
  <c r="AX43" i="9"/>
  <c r="AS43" i="9" s="1"/>
  <c r="AF375" i="9"/>
  <c r="AW105" i="10"/>
  <c r="AX98" i="10"/>
  <c r="AX75" i="10"/>
  <c r="AW45" i="10"/>
  <c r="U84" i="6"/>
  <c r="E105" i="10"/>
  <c r="AW98" i="10"/>
  <c r="AX91" i="10"/>
  <c r="AW75" i="10"/>
  <c r="AW63" i="10"/>
  <c r="AF224" i="9"/>
  <c r="AF125" i="9"/>
  <c r="AX104" i="10"/>
  <c r="E98" i="10"/>
  <c r="AW91" i="10"/>
  <c r="AX84" i="10"/>
  <c r="E63" i="10"/>
  <c r="AX52" i="10"/>
  <c r="AX44" i="10"/>
  <c r="AX36" i="10"/>
  <c r="AF220" i="9"/>
  <c r="AF124" i="9"/>
  <c r="S82" i="6"/>
  <c r="S83" i="6" s="1"/>
  <c r="R84" i="6" s="1"/>
  <c r="AW104" i="10"/>
  <c r="AX97" i="10"/>
  <c r="E91" i="10"/>
  <c r="AW84" i="10"/>
  <c r="E74" i="10"/>
  <c r="E62" i="10"/>
  <c r="AW52" i="10"/>
  <c r="AW44" i="10"/>
  <c r="AW36" i="10"/>
  <c r="AF214" i="9"/>
  <c r="AF123" i="9"/>
  <c r="AF46" i="9"/>
  <c r="AD350" i="9"/>
  <c r="AD342" i="9"/>
  <c r="R82" i="6"/>
  <c r="R83" i="6" s="1"/>
  <c r="Q84" i="6" s="1"/>
  <c r="E104" i="10"/>
  <c r="AW97" i="10"/>
  <c r="AX90" i="10"/>
  <c r="E84" i="10"/>
  <c r="AX73" i="10"/>
  <c r="AX61" i="10"/>
  <c r="AF213" i="9"/>
  <c r="AF43" i="9"/>
  <c r="AQ48" i="10"/>
  <c r="AF393" i="9"/>
  <c r="AF389" i="9"/>
  <c r="AF385" i="9"/>
  <c r="AF381" i="9"/>
  <c r="AF379" i="9"/>
  <c r="AF367" i="9"/>
  <c r="AF359" i="9"/>
  <c r="AF351" i="9"/>
  <c r="AF345" i="9"/>
  <c r="AF343" i="9"/>
  <c r="AF340" i="9"/>
  <c r="AF331" i="9"/>
  <c r="AF323" i="9"/>
  <c r="AF322" i="9"/>
  <c r="AF309" i="9"/>
  <c r="AF301" i="9"/>
  <c r="AF296" i="9"/>
  <c r="AF291" i="9"/>
  <c r="AF287" i="9"/>
  <c r="AF277" i="9"/>
  <c r="AF273" i="9"/>
  <c r="AF268" i="9"/>
  <c r="AF265" i="9"/>
  <c r="AF264" i="9"/>
  <c r="AF261" i="9"/>
  <c r="AF250" i="9"/>
  <c r="AF249" i="9"/>
  <c r="AF247" i="9"/>
  <c r="AF240" i="9"/>
  <c r="AF237" i="9"/>
  <c r="AF236" i="9"/>
  <c r="AF235" i="9"/>
  <c r="AF232" i="9"/>
  <c r="AF227" i="9"/>
  <c r="AF223" i="9"/>
  <c r="AF219" i="9"/>
  <c r="AF217" i="9"/>
  <c r="AF208" i="9"/>
  <c r="AF204" i="9"/>
  <c r="AF196" i="9"/>
  <c r="AF192" i="9"/>
  <c r="AF181" i="9"/>
  <c r="AF173" i="9"/>
  <c r="AF155" i="9"/>
  <c r="AF147" i="9"/>
  <c r="AF145" i="9"/>
  <c r="AF142" i="9"/>
  <c r="AF141" i="9"/>
  <c r="AF139" i="9"/>
  <c r="AF115" i="9"/>
  <c r="AF103" i="9"/>
  <c r="AF100" i="9"/>
  <c r="AF94" i="9"/>
  <c r="AF85" i="9"/>
  <c r="AF81" i="9"/>
  <c r="AF71" i="9"/>
  <c r="AF58" i="9"/>
  <c r="AF39" i="9"/>
  <c r="AF27" i="9"/>
  <c r="AF17" i="9"/>
  <c r="AL2" i="9"/>
  <c r="AF36" i="10"/>
  <c r="AC37" i="10"/>
  <c r="AF382" i="9"/>
  <c r="AF374" i="9"/>
  <c r="AF361" i="9"/>
  <c r="AF346" i="9"/>
  <c r="AF336" i="9"/>
  <c r="AF327" i="9"/>
  <c r="K36" i="10"/>
  <c r="L36" i="10"/>
  <c r="K58" i="10"/>
  <c r="K59" i="10"/>
  <c r="K60" i="10"/>
  <c r="K61" i="10"/>
  <c r="K37" i="10"/>
  <c r="L58" i="10"/>
  <c r="L59" i="10"/>
  <c r="L60" i="10"/>
  <c r="L61" i="10"/>
  <c r="L37" i="10"/>
  <c r="C19" i="10"/>
  <c r="L30" i="10"/>
  <c r="AE55" i="10"/>
  <c r="AD57" i="10"/>
  <c r="AF67" i="10"/>
  <c r="AD72" i="10"/>
  <c r="AD38" i="10"/>
  <c r="AF39" i="10"/>
  <c r="AF41" i="10"/>
  <c r="AF43" i="10"/>
  <c r="AG47" i="10"/>
  <c r="AG48" i="10"/>
  <c r="AE54" i="10"/>
  <c r="AE57" i="10"/>
  <c r="AB60" i="10"/>
  <c r="AE64" i="10"/>
  <c r="AD65" i="10"/>
  <c r="AE69" i="10"/>
  <c r="AE70" i="10"/>
  <c r="AE71" i="10"/>
  <c r="AE72" i="10"/>
  <c r="AE78" i="10"/>
  <c r="AD36" i="10"/>
  <c r="AE66" i="10"/>
  <c r="AE80" i="10"/>
  <c r="AE38" i="10"/>
  <c r="AE65" i="10"/>
  <c r="AE36" i="10"/>
  <c r="AD37" i="10"/>
  <c r="AF40" i="10"/>
  <c r="AF42" i="10"/>
  <c r="AE50" i="10"/>
  <c r="AE51" i="10"/>
  <c r="AD55" i="10"/>
  <c r="AD56" i="10"/>
  <c r="AB57" i="10"/>
  <c r="AB58" i="10"/>
  <c r="AE67" i="10"/>
  <c r="AE37" i="10"/>
  <c r="AF51" i="10"/>
  <c r="AE56" i="10"/>
  <c r="AB59" i="10"/>
  <c r="AD64" i="10"/>
  <c r="AD69" i="10"/>
  <c r="AD70" i="10"/>
  <c r="AD71" i="10"/>
  <c r="AD78" i="10"/>
  <c r="AC48" i="10"/>
  <c r="AF38" i="10"/>
  <c r="AG44" i="10"/>
  <c r="AB48" i="10"/>
  <c r="AG49" i="10"/>
  <c r="AG52" i="10"/>
  <c r="AE52" i="10"/>
  <c r="AF53" i="10"/>
  <c r="AB52" i="10"/>
  <c r="AD54" i="10"/>
  <c r="AC60" i="10"/>
  <c r="AD59" i="10"/>
  <c r="AF61" i="10"/>
  <c r="AD66" i="10"/>
  <c r="AE62" i="10"/>
  <c r="AF55" i="10"/>
  <c r="AF56" i="10"/>
  <c r="AE61" i="10"/>
  <c r="AF68" i="10"/>
  <c r="AF70" i="10"/>
  <c r="AF72" i="10"/>
  <c r="AF74" i="10"/>
  <c r="AF77" i="10"/>
  <c r="AD74" i="10"/>
  <c r="AB78" i="10"/>
  <c r="AF78" i="10"/>
  <c r="AD75" i="10"/>
  <c r="AD76" i="10"/>
  <c r="AD77" i="10"/>
  <c r="AF81" i="10"/>
  <c r="AF66" i="10"/>
  <c r="AD68" i="10"/>
  <c r="AB49" i="10"/>
  <c r="AF37" i="10"/>
  <c r="AF45" i="10"/>
  <c r="AG73" i="10"/>
  <c r="AG68" i="10"/>
  <c r="AG72" i="10"/>
  <c r="AF48" i="10"/>
  <c r="AC49" i="10"/>
  <c r="AC47" i="10"/>
  <c r="AD50" i="10"/>
  <c r="AG46" i="10"/>
  <c r="AB53" i="10"/>
  <c r="AG53" i="10"/>
  <c r="AD53" i="10"/>
  <c r="AD67" i="10"/>
  <c r="AD60" i="10"/>
  <c r="AG62" i="10"/>
  <c r="AD63" i="10"/>
  <c r="AG60" i="10"/>
  <c r="AG61" i="10"/>
  <c r="AE58" i="10"/>
  <c r="AG64" i="10"/>
  <c r="AC78" i="10"/>
  <c r="AG78" i="10"/>
  <c r="AC79" i="10"/>
  <c r="AC80" i="10"/>
  <c r="AG80" i="10"/>
  <c r="AG75" i="10"/>
  <c r="AG65" i="10"/>
  <c r="AC74" i="10"/>
  <c r="AC76" i="10"/>
  <c r="AC81" i="10"/>
  <c r="AC77" i="10"/>
  <c r="AG81" i="10"/>
  <c r="AG66" i="10"/>
  <c r="AC69" i="10"/>
  <c r="AC70" i="10"/>
  <c r="AC71" i="10"/>
  <c r="AC72" i="10"/>
  <c r="AC73" i="10"/>
  <c r="AC75" i="10"/>
  <c r="AG76" i="10"/>
  <c r="AD51" i="10"/>
  <c r="AG40" i="10"/>
  <c r="AG51" i="10"/>
  <c r="AG77" i="10"/>
  <c r="AG69" i="10"/>
  <c r="AG41" i="10"/>
  <c r="AC57" i="10"/>
  <c r="AF46" i="10"/>
  <c r="AG38" i="10"/>
  <c r="AE49" i="10"/>
  <c r="AG45" i="10"/>
  <c r="AF52" i="10"/>
  <c r="AC53" i="10"/>
  <c r="AD52" i="10"/>
  <c r="AC52" i="10"/>
  <c r="AE59" i="10"/>
  <c r="AF60" i="10"/>
  <c r="AD62" i="10"/>
  <c r="AG55" i="10"/>
  <c r="AG56" i="10"/>
  <c r="AD61" i="10"/>
  <c r="AF69" i="10"/>
  <c r="AF71" i="10"/>
  <c r="AF73" i="10"/>
  <c r="AE74" i="10"/>
  <c r="AE81" i="10"/>
  <c r="AE73" i="10"/>
  <c r="AE75" i="10"/>
  <c r="AE76" i="10"/>
  <c r="AE77" i="10"/>
  <c r="AE68" i="10"/>
  <c r="AE79" i="10"/>
  <c r="AG39" i="10"/>
  <c r="AB51" i="10"/>
  <c r="AG42" i="10"/>
  <c r="AC59" i="10"/>
  <c r="AF49" i="10"/>
  <c r="AG70" i="10"/>
  <c r="AG43" i="10"/>
  <c r="AE63" i="10"/>
  <c r="AG37" i="10"/>
  <c r="AB36" i="10"/>
  <c r="AB37" i="10"/>
  <c r="AG36" i="10"/>
  <c r="AC51" i="10"/>
  <c r="AD49" i="10"/>
  <c r="AB47" i="10"/>
  <c r="AE53" i="10"/>
  <c r="AF63" i="10"/>
  <c r="AD80" i="10"/>
  <c r="AE60" i="10"/>
  <c r="AD58" i="10"/>
  <c r="AF64" i="10"/>
  <c r="AB79" i="10"/>
  <c r="AB80" i="10"/>
  <c r="AF80" i="10"/>
  <c r="AF75" i="10"/>
  <c r="AF65" i="10"/>
  <c r="AB74" i="10"/>
  <c r="AD81" i="10"/>
  <c r="AB76" i="10"/>
  <c r="AB81" i="10"/>
  <c r="AD73" i="10"/>
  <c r="AB77" i="10"/>
  <c r="AB69" i="10"/>
  <c r="AB70" i="10"/>
  <c r="AB71" i="10"/>
  <c r="AB72" i="10"/>
  <c r="AB73" i="10"/>
  <c r="AB75" i="10"/>
  <c r="AF76" i="10"/>
  <c r="AD79" i="10"/>
  <c r="AG63" i="10"/>
  <c r="AC58" i="10"/>
  <c r="AF44" i="10"/>
  <c r="AF62" i="10"/>
  <c r="AG67" i="10"/>
  <c r="AG71" i="10"/>
  <c r="AF47" i="10"/>
  <c r="AG74" i="10"/>
  <c r="AF399" i="9"/>
  <c r="AF316" i="9"/>
  <c r="AF308" i="9"/>
  <c r="AE79" i="9"/>
  <c r="AE75" i="9"/>
  <c r="AE7" i="9"/>
  <c r="AF395" i="9"/>
  <c r="AF337" i="9"/>
  <c r="AF320" i="9"/>
  <c r="AF290" i="9"/>
  <c r="AF257" i="9"/>
  <c r="AE357" i="9"/>
  <c r="AE321" i="9"/>
  <c r="AE295" i="9"/>
  <c r="AE175" i="9"/>
  <c r="AE107" i="9"/>
  <c r="AE341" i="9"/>
  <c r="AF286" i="9"/>
  <c r="AF267" i="9"/>
  <c r="AF239" i="9"/>
  <c r="AF154" i="9"/>
  <c r="AF275" i="9"/>
  <c r="AF349" i="9"/>
  <c r="AF282" i="9"/>
  <c r="AF252" i="9"/>
  <c r="AF244" i="9"/>
  <c r="AF228" i="9"/>
  <c r="AF157" i="9"/>
  <c r="AF153" i="9"/>
  <c r="AF140" i="9"/>
  <c r="AF105" i="9"/>
  <c r="AF44" i="9"/>
  <c r="AF36" i="9"/>
  <c r="AF32" i="9"/>
  <c r="AF190" i="9"/>
  <c r="AF305" i="9"/>
  <c r="AF289" i="9"/>
  <c r="AF211" i="9"/>
  <c r="AF203" i="9"/>
  <c r="AF189" i="9"/>
  <c r="AF164" i="9"/>
  <c r="AF131" i="9"/>
  <c r="AF403" i="9"/>
  <c r="AF391" i="9"/>
  <c r="AF373" i="9"/>
  <c r="AF363" i="9"/>
  <c r="AF354" i="9"/>
  <c r="AF347" i="9"/>
  <c r="AF334" i="9"/>
  <c r="AF302" i="9"/>
  <c r="AF288" i="9"/>
  <c r="AF281" i="9"/>
  <c r="AF270" i="9"/>
  <c r="AF243" i="9"/>
  <c r="AF221" i="9"/>
  <c r="AF215" i="9"/>
  <c r="AF202" i="9"/>
  <c r="AF193" i="9"/>
  <c r="AF163" i="9"/>
  <c r="AF144" i="9"/>
  <c r="AF92" i="9"/>
  <c r="AF49" i="9"/>
  <c r="AF35" i="9"/>
  <c r="AE195" i="9"/>
  <c r="AC40" i="10"/>
  <c r="AB40" i="10"/>
  <c r="AC42" i="10"/>
  <c r="AB42" i="10"/>
  <c r="AC44" i="10"/>
  <c r="AB44" i="10"/>
  <c r="AN44" i="10"/>
  <c r="AC38" i="10"/>
  <c r="AM38" i="10"/>
  <c r="AB38" i="10"/>
  <c r="AN38" i="10"/>
  <c r="AD41" i="10"/>
  <c r="AE41" i="10"/>
  <c r="AC50" i="10"/>
  <c r="AB50" i="10"/>
  <c r="AD48" i="10"/>
  <c r="AE48" i="10"/>
  <c r="AF50" i="10"/>
  <c r="AG50" i="10"/>
  <c r="AQ50" i="10"/>
  <c r="AG59" i="10"/>
  <c r="AF59" i="10"/>
  <c r="AQ59" i="10"/>
  <c r="AR59" i="10"/>
  <c r="AC56" i="10"/>
  <c r="AB56" i="10"/>
  <c r="AG54" i="10"/>
  <c r="AF54" i="10"/>
  <c r="AC62" i="10"/>
  <c r="AB62" i="10"/>
  <c r="AC65" i="10"/>
  <c r="AB65" i="10"/>
  <c r="AM65" i="10"/>
  <c r="AC45" i="10"/>
  <c r="AB45" i="10"/>
  <c r="AM45" i="10"/>
  <c r="AN45" i="10"/>
  <c r="AD42" i="10"/>
  <c r="AE42" i="10"/>
  <c r="AD44" i="10"/>
  <c r="AE44" i="10"/>
  <c r="AC54" i="10"/>
  <c r="AB54" i="10"/>
  <c r="AC63" i="10"/>
  <c r="AB63" i="10"/>
  <c r="AC68" i="10"/>
  <c r="AM68" i="10"/>
  <c r="AB68" i="10"/>
  <c r="AN68" i="10"/>
  <c r="AC39" i="10"/>
  <c r="AB39" i="10"/>
  <c r="AC41" i="10"/>
  <c r="AB41" i="10"/>
  <c r="AC43" i="10"/>
  <c r="AB43" i="10"/>
  <c r="AC46" i="10"/>
  <c r="AB46" i="10"/>
  <c r="AN46" i="10"/>
  <c r="AO39" i="10"/>
  <c r="AD39" i="10"/>
  <c r="AE39" i="10"/>
  <c r="AP39" i="10"/>
  <c r="AD43" i="10"/>
  <c r="AE43" i="10"/>
  <c r="AD46" i="10"/>
  <c r="AE46" i="10"/>
  <c r="AG57" i="10"/>
  <c r="AF57" i="10"/>
  <c r="AC55" i="10"/>
  <c r="AB55" i="10"/>
  <c r="AN55" i="10"/>
  <c r="AC64" i="10"/>
  <c r="AB64" i="10"/>
  <c r="AN64" i="10"/>
  <c r="AM64" i="10"/>
  <c r="AC66" i="10"/>
  <c r="AB66" i="10"/>
  <c r="AD40" i="10"/>
  <c r="AE40" i="10"/>
  <c r="AD45" i="10"/>
  <c r="AE45" i="10"/>
  <c r="AD47" i="10"/>
  <c r="AE47" i="10"/>
  <c r="AO47" i="10"/>
  <c r="AG58" i="10"/>
  <c r="AF58" i="10"/>
  <c r="AQ58" i="10"/>
  <c r="AR58" i="10"/>
  <c r="AC61" i="10"/>
  <c r="AB61" i="10"/>
  <c r="AC67" i="10"/>
  <c r="AB67" i="10"/>
  <c r="AG79" i="10"/>
  <c r="AF79" i="10"/>
  <c r="Z35" i="10"/>
  <c r="AD35" i="10" s="1"/>
  <c r="W32" i="10"/>
  <c r="AJ31" i="10" s="1"/>
  <c r="H32" i="10" s="1"/>
  <c r="AA34" i="10"/>
  <c r="AG34" i="10" s="1"/>
  <c r="AI31" i="10"/>
  <c r="AI27" i="10" s="1"/>
  <c r="AH31" i="10"/>
  <c r="AI32" i="10" s="1"/>
  <c r="Z34" i="10"/>
  <c r="AE34" i="10" s="1"/>
  <c r="Y34" i="10"/>
  <c r="AC34" i="10" s="1"/>
  <c r="AJ84" i="6"/>
  <c r="V84" i="6"/>
  <c r="AF387" i="9"/>
  <c r="AF325" i="9"/>
  <c r="AF313" i="9"/>
  <c r="AF307" i="9"/>
  <c r="AF263" i="9"/>
  <c r="AF245" i="9"/>
  <c r="AF176" i="9"/>
  <c r="AF64" i="9"/>
  <c r="AE358" i="9"/>
  <c r="AF358" i="9"/>
  <c r="AE355" i="9"/>
  <c r="AF355" i="9"/>
  <c r="AE315" i="9"/>
  <c r="AF315" i="9"/>
  <c r="AE310" i="9"/>
  <c r="AF310" i="9"/>
  <c r="AE304" i="9"/>
  <c r="AF304" i="9"/>
  <c r="AE300" i="9"/>
  <c r="AF300" i="9"/>
  <c r="AE297" i="9"/>
  <c r="AF297" i="9"/>
  <c r="AE284" i="9"/>
  <c r="AF284" i="9"/>
  <c r="AE276" i="9"/>
  <c r="AF276" i="9"/>
  <c r="AE269" i="9"/>
  <c r="AE266" i="9"/>
  <c r="AE260" i="9"/>
  <c r="AF260" i="9"/>
  <c r="AE255" i="9"/>
  <c r="AF255" i="9"/>
  <c r="AE238" i="9"/>
  <c r="AE231" i="9"/>
  <c r="AE169" i="9"/>
  <c r="AF169" i="9"/>
  <c r="AI84" i="6"/>
  <c r="AV33" i="10"/>
  <c r="L28" i="10" s="1"/>
  <c r="AF397" i="9"/>
  <c r="AE397" i="9"/>
  <c r="AE390" i="9"/>
  <c r="AF390" i="9"/>
  <c r="AE383" i="9"/>
  <c r="AF383" i="9"/>
  <c r="AE339" i="9"/>
  <c r="AF339" i="9"/>
  <c r="AE332" i="9"/>
  <c r="AF332" i="9"/>
  <c r="AE328" i="9"/>
  <c r="AF328" i="9"/>
  <c r="AE299" i="9"/>
  <c r="AF299" i="9"/>
  <c r="AE293" i="9"/>
  <c r="AF293" i="9"/>
  <c r="AE283" i="9"/>
  <c r="AF283" i="9"/>
  <c r="AE272" i="9"/>
  <c r="AF272" i="9"/>
  <c r="AE259" i="9"/>
  <c r="AF259" i="9"/>
  <c r="AE241" i="9"/>
  <c r="AF241" i="9"/>
  <c r="AF207" i="9"/>
  <c r="AE207" i="9"/>
  <c r="AE199" i="9"/>
  <c r="AF199" i="9"/>
  <c r="AE180" i="9"/>
  <c r="AF180" i="9"/>
  <c r="AE172" i="9"/>
  <c r="AF172" i="9"/>
  <c r="AE136" i="9"/>
  <c r="AF136" i="9"/>
  <c r="AE121" i="9"/>
  <c r="AF121" i="9"/>
  <c r="AE117" i="9"/>
  <c r="AF117" i="9"/>
  <c r="AE112" i="9"/>
  <c r="AF112" i="9"/>
  <c r="AE108" i="9"/>
  <c r="AF108" i="9"/>
  <c r="AE97" i="9"/>
  <c r="AF97" i="9"/>
  <c r="AE83" i="9"/>
  <c r="AF83" i="9"/>
  <c r="AE68" i="9"/>
  <c r="AF68" i="9"/>
  <c r="AE59" i="9"/>
  <c r="AF59" i="9"/>
  <c r="AE45" i="9"/>
  <c r="AF45" i="9"/>
  <c r="AE28" i="9"/>
  <c r="AF28" i="9"/>
  <c r="AE24" i="9"/>
  <c r="AF24" i="9"/>
  <c r="AE21" i="9"/>
  <c r="AF21" i="9"/>
  <c r="AE16" i="9"/>
  <c r="AF16" i="9"/>
  <c r="AF5" i="9"/>
  <c r="AE5" i="9"/>
  <c r="I84" i="6"/>
  <c r="E30" i="10"/>
  <c r="AF93" i="9"/>
  <c r="AF40" i="9"/>
  <c r="AE401" i="9"/>
  <c r="AF401" i="9"/>
  <c r="AE338" i="9"/>
  <c r="AF338" i="9"/>
  <c r="AE324" i="9"/>
  <c r="AF324" i="9"/>
  <c r="AE205" i="9"/>
  <c r="AF205" i="9"/>
  <c r="AF143" i="9"/>
  <c r="AE143" i="9"/>
  <c r="C118" i="6"/>
  <c r="AQ82" i="6"/>
  <c r="AQ83" i="6" s="1"/>
  <c r="AQ84" i="6" s="1"/>
  <c r="AL82" i="6"/>
  <c r="AL83" i="6" s="1"/>
  <c r="AL84" i="6" s="1"/>
  <c r="AH82" i="6"/>
  <c r="AH83" i="6" s="1"/>
  <c r="AG84" i="6" s="1"/>
  <c r="AC82" i="6"/>
  <c r="AC83" i="6" s="1"/>
  <c r="AB84" i="6" s="1"/>
  <c r="Y82" i="6"/>
  <c r="Y83" i="6" s="1"/>
  <c r="Y84" i="6" s="1"/>
  <c r="T82" i="6"/>
  <c r="T83" i="6" s="1"/>
  <c r="O82" i="6"/>
  <c r="O83" i="6" s="1"/>
  <c r="N84" i="6" s="1"/>
  <c r="K82" i="6"/>
  <c r="K83" i="6" s="1"/>
  <c r="F82" i="6"/>
  <c r="F83" i="6" s="1"/>
  <c r="E84" i="6" s="1"/>
  <c r="AF279" i="9"/>
  <c r="AF55" i="9"/>
  <c r="AF11" i="9"/>
  <c r="AF377" i="9"/>
  <c r="AE377" i="9"/>
  <c r="AE365" i="9"/>
  <c r="AE256" i="9"/>
  <c r="AF256" i="9"/>
  <c r="AE225" i="9"/>
  <c r="AF225" i="9"/>
  <c r="AE188" i="9"/>
  <c r="AF188" i="9"/>
  <c r="AE135" i="9"/>
  <c r="AF135" i="9"/>
  <c r="AE96" i="9"/>
  <c r="AF96" i="9"/>
  <c r="AE20" i="9"/>
  <c r="AF20" i="9"/>
  <c r="AE15" i="9"/>
  <c r="AF15" i="9"/>
  <c r="AE10" i="9"/>
  <c r="AF10" i="9"/>
  <c r="AA14" i="9"/>
  <c r="AA38" i="9"/>
  <c r="AA62" i="9"/>
  <c r="AA86" i="9"/>
  <c r="AA110" i="9"/>
  <c r="AA134" i="9"/>
  <c r="AA146" i="9"/>
  <c r="AD146" i="9" s="1"/>
  <c r="AE146" i="9" s="1"/>
  <c r="AA150" i="9"/>
  <c r="AD150" i="9" s="1"/>
  <c r="AA158" i="9"/>
  <c r="AD158" i="9" s="1"/>
  <c r="AA162" i="9"/>
  <c r="AD162" i="9" s="1"/>
  <c r="AA170" i="9"/>
  <c r="AD170" i="9" s="1"/>
  <c r="AA174" i="9"/>
  <c r="AD174" i="9" s="1"/>
  <c r="AA182" i="9"/>
  <c r="AM182" i="9" s="1"/>
  <c r="AA186" i="9"/>
  <c r="AD186" i="9" s="1"/>
  <c r="AA194" i="9"/>
  <c r="AD194" i="9" s="1"/>
  <c r="AA198" i="9"/>
  <c r="AD198" i="9" s="1"/>
  <c r="AA6" i="9"/>
  <c r="AA30" i="9"/>
  <c r="AA54" i="9"/>
  <c r="AA78" i="9"/>
  <c r="AA102" i="9"/>
  <c r="AA126" i="9"/>
  <c r="AA206" i="9"/>
  <c r="AD206" i="9" s="1"/>
  <c r="AA42" i="9"/>
  <c r="AA90" i="9"/>
  <c r="AA138" i="9"/>
  <c r="AD2" i="9"/>
  <c r="AA18" i="9"/>
  <c r="AA66" i="9"/>
  <c r="AA114" i="9"/>
  <c r="E83" i="10"/>
  <c r="AX81" i="10"/>
  <c r="AW80" i="10"/>
  <c r="AW78" i="10"/>
  <c r="AX76" i="10"/>
  <c r="E75" i="10"/>
  <c r="E73" i="10"/>
  <c r="AW71" i="10"/>
  <c r="AX69" i="10"/>
  <c r="AX67" i="10"/>
  <c r="E66" i="10"/>
  <c r="AW64" i="10"/>
  <c r="AW62" i="10"/>
  <c r="AX60" i="10"/>
  <c r="E59" i="10"/>
  <c r="E57" i="10"/>
  <c r="AX55" i="10"/>
  <c r="AW54" i="10"/>
  <c r="AX51" i="10"/>
  <c r="AW50" i="10"/>
  <c r="AX47" i="10"/>
  <c r="AW46" i="10"/>
  <c r="AX43" i="10"/>
  <c r="AW42" i="10"/>
  <c r="AX39" i="10"/>
  <c r="AW38" i="10"/>
  <c r="AX35" i="10"/>
  <c r="S6" i="10"/>
  <c r="U6" i="10" s="1"/>
  <c r="R6" i="10"/>
  <c r="T6" i="10" s="1"/>
  <c r="AF179" i="9"/>
  <c r="AF130" i="9"/>
  <c r="AF116" i="9"/>
  <c r="AF104" i="9"/>
  <c r="AF53" i="9"/>
  <c r="AE306" i="9"/>
  <c r="AF306" i="9"/>
  <c r="AE292" i="9"/>
  <c r="AF292" i="9"/>
  <c r="AE278" i="9"/>
  <c r="AF278" i="9"/>
  <c r="AE251" i="9"/>
  <c r="AF251" i="9"/>
  <c r="AE229" i="9"/>
  <c r="AF229" i="9"/>
  <c r="AE212" i="9"/>
  <c r="AF212" i="9"/>
  <c r="AE167" i="9"/>
  <c r="AF167" i="9"/>
  <c r="AE148" i="9"/>
  <c r="AF148" i="9"/>
  <c r="AE129" i="9"/>
  <c r="AF129" i="9"/>
  <c r="AE91" i="9"/>
  <c r="AF91" i="9"/>
  <c r="AE73" i="9"/>
  <c r="AF73" i="9"/>
  <c r="AE61" i="9"/>
  <c r="AF61" i="9"/>
  <c r="AE57" i="9"/>
  <c r="AF57" i="9"/>
  <c r="AM138" i="9"/>
  <c r="AA74" i="9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AW57" i="10"/>
  <c r="AX58" i="10"/>
  <c r="E60" i="10"/>
  <c r="AW61" i="10"/>
  <c r="AX62" i="10"/>
  <c r="E64" i="10"/>
  <c r="AW65" i="10"/>
  <c r="AX66" i="10"/>
  <c r="E68" i="10"/>
  <c r="AW69" i="10"/>
  <c r="AX70" i="10"/>
  <c r="E72" i="10"/>
  <c r="AW73" i="10"/>
  <c r="AX74" i="10"/>
  <c r="E76" i="10"/>
  <c r="AW77" i="10"/>
  <c r="AX78" i="10"/>
  <c r="E80" i="10"/>
  <c r="AF183" i="9"/>
  <c r="AF168" i="9"/>
  <c r="AF87" i="9"/>
  <c r="AE371" i="9"/>
  <c r="AF371" i="9"/>
  <c r="AE353" i="9"/>
  <c r="AF353" i="9"/>
  <c r="AE329" i="9"/>
  <c r="AF329" i="9"/>
  <c r="AE274" i="9"/>
  <c r="AF274" i="9"/>
  <c r="AE51" i="9"/>
  <c r="AF51" i="9"/>
  <c r="AE29" i="9"/>
  <c r="AF29" i="9"/>
  <c r="AM198" i="9"/>
  <c r="AN150" i="9"/>
  <c r="AA50" i="9"/>
  <c r="AA258" i="9"/>
  <c r="AD258" i="9" s="1"/>
  <c r="AA254" i="9"/>
  <c r="AD254" i="9" s="1"/>
  <c r="AA246" i="9"/>
  <c r="AD246" i="9" s="1"/>
  <c r="AA242" i="9"/>
  <c r="AD242" i="9" s="1"/>
  <c r="AA234" i="9"/>
  <c r="AD234" i="9" s="1"/>
  <c r="AA230" i="9"/>
  <c r="AD230" i="9" s="1"/>
  <c r="AA222" i="9"/>
  <c r="AD222" i="9" s="1"/>
  <c r="AA218" i="9"/>
  <c r="AD218" i="9" s="1"/>
  <c r="AA210" i="9"/>
  <c r="AD210" i="9" s="1"/>
  <c r="AE210" i="9" s="1"/>
  <c r="AA122" i="9"/>
  <c r="AA26" i="9"/>
  <c r="AX24" i="9"/>
  <c r="AS24" i="9" s="1"/>
  <c r="AX56" i="9"/>
  <c r="AS56" i="9" s="1"/>
  <c r="AX96" i="9"/>
  <c r="AS96" i="9" s="1"/>
  <c r="AX160" i="9"/>
  <c r="AS160" i="9" s="1"/>
  <c r="AX224" i="9"/>
  <c r="AS224" i="9" s="1"/>
  <c r="AX316" i="9"/>
  <c r="AS316" i="9" s="1"/>
  <c r="AN246" i="9"/>
  <c r="AN242" i="9"/>
  <c r="AM218" i="9"/>
  <c r="AX8" i="9"/>
  <c r="AS8" i="9" s="1"/>
  <c r="AX40" i="9"/>
  <c r="AS40" i="9" s="1"/>
  <c r="AX72" i="9"/>
  <c r="AS72" i="9" s="1"/>
  <c r="AX128" i="9"/>
  <c r="AS128" i="9" s="1"/>
  <c r="AX192" i="9"/>
  <c r="AS192" i="9" s="1"/>
  <c r="AX256" i="9"/>
  <c r="AS256" i="9" s="1"/>
  <c r="AX364" i="9"/>
  <c r="AS364" i="9" s="1"/>
  <c r="AX300" i="9"/>
  <c r="AS300" i="9" s="1"/>
  <c r="AX248" i="9"/>
  <c r="AS248" i="9" s="1"/>
  <c r="AX216" i="9"/>
  <c r="AS216" i="9" s="1"/>
  <c r="AX184" i="9"/>
  <c r="AS184" i="9" s="1"/>
  <c r="AX152" i="9"/>
  <c r="AS152" i="9" s="1"/>
  <c r="AX120" i="9"/>
  <c r="AS120" i="9" s="1"/>
  <c r="AX88" i="9"/>
  <c r="AS88" i="9" s="1"/>
  <c r="AX67" i="9"/>
  <c r="AS67" i="9" s="1"/>
  <c r="AX51" i="9"/>
  <c r="AS51" i="9" s="1"/>
  <c r="AX35" i="9"/>
  <c r="AS35" i="9" s="1"/>
  <c r="AX19" i="9"/>
  <c r="AS19" i="9" s="1"/>
  <c r="AX348" i="9"/>
  <c r="AS348" i="9" s="1"/>
  <c r="AX284" i="9"/>
  <c r="AS284" i="9" s="1"/>
  <c r="AX240" i="9"/>
  <c r="AS240" i="9" s="1"/>
  <c r="AX208" i="9"/>
  <c r="AS208" i="9" s="1"/>
  <c r="AX176" i="9"/>
  <c r="AS176" i="9" s="1"/>
  <c r="AX144" i="9"/>
  <c r="AS144" i="9" s="1"/>
  <c r="AX112" i="9"/>
  <c r="AS112" i="9" s="1"/>
  <c r="AX80" i="9"/>
  <c r="AS80" i="9" s="1"/>
  <c r="AX64" i="9"/>
  <c r="AS64" i="9" s="1"/>
  <c r="AX48" i="9"/>
  <c r="AS48" i="9" s="1"/>
  <c r="AX32" i="9"/>
  <c r="AS32" i="9" s="1"/>
  <c r="AX16" i="9"/>
  <c r="AS16" i="9" s="1"/>
  <c r="J32" i="10"/>
  <c r="AT28" i="10" s="1"/>
  <c r="Y35" i="10"/>
  <c r="AB35" i="10" s="1"/>
  <c r="AA35" i="10"/>
  <c r="AF35" i="10" s="1"/>
  <c r="AH30" i="10"/>
  <c r="AP2" i="9"/>
  <c r="AM402" i="9"/>
  <c r="AM398" i="9"/>
  <c r="AM390" i="9"/>
  <c r="AM386" i="9"/>
  <c r="AM378" i="9"/>
  <c r="AM374" i="9"/>
  <c r="AM366" i="9"/>
  <c r="AM362" i="9"/>
  <c r="AM354" i="9"/>
  <c r="AM350" i="9"/>
  <c r="AM342" i="9"/>
  <c r="AM338" i="9"/>
  <c r="AM330" i="9"/>
  <c r="AM326" i="9"/>
  <c r="AM318" i="9"/>
  <c r="AM314" i="9"/>
  <c r="AM306" i="9"/>
  <c r="AM302" i="9"/>
  <c r="AM294" i="9"/>
  <c r="AM290" i="9"/>
  <c r="AM282" i="9"/>
  <c r="AM278" i="9"/>
  <c r="AM270" i="9"/>
  <c r="AM266" i="9"/>
  <c r="AM254" i="9"/>
  <c r="AM246" i="9"/>
  <c r="AM234" i="9"/>
  <c r="AN186" i="9"/>
  <c r="AX376" i="9"/>
  <c r="AS376" i="9" s="1"/>
  <c r="C25" i="5"/>
  <c r="C66" i="6"/>
  <c r="C72" i="6" s="1"/>
  <c r="C69" i="6"/>
  <c r="C21" i="5"/>
  <c r="C60" i="6"/>
  <c r="A60" i="6" s="1"/>
  <c r="C12" i="5"/>
  <c r="A12" i="5" s="1"/>
  <c r="C10" i="5"/>
  <c r="C11" i="5"/>
  <c r="C18" i="5"/>
  <c r="F84" i="6"/>
  <c r="G84" i="6"/>
  <c r="AE400" i="9"/>
  <c r="AF400" i="9"/>
  <c r="AE120" i="9"/>
  <c r="AF120" i="9"/>
  <c r="AE88" i="9"/>
  <c r="AF88" i="9"/>
  <c r="K84" i="6"/>
  <c r="AE380" i="9"/>
  <c r="AF380" i="9"/>
  <c r="AE348" i="9"/>
  <c r="AF348" i="9"/>
  <c r="AE178" i="9"/>
  <c r="AF178" i="9"/>
  <c r="AE165" i="9"/>
  <c r="AF165" i="9"/>
  <c r="AE63" i="9"/>
  <c r="AF63" i="9"/>
  <c r="AE312" i="9"/>
  <c r="AF312" i="9"/>
  <c r="Z84" i="6"/>
  <c r="AE392" i="9"/>
  <c r="AF392" i="9"/>
  <c r="AE360" i="9"/>
  <c r="AF360" i="9"/>
  <c r="AE285" i="9"/>
  <c r="AF285" i="9"/>
  <c r="AE271" i="9"/>
  <c r="AF271" i="9"/>
  <c r="AE253" i="9"/>
  <c r="AF253" i="9"/>
  <c r="AE233" i="9"/>
  <c r="AF233" i="9"/>
  <c r="AE95" i="9"/>
  <c r="AF95" i="9"/>
  <c r="C34" i="5"/>
  <c r="AS84" i="6"/>
  <c r="AA84" i="6"/>
  <c r="AE404" i="9"/>
  <c r="AF404" i="9"/>
  <c r="AE372" i="9"/>
  <c r="AF372" i="9"/>
  <c r="AE335" i="9"/>
  <c r="AF335" i="9"/>
  <c r="AE317" i="9"/>
  <c r="AF317" i="9"/>
  <c r="AE184" i="9"/>
  <c r="AF184" i="9"/>
  <c r="AE127" i="9"/>
  <c r="AF127" i="9"/>
  <c r="AE69" i="9"/>
  <c r="AF69" i="9"/>
  <c r="AE368" i="9"/>
  <c r="AF368" i="9"/>
  <c r="J84" i="6"/>
  <c r="AE384" i="9"/>
  <c r="AF384" i="9"/>
  <c r="AE352" i="9"/>
  <c r="AF352" i="9"/>
  <c r="AE303" i="9"/>
  <c r="AF303" i="9"/>
  <c r="AE191" i="9"/>
  <c r="AF191" i="9"/>
  <c r="AE133" i="9"/>
  <c r="AF133" i="9"/>
  <c r="AE101" i="9"/>
  <c r="AF101" i="9"/>
  <c r="AE41" i="9"/>
  <c r="AF41" i="9"/>
  <c r="C119" i="6"/>
  <c r="C68" i="6"/>
  <c r="C70" i="6" s="1"/>
  <c r="AE396" i="9"/>
  <c r="AF396" i="9"/>
  <c r="AE364" i="9"/>
  <c r="AF364" i="9"/>
  <c r="AE197" i="9"/>
  <c r="AF197" i="9"/>
  <c r="AE82" i="9"/>
  <c r="AF82" i="9"/>
  <c r="AE159" i="9"/>
  <c r="AF159" i="9"/>
  <c r="AE376" i="9"/>
  <c r="AF376" i="9"/>
  <c r="AE262" i="9"/>
  <c r="AF262" i="9"/>
  <c r="AE48" i="9"/>
  <c r="AF48" i="9"/>
  <c r="M84" i="6"/>
  <c r="E32" i="10"/>
  <c r="AE388" i="9"/>
  <c r="AF388" i="9"/>
  <c r="AE356" i="9"/>
  <c r="AF356" i="9"/>
  <c r="AE344" i="9"/>
  <c r="AF344" i="9"/>
  <c r="AE326" i="9"/>
  <c r="AF326" i="9"/>
  <c r="AE294" i="9"/>
  <c r="AF294" i="9"/>
  <c r="AE280" i="9"/>
  <c r="AF280" i="9"/>
  <c r="AE248" i="9"/>
  <c r="AF248" i="9"/>
  <c r="AE216" i="9"/>
  <c r="AF216" i="9"/>
  <c r="AE152" i="9"/>
  <c r="AF152" i="9"/>
  <c r="AE56" i="9"/>
  <c r="AF56" i="9"/>
  <c r="AN82" i="6"/>
  <c r="AN83" i="6" s="1"/>
  <c r="AM84" i="6" s="1"/>
  <c r="AF82" i="6"/>
  <c r="AF83" i="6" s="1"/>
  <c r="X82" i="6"/>
  <c r="X83" i="6" s="1"/>
  <c r="W84" i="6" s="1"/>
  <c r="P82" i="6"/>
  <c r="P83" i="6" s="1"/>
  <c r="AF402" i="9"/>
  <c r="AF394" i="9"/>
  <c r="AF386" i="9"/>
  <c r="AF378" i="9"/>
  <c r="AF370" i="9"/>
  <c r="AF362" i="9"/>
  <c r="AI14" i="9"/>
  <c r="AI15" i="9" s="1"/>
  <c r="AI8" i="9"/>
  <c r="AI9" i="9" s="1"/>
  <c r="AM194" i="9"/>
  <c r="AN194" i="9"/>
  <c r="AM146" i="9"/>
  <c r="AN402" i="9"/>
  <c r="AN398" i="9"/>
  <c r="AN390" i="9"/>
  <c r="AN386" i="9"/>
  <c r="AN378" i="9"/>
  <c r="AN374" i="9"/>
  <c r="AN366" i="9"/>
  <c r="AN362" i="9"/>
  <c r="AN354" i="9"/>
  <c r="AN350" i="9"/>
  <c r="AN342" i="9"/>
  <c r="AN338" i="9"/>
  <c r="AN330" i="9"/>
  <c r="AN326" i="9"/>
  <c r="AN318" i="9"/>
  <c r="AN314" i="9"/>
  <c r="AN306" i="9"/>
  <c r="AN302" i="9"/>
  <c r="AN294" i="9"/>
  <c r="AN290" i="9"/>
  <c r="AN282" i="9"/>
  <c r="AN278" i="9"/>
  <c r="AN270" i="9"/>
  <c r="AN266" i="9"/>
  <c r="AN230" i="9"/>
  <c r="AN222" i="9"/>
  <c r="AN218" i="9"/>
  <c r="AN210" i="9"/>
  <c r="AC6" i="9"/>
  <c r="AM6" i="9" s="1"/>
  <c r="AC14" i="9"/>
  <c r="AD14" i="9" s="1"/>
  <c r="AC18" i="9"/>
  <c r="AD18" i="9" s="1"/>
  <c r="AC26" i="9"/>
  <c r="AD26" i="9" s="1"/>
  <c r="AC30" i="9"/>
  <c r="AD30" i="9" s="1"/>
  <c r="AC38" i="9"/>
  <c r="AD38" i="9" s="1"/>
  <c r="AC42" i="9"/>
  <c r="AD42" i="9" s="1"/>
  <c r="AC50" i="9"/>
  <c r="AD50" i="9" s="1"/>
  <c r="AC54" i="9"/>
  <c r="AC62" i="9"/>
  <c r="AC66" i="9"/>
  <c r="AC74" i="9"/>
  <c r="AC78" i="9"/>
  <c r="AC86" i="9"/>
  <c r="AC90" i="9"/>
  <c r="AC98" i="9"/>
  <c r="AD98" i="9" s="1"/>
  <c r="AC102" i="9"/>
  <c r="AC110" i="9"/>
  <c r="AC114" i="9"/>
  <c r="AC122" i="9"/>
  <c r="AD122" i="9" s="1"/>
  <c r="AC126" i="9"/>
  <c r="AD126" i="9" s="1"/>
  <c r="AC134" i="9"/>
  <c r="AD134" i="9" s="1"/>
  <c r="AM86" i="9"/>
  <c r="AE35" i="10"/>
  <c r="AX9" i="9"/>
  <c r="AS9" i="9" s="1"/>
  <c r="AX17" i="9"/>
  <c r="AS17" i="9" s="1"/>
  <c r="AX25" i="9"/>
  <c r="AS25" i="9" s="1"/>
  <c r="AX33" i="9"/>
  <c r="AS33" i="9" s="1"/>
  <c r="AX41" i="9"/>
  <c r="AS41" i="9" s="1"/>
  <c r="AX49" i="9"/>
  <c r="AS49" i="9" s="1"/>
  <c r="AX57" i="9"/>
  <c r="AS57" i="9" s="1"/>
  <c r="AX65" i="9"/>
  <c r="AS65" i="9" s="1"/>
  <c r="AX73" i="9"/>
  <c r="AS73" i="9" s="1"/>
  <c r="AX81" i="9"/>
  <c r="AS81" i="9" s="1"/>
  <c r="AX89" i="9"/>
  <c r="AS89" i="9" s="1"/>
  <c r="AX97" i="9"/>
  <c r="AS97" i="9" s="1"/>
  <c r="AX105" i="9"/>
  <c r="AS105" i="9" s="1"/>
  <c r="AX113" i="9"/>
  <c r="AS113" i="9" s="1"/>
  <c r="AX121" i="9"/>
  <c r="AS121" i="9" s="1"/>
  <c r="AX129" i="9"/>
  <c r="AS129" i="9" s="1"/>
  <c r="AX137" i="9"/>
  <c r="AS137" i="9" s="1"/>
  <c r="AX145" i="9"/>
  <c r="AS145" i="9" s="1"/>
  <c r="AX153" i="9"/>
  <c r="AS153" i="9" s="1"/>
  <c r="AX161" i="9"/>
  <c r="AS161" i="9" s="1"/>
  <c r="AX169" i="9"/>
  <c r="AS169" i="9" s="1"/>
  <c r="AX177" i="9"/>
  <c r="AS177" i="9" s="1"/>
  <c r="AX185" i="9"/>
  <c r="AS185" i="9" s="1"/>
  <c r="AX193" i="9"/>
  <c r="AS193" i="9" s="1"/>
  <c r="AX201" i="9"/>
  <c r="AS201" i="9" s="1"/>
  <c r="AX209" i="9"/>
  <c r="AS209" i="9" s="1"/>
  <c r="AX217" i="9"/>
  <c r="AS217" i="9" s="1"/>
  <c r="AX225" i="9"/>
  <c r="AS225" i="9" s="1"/>
  <c r="AX233" i="9"/>
  <c r="AS233" i="9" s="1"/>
  <c r="AX241" i="9"/>
  <c r="AS241" i="9" s="1"/>
  <c r="AX249" i="9"/>
  <c r="AS249" i="9" s="1"/>
  <c r="AX257" i="9"/>
  <c r="AS257" i="9" s="1"/>
  <c r="AX271" i="9"/>
  <c r="AS271" i="9" s="1"/>
  <c r="AX287" i="9"/>
  <c r="AS287" i="9" s="1"/>
  <c r="AX303" i="9"/>
  <c r="AS303" i="9" s="1"/>
  <c r="AX319" i="9"/>
  <c r="AS319" i="9" s="1"/>
  <c r="AX335" i="9"/>
  <c r="AS335" i="9" s="1"/>
  <c r="AX351" i="9"/>
  <c r="AS351" i="9" s="1"/>
  <c r="AX367" i="9"/>
  <c r="AS367" i="9" s="1"/>
  <c r="AX383" i="9"/>
  <c r="AS383" i="9" s="1"/>
  <c r="AX399" i="9"/>
  <c r="AS399" i="9" s="1"/>
  <c r="AB34" i="10"/>
  <c r="AX10" i="9"/>
  <c r="AS10" i="9" s="1"/>
  <c r="AX18" i="9"/>
  <c r="AX26" i="9"/>
  <c r="AX34" i="9"/>
  <c r="AS34" i="9" s="1"/>
  <c r="AX42" i="9"/>
  <c r="AX50" i="9"/>
  <c r="AX58" i="9"/>
  <c r="AS58" i="9" s="1"/>
  <c r="AX66" i="9"/>
  <c r="AX74" i="9"/>
  <c r="AX82" i="9"/>
  <c r="AS82" i="9" s="1"/>
  <c r="AX90" i="9"/>
  <c r="AX98" i="9"/>
  <c r="AX106" i="9"/>
  <c r="AS106" i="9" s="1"/>
  <c r="AX114" i="9"/>
  <c r="AX122" i="9"/>
  <c r="AX130" i="9"/>
  <c r="AS130" i="9" s="1"/>
  <c r="AX138" i="9"/>
  <c r="AX146" i="9"/>
  <c r="AX154" i="9"/>
  <c r="AS154" i="9" s="1"/>
  <c r="AX162" i="9"/>
  <c r="AX170" i="9"/>
  <c r="AX178" i="9"/>
  <c r="AS178" i="9" s="1"/>
  <c r="AX186" i="9"/>
  <c r="AX194" i="9"/>
  <c r="AX202" i="9"/>
  <c r="AS202" i="9" s="1"/>
  <c r="AX210" i="9"/>
  <c r="AX218" i="9"/>
  <c r="AX226" i="9"/>
  <c r="AS226" i="9" s="1"/>
  <c r="AX234" i="9"/>
  <c r="AX242" i="9"/>
  <c r="AX250" i="9"/>
  <c r="AS250" i="9" s="1"/>
  <c r="AX258" i="9"/>
  <c r="AX272" i="9"/>
  <c r="AS272" i="9" s="1"/>
  <c r="AX288" i="9"/>
  <c r="AS288" i="9" s="1"/>
  <c r="AX304" i="9"/>
  <c r="AS304" i="9" s="1"/>
  <c r="AX320" i="9"/>
  <c r="AS320" i="9" s="1"/>
  <c r="AX336" i="9"/>
  <c r="AS336" i="9" s="1"/>
  <c r="AX352" i="9"/>
  <c r="AS352" i="9" s="1"/>
  <c r="AX368" i="9"/>
  <c r="AS368" i="9" s="1"/>
  <c r="AX384" i="9"/>
  <c r="AS384" i="9" s="1"/>
  <c r="AX400" i="9"/>
  <c r="AS400" i="9" s="1"/>
  <c r="AX83" i="9"/>
  <c r="AS83" i="9" s="1"/>
  <c r="AX91" i="9"/>
  <c r="AS91" i="9" s="1"/>
  <c r="AX99" i="9"/>
  <c r="AS99" i="9" s="1"/>
  <c r="AX107" i="9"/>
  <c r="AS107" i="9" s="1"/>
  <c r="AX115" i="9"/>
  <c r="AS115" i="9" s="1"/>
  <c r="AX123" i="9"/>
  <c r="AS123" i="9" s="1"/>
  <c r="AX131" i="9"/>
  <c r="AS131" i="9" s="1"/>
  <c r="AX139" i="9"/>
  <c r="AS139" i="9" s="1"/>
  <c r="AX147" i="9"/>
  <c r="AS147" i="9" s="1"/>
  <c r="AX155" i="9"/>
  <c r="AS155" i="9" s="1"/>
  <c r="AX163" i="9"/>
  <c r="AS163" i="9" s="1"/>
  <c r="AX171" i="9"/>
  <c r="AS171" i="9" s="1"/>
  <c r="AX179" i="9"/>
  <c r="AS179" i="9" s="1"/>
  <c r="AX187" i="9"/>
  <c r="AS187" i="9" s="1"/>
  <c r="AX195" i="9"/>
  <c r="AS195" i="9" s="1"/>
  <c r="AX203" i="9"/>
  <c r="AS203" i="9" s="1"/>
  <c r="AX211" i="9"/>
  <c r="AS211" i="9" s="1"/>
  <c r="AX219" i="9"/>
  <c r="AS219" i="9" s="1"/>
  <c r="AX227" i="9"/>
  <c r="AS227" i="9" s="1"/>
  <c r="AX235" i="9"/>
  <c r="AS235" i="9" s="1"/>
  <c r="AX243" i="9"/>
  <c r="AS243" i="9" s="1"/>
  <c r="AX251" i="9"/>
  <c r="AS251" i="9" s="1"/>
  <c r="AX259" i="9"/>
  <c r="AS259" i="9" s="1"/>
  <c r="AX273" i="9"/>
  <c r="AS273" i="9" s="1"/>
  <c r="AX289" i="9"/>
  <c r="AS289" i="9" s="1"/>
  <c r="AX305" i="9"/>
  <c r="AS305" i="9" s="1"/>
  <c r="AX321" i="9"/>
  <c r="AS321" i="9" s="1"/>
  <c r="AX337" i="9"/>
  <c r="AS337" i="9" s="1"/>
  <c r="AX353" i="9"/>
  <c r="AS353" i="9" s="1"/>
  <c r="AX369" i="9"/>
  <c r="AS369" i="9" s="1"/>
  <c r="AX385" i="9"/>
  <c r="AS385" i="9" s="1"/>
  <c r="AX401" i="9"/>
  <c r="AS401" i="9" s="1"/>
  <c r="AX12" i="9"/>
  <c r="AS12" i="9" s="1"/>
  <c r="AX20" i="9"/>
  <c r="AS20" i="9" s="1"/>
  <c r="AX28" i="9"/>
  <c r="AS28" i="9" s="1"/>
  <c r="AX36" i="9"/>
  <c r="AS36" i="9" s="1"/>
  <c r="AX44" i="9"/>
  <c r="AS44" i="9" s="1"/>
  <c r="AX52" i="9"/>
  <c r="AS52" i="9" s="1"/>
  <c r="AX60" i="9"/>
  <c r="AS60" i="9" s="1"/>
  <c r="AX68" i="9"/>
  <c r="AS68" i="9" s="1"/>
  <c r="AX76" i="9"/>
  <c r="AS76" i="9" s="1"/>
  <c r="AX84" i="9"/>
  <c r="AS84" i="9" s="1"/>
  <c r="AX92" i="9"/>
  <c r="AS92" i="9" s="1"/>
  <c r="AX100" i="9"/>
  <c r="AS100" i="9" s="1"/>
  <c r="AX108" i="9"/>
  <c r="AS108" i="9" s="1"/>
  <c r="AX116" i="9"/>
  <c r="AS116" i="9" s="1"/>
  <c r="AX124" i="9"/>
  <c r="AS124" i="9" s="1"/>
  <c r="AX132" i="9"/>
  <c r="AS132" i="9" s="1"/>
  <c r="AX140" i="9"/>
  <c r="AS140" i="9" s="1"/>
  <c r="AX148" i="9"/>
  <c r="AS148" i="9" s="1"/>
  <c r="AX156" i="9"/>
  <c r="AS156" i="9" s="1"/>
  <c r="AX164" i="9"/>
  <c r="AS164" i="9" s="1"/>
  <c r="AX172" i="9"/>
  <c r="AS172" i="9" s="1"/>
  <c r="AX180" i="9"/>
  <c r="AS180" i="9" s="1"/>
  <c r="AX188" i="9"/>
  <c r="AS188" i="9" s="1"/>
  <c r="AX196" i="9"/>
  <c r="AS196" i="9" s="1"/>
  <c r="AX204" i="9"/>
  <c r="AS204" i="9" s="1"/>
  <c r="AX212" i="9"/>
  <c r="AS212" i="9" s="1"/>
  <c r="AX220" i="9"/>
  <c r="AS220" i="9" s="1"/>
  <c r="AX228" i="9"/>
  <c r="AS228" i="9" s="1"/>
  <c r="AX236" i="9"/>
  <c r="AS236" i="9" s="1"/>
  <c r="AX244" i="9"/>
  <c r="AS244" i="9" s="1"/>
  <c r="AX252" i="9"/>
  <c r="AS252" i="9" s="1"/>
  <c r="AX260" i="9"/>
  <c r="AS260" i="9" s="1"/>
  <c r="AX276" i="9"/>
  <c r="AS276" i="9" s="1"/>
  <c r="AX292" i="9"/>
  <c r="AS292" i="9" s="1"/>
  <c r="AX308" i="9"/>
  <c r="AS308" i="9" s="1"/>
  <c r="AX324" i="9"/>
  <c r="AS324" i="9" s="1"/>
  <c r="AX340" i="9"/>
  <c r="AS340" i="9" s="1"/>
  <c r="AX356" i="9"/>
  <c r="AS356" i="9" s="1"/>
  <c r="AX372" i="9"/>
  <c r="AS372" i="9" s="1"/>
  <c r="AX388" i="9"/>
  <c r="AS388" i="9" s="1"/>
  <c r="AX404" i="9"/>
  <c r="AS404" i="9" s="1"/>
  <c r="AX403" i="9"/>
  <c r="AS403" i="9" s="1"/>
  <c r="AX395" i="9"/>
  <c r="AS395" i="9" s="1"/>
  <c r="AX387" i="9"/>
  <c r="AS387" i="9" s="1"/>
  <c r="AX379" i="9"/>
  <c r="AS379" i="9" s="1"/>
  <c r="AX371" i="9"/>
  <c r="AS371" i="9" s="1"/>
  <c r="AX363" i="9"/>
  <c r="AS363" i="9" s="1"/>
  <c r="AX355" i="9"/>
  <c r="AS355" i="9" s="1"/>
  <c r="AX347" i="9"/>
  <c r="AS347" i="9" s="1"/>
  <c r="AX339" i="9"/>
  <c r="AS339" i="9" s="1"/>
  <c r="AX331" i="9"/>
  <c r="AS331" i="9" s="1"/>
  <c r="AX323" i="9"/>
  <c r="AS323" i="9" s="1"/>
  <c r="AX315" i="9"/>
  <c r="AS315" i="9" s="1"/>
  <c r="AX307" i="9"/>
  <c r="AS307" i="9" s="1"/>
  <c r="AX299" i="9"/>
  <c r="AS299" i="9" s="1"/>
  <c r="AX291" i="9"/>
  <c r="AS291" i="9" s="1"/>
  <c r="AX283" i="9"/>
  <c r="AS283" i="9" s="1"/>
  <c r="AX275" i="9"/>
  <c r="AS275" i="9" s="1"/>
  <c r="AX267" i="9"/>
  <c r="AS267" i="9" s="1"/>
  <c r="AX402" i="9"/>
  <c r="AX394" i="9"/>
  <c r="AS394" i="9" s="1"/>
  <c r="AX386" i="9"/>
  <c r="AX378" i="9"/>
  <c r="AX370" i="9"/>
  <c r="AS370" i="9" s="1"/>
  <c r="AX362" i="9"/>
  <c r="AX354" i="9"/>
  <c r="AX346" i="9"/>
  <c r="AS346" i="9" s="1"/>
  <c r="AX338" i="9"/>
  <c r="AX330" i="9"/>
  <c r="AX322" i="9"/>
  <c r="AS322" i="9" s="1"/>
  <c r="AX314" i="9"/>
  <c r="AX306" i="9"/>
  <c r="AX298" i="9"/>
  <c r="AS298" i="9" s="1"/>
  <c r="AX290" i="9"/>
  <c r="AX282" i="9"/>
  <c r="AX274" i="9"/>
  <c r="AS274" i="9" s="1"/>
  <c r="AX266" i="9"/>
  <c r="AX398" i="9"/>
  <c r="AX390" i="9"/>
  <c r="AX382" i="9"/>
  <c r="AS382" i="9" s="1"/>
  <c r="AX374" i="9"/>
  <c r="AX366" i="9"/>
  <c r="AX358" i="9"/>
  <c r="AS358" i="9" s="1"/>
  <c r="AX350" i="9"/>
  <c r="AX342" i="9"/>
  <c r="AX334" i="9"/>
  <c r="AS334" i="9" s="1"/>
  <c r="AX326" i="9"/>
  <c r="AX318" i="9"/>
  <c r="AX310" i="9"/>
  <c r="AS310" i="9" s="1"/>
  <c r="AX302" i="9"/>
  <c r="AX294" i="9"/>
  <c r="AX286" i="9"/>
  <c r="AS286" i="9" s="1"/>
  <c r="AX278" i="9"/>
  <c r="AX270" i="9"/>
  <c r="AX262" i="9"/>
  <c r="AS262" i="9" s="1"/>
  <c r="AX397" i="9"/>
  <c r="AS397" i="9" s="1"/>
  <c r="AX389" i="9"/>
  <c r="AS389" i="9" s="1"/>
  <c r="AX381" i="9"/>
  <c r="AS381" i="9" s="1"/>
  <c r="AX373" i="9"/>
  <c r="AS373" i="9" s="1"/>
  <c r="AX365" i="9"/>
  <c r="AS365" i="9" s="1"/>
  <c r="AX357" i="9"/>
  <c r="AS357" i="9" s="1"/>
  <c r="AX349" i="9"/>
  <c r="AS349" i="9" s="1"/>
  <c r="AX341" i="9"/>
  <c r="AS341" i="9" s="1"/>
  <c r="AX333" i="9"/>
  <c r="AS333" i="9" s="1"/>
  <c r="AX325" i="9"/>
  <c r="AS325" i="9" s="1"/>
  <c r="AX317" i="9"/>
  <c r="AS317" i="9" s="1"/>
  <c r="AX309" i="9"/>
  <c r="AS309" i="9" s="1"/>
  <c r="AX301" i="9"/>
  <c r="AS301" i="9" s="1"/>
  <c r="AX293" i="9"/>
  <c r="AS293" i="9" s="1"/>
  <c r="AX285" i="9"/>
  <c r="AS285" i="9" s="1"/>
  <c r="AX277" i="9"/>
  <c r="AS277" i="9" s="1"/>
  <c r="AX269" i="9"/>
  <c r="AS269" i="9" s="1"/>
  <c r="AX261" i="9"/>
  <c r="AS261" i="9" s="1"/>
  <c r="AX5" i="9"/>
  <c r="AS5" i="9" s="1"/>
  <c r="AV3" i="9" s="1"/>
  <c r="AX13" i="9"/>
  <c r="AS13" i="9" s="1"/>
  <c r="AX21" i="9"/>
  <c r="AS21" i="9" s="1"/>
  <c r="AX29" i="9"/>
  <c r="AS29" i="9" s="1"/>
  <c r="AX37" i="9"/>
  <c r="AS37" i="9" s="1"/>
  <c r="AX45" i="9"/>
  <c r="AS45" i="9" s="1"/>
  <c r="AX53" i="9"/>
  <c r="AS53" i="9" s="1"/>
  <c r="AX61" i="9"/>
  <c r="AS61" i="9" s="1"/>
  <c r="AX69" i="9"/>
  <c r="AS69" i="9" s="1"/>
  <c r="AX77" i="9"/>
  <c r="AS77" i="9" s="1"/>
  <c r="AX85" i="9"/>
  <c r="AS85" i="9" s="1"/>
  <c r="AX93" i="9"/>
  <c r="AS93" i="9" s="1"/>
  <c r="AX101" i="9"/>
  <c r="AS101" i="9" s="1"/>
  <c r="AX109" i="9"/>
  <c r="AS109" i="9" s="1"/>
  <c r="AX117" i="9"/>
  <c r="AS117" i="9" s="1"/>
  <c r="AX125" i="9"/>
  <c r="AS125" i="9" s="1"/>
  <c r="AX133" i="9"/>
  <c r="AS133" i="9" s="1"/>
  <c r="AX141" i="9"/>
  <c r="AS141" i="9" s="1"/>
  <c r="AX149" i="9"/>
  <c r="AS149" i="9" s="1"/>
  <c r="AX157" i="9"/>
  <c r="AS157" i="9" s="1"/>
  <c r="AX165" i="9"/>
  <c r="AS165" i="9" s="1"/>
  <c r="AX173" i="9"/>
  <c r="AS173" i="9" s="1"/>
  <c r="AX181" i="9"/>
  <c r="AS181" i="9" s="1"/>
  <c r="AX189" i="9"/>
  <c r="AS189" i="9" s="1"/>
  <c r="AX197" i="9"/>
  <c r="AS197" i="9" s="1"/>
  <c r="AX205" i="9"/>
  <c r="AS205" i="9" s="1"/>
  <c r="AX213" i="9"/>
  <c r="AS213" i="9" s="1"/>
  <c r="AX221" i="9"/>
  <c r="AS221" i="9" s="1"/>
  <c r="AX229" i="9"/>
  <c r="AS229" i="9" s="1"/>
  <c r="AX237" i="9"/>
  <c r="AS237" i="9" s="1"/>
  <c r="AX245" i="9"/>
  <c r="AS245" i="9" s="1"/>
  <c r="AX253" i="9"/>
  <c r="AS253" i="9" s="1"/>
  <c r="AX263" i="9"/>
  <c r="AS263" i="9" s="1"/>
  <c r="AX279" i="9"/>
  <c r="AS279" i="9" s="1"/>
  <c r="AX295" i="9"/>
  <c r="AS295" i="9" s="1"/>
  <c r="AX311" i="9"/>
  <c r="AS311" i="9" s="1"/>
  <c r="AX327" i="9"/>
  <c r="AS327" i="9" s="1"/>
  <c r="AX343" i="9"/>
  <c r="AS343" i="9" s="1"/>
  <c r="AX359" i="9"/>
  <c r="AS359" i="9" s="1"/>
  <c r="AX375" i="9"/>
  <c r="AS375" i="9" s="1"/>
  <c r="AX391" i="9"/>
  <c r="AS391" i="9" s="1"/>
  <c r="AX6" i="9"/>
  <c r="AX14" i="9"/>
  <c r="AX22" i="9"/>
  <c r="AS22" i="9" s="1"/>
  <c r="AX30" i="9"/>
  <c r="AX38" i="9"/>
  <c r="AX46" i="9"/>
  <c r="AS46" i="9" s="1"/>
  <c r="AX54" i="9"/>
  <c r="AX62" i="9"/>
  <c r="AX70" i="9"/>
  <c r="AS70" i="9" s="1"/>
  <c r="AX78" i="9"/>
  <c r="AX86" i="9"/>
  <c r="AX94" i="9"/>
  <c r="AS94" i="9" s="1"/>
  <c r="AX102" i="9"/>
  <c r="AX110" i="9"/>
  <c r="AX118" i="9"/>
  <c r="AS118" i="9" s="1"/>
  <c r="AX126" i="9"/>
  <c r="AX134" i="9"/>
  <c r="AX142" i="9"/>
  <c r="AS142" i="9" s="1"/>
  <c r="AX150" i="9"/>
  <c r="AX158" i="9"/>
  <c r="AX166" i="9"/>
  <c r="AS166" i="9" s="1"/>
  <c r="AX174" i="9"/>
  <c r="AX182" i="9"/>
  <c r="AX190" i="9"/>
  <c r="AS190" i="9" s="1"/>
  <c r="AX198" i="9"/>
  <c r="AX206" i="9"/>
  <c r="AX214" i="9"/>
  <c r="AS214" i="9" s="1"/>
  <c r="AX222" i="9"/>
  <c r="AX230" i="9"/>
  <c r="AX238" i="9"/>
  <c r="AS238" i="9" s="1"/>
  <c r="AX246" i="9"/>
  <c r="AX254" i="9"/>
  <c r="AX264" i="9"/>
  <c r="AS264" i="9" s="1"/>
  <c r="AX280" i="9"/>
  <c r="AS280" i="9" s="1"/>
  <c r="AX296" i="9"/>
  <c r="AS296" i="9" s="1"/>
  <c r="AX312" i="9"/>
  <c r="AS312" i="9" s="1"/>
  <c r="AX328" i="9"/>
  <c r="AS328" i="9" s="1"/>
  <c r="AX344" i="9"/>
  <c r="AS344" i="9" s="1"/>
  <c r="AX360" i="9"/>
  <c r="AS360" i="9" s="1"/>
  <c r="AX392" i="9"/>
  <c r="AS392" i="9" s="1"/>
  <c r="AX7" i="9"/>
  <c r="AS7" i="9" s="1"/>
  <c r="AX15" i="9"/>
  <c r="AS15" i="9" s="1"/>
  <c r="AX23" i="9"/>
  <c r="AS23" i="9" s="1"/>
  <c r="AX31" i="9"/>
  <c r="AS31" i="9" s="1"/>
  <c r="AX39" i="9"/>
  <c r="AS39" i="9" s="1"/>
  <c r="AX47" i="9"/>
  <c r="AS47" i="9" s="1"/>
  <c r="AX55" i="9"/>
  <c r="AS55" i="9" s="1"/>
  <c r="AX63" i="9"/>
  <c r="AS63" i="9" s="1"/>
  <c r="AX71" i="9"/>
  <c r="AS71" i="9" s="1"/>
  <c r="AX79" i="9"/>
  <c r="AS79" i="9" s="1"/>
  <c r="AX87" i="9"/>
  <c r="AS87" i="9" s="1"/>
  <c r="AX95" i="9"/>
  <c r="AS95" i="9" s="1"/>
  <c r="AX103" i="9"/>
  <c r="AS103" i="9" s="1"/>
  <c r="AX111" i="9"/>
  <c r="AS111" i="9" s="1"/>
  <c r="AX119" i="9"/>
  <c r="AS119" i="9" s="1"/>
  <c r="AX127" i="9"/>
  <c r="AS127" i="9" s="1"/>
  <c r="AX135" i="9"/>
  <c r="AS135" i="9" s="1"/>
  <c r="AX143" i="9"/>
  <c r="AS143" i="9" s="1"/>
  <c r="AX151" i="9"/>
  <c r="AS151" i="9" s="1"/>
  <c r="AX159" i="9"/>
  <c r="AS159" i="9" s="1"/>
  <c r="AX167" i="9"/>
  <c r="AS167" i="9" s="1"/>
  <c r="AX175" i="9"/>
  <c r="AS175" i="9" s="1"/>
  <c r="AX183" i="9"/>
  <c r="AS183" i="9" s="1"/>
  <c r="AX191" i="9"/>
  <c r="AS191" i="9" s="1"/>
  <c r="AX199" i="9"/>
  <c r="AS199" i="9" s="1"/>
  <c r="AX207" i="9"/>
  <c r="AS207" i="9" s="1"/>
  <c r="AX215" i="9"/>
  <c r="AS215" i="9" s="1"/>
  <c r="AX223" i="9"/>
  <c r="AS223" i="9" s="1"/>
  <c r="AX231" i="9"/>
  <c r="AS231" i="9" s="1"/>
  <c r="AX239" i="9"/>
  <c r="AS239" i="9" s="1"/>
  <c r="AX247" i="9"/>
  <c r="AS247" i="9" s="1"/>
  <c r="AX255" i="9"/>
  <c r="AS255" i="9" s="1"/>
  <c r="AX265" i="9"/>
  <c r="AS265" i="9" s="1"/>
  <c r="AX281" i="9"/>
  <c r="AS281" i="9" s="1"/>
  <c r="AX297" i="9"/>
  <c r="AS297" i="9" s="1"/>
  <c r="AX313" i="9"/>
  <c r="AS313" i="9" s="1"/>
  <c r="AX329" i="9"/>
  <c r="AS329" i="9" s="1"/>
  <c r="AX345" i="9"/>
  <c r="AS345" i="9" s="1"/>
  <c r="AX361" i="9"/>
  <c r="AS361" i="9" s="1"/>
  <c r="AX377" i="9"/>
  <c r="AS377" i="9" s="1"/>
  <c r="P28" i="10"/>
  <c r="AR26" i="10"/>
  <c r="AN72" i="10" s="1"/>
  <c r="K34" i="10"/>
  <c r="L34" i="10"/>
  <c r="K35" i="10"/>
  <c r="L35" i="10"/>
  <c r="AI30" i="10"/>
  <c r="AM78" i="10" l="1"/>
  <c r="AN158" i="9"/>
  <c r="AR79" i="10"/>
  <c r="AQ57" i="10"/>
  <c r="AM43" i="10"/>
  <c r="AM54" i="10"/>
  <c r="AM42" i="10"/>
  <c r="AR81" i="10"/>
  <c r="AN62" i="10"/>
  <c r="AM150" i="9"/>
  <c r="AO150" i="9" s="1"/>
  <c r="AP48" i="10"/>
  <c r="AE366" i="9"/>
  <c r="AF366" i="9"/>
  <c r="AM69" i="10"/>
  <c r="AN65" i="10"/>
  <c r="AN58" i="10"/>
  <c r="AG35" i="10"/>
  <c r="AG31" i="10" s="1"/>
  <c r="AM55" i="10"/>
  <c r="AC84" i="6"/>
  <c r="AN43" i="10"/>
  <c r="AD114" i="9"/>
  <c r="AM170" i="9"/>
  <c r="AF34" i="10"/>
  <c r="AD110" i="9"/>
  <c r="AD34" i="10"/>
  <c r="AN14" i="9"/>
  <c r="AE398" i="9"/>
  <c r="AM242" i="9"/>
  <c r="AO242" i="9" s="1"/>
  <c r="AQ242" i="9" s="1"/>
  <c r="AO45" i="10"/>
  <c r="AM62" i="10"/>
  <c r="AM57" i="10"/>
  <c r="AM74" i="10"/>
  <c r="AK84" i="6"/>
  <c r="AO246" i="9"/>
  <c r="AT246" i="9" s="1"/>
  <c r="AV246" i="9" s="1"/>
  <c r="AM67" i="10"/>
  <c r="AP40" i="10"/>
  <c r="AO46" i="10"/>
  <c r="AN41" i="10"/>
  <c r="AP44" i="10"/>
  <c r="AN40" i="10"/>
  <c r="AQ69" i="10"/>
  <c r="AQ74" i="10"/>
  <c r="AR60" i="10"/>
  <c r="AM38" i="9"/>
  <c r="AM158" i="9"/>
  <c r="AO158" i="9" s="1"/>
  <c r="AN146" i="9"/>
  <c r="AO146" i="9" s="1"/>
  <c r="AM41" i="10"/>
  <c r="AR54" i="10"/>
  <c r="AN50" i="10"/>
  <c r="AM40" i="10"/>
  <c r="AF342" i="9"/>
  <c r="AE342" i="9"/>
  <c r="AE318" i="9"/>
  <c r="AF318" i="9"/>
  <c r="AR78" i="10"/>
  <c r="AC35" i="10"/>
  <c r="AC31" i="10" s="1"/>
  <c r="AC30" i="10" s="1"/>
  <c r="AO210" i="9"/>
  <c r="AQ210" i="9" s="1"/>
  <c r="AD86" i="9"/>
  <c r="AF86" i="9" s="1"/>
  <c r="AM258" i="9"/>
  <c r="AN206" i="9"/>
  <c r="AN67" i="10"/>
  <c r="AQ54" i="10"/>
  <c r="AM50" i="10"/>
  <c r="AE350" i="9"/>
  <c r="AF350" i="9"/>
  <c r="AM58" i="10"/>
  <c r="AQ81" i="10"/>
  <c r="AP61" i="10"/>
  <c r="AM46" i="10"/>
  <c r="AM44" i="10"/>
  <c r="AQ65" i="10"/>
  <c r="AD90" i="9"/>
  <c r="AE90" i="9" s="1"/>
  <c r="AF146" i="9"/>
  <c r="AD78" i="9"/>
  <c r="AE78" i="9" s="1"/>
  <c r="AM206" i="9"/>
  <c r="AO206" i="9" s="1"/>
  <c r="AO40" i="10"/>
  <c r="AP46" i="10"/>
  <c r="AO44" i="10"/>
  <c r="AQ78" i="10"/>
  <c r="AQ75" i="10"/>
  <c r="AR65" i="10"/>
  <c r="AP54" i="10"/>
  <c r="AN174" i="9"/>
  <c r="AO48" i="10"/>
  <c r="AD74" i="9"/>
  <c r="AE74" i="9" s="1"/>
  <c r="AN258" i="9"/>
  <c r="AO258" i="9" s="1"/>
  <c r="AM210" i="9"/>
  <c r="AM66" i="10"/>
  <c r="AP43" i="10"/>
  <c r="AN39" i="10"/>
  <c r="AP42" i="10"/>
  <c r="AN56" i="10"/>
  <c r="AP41" i="10"/>
  <c r="AO61" i="10"/>
  <c r="AQ38" i="10"/>
  <c r="AN81" i="10"/>
  <c r="AN170" i="9"/>
  <c r="AO170" i="9" s="1"/>
  <c r="AR64" i="10"/>
  <c r="AP47" i="10"/>
  <c r="AM63" i="10"/>
  <c r="AN78" i="10"/>
  <c r="AN162" i="9"/>
  <c r="AR50" i="10"/>
  <c r="AQ79" i="10"/>
  <c r="AP45" i="10"/>
  <c r="AN54" i="10"/>
  <c r="AN42" i="10"/>
  <c r="AD66" i="9"/>
  <c r="AP84" i="6"/>
  <c r="AE330" i="9"/>
  <c r="AF330" i="9"/>
  <c r="AQ64" i="10"/>
  <c r="AD62" i="9"/>
  <c r="AE62" i="9" s="1"/>
  <c r="AM222" i="9"/>
  <c r="AO222" i="9" s="1"/>
  <c r="S84" i="6"/>
  <c r="AN66" i="10"/>
  <c r="AM56" i="10"/>
  <c r="AE314" i="9"/>
  <c r="AF314" i="9"/>
  <c r="AM174" i="9"/>
  <c r="AP71" i="10"/>
  <c r="AR49" i="10"/>
  <c r="AQ63" i="10"/>
  <c r="AQ42" i="10"/>
  <c r="AP36" i="10"/>
  <c r="AP78" i="10"/>
  <c r="AQ70" i="10"/>
  <c r="AQ71" i="10"/>
  <c r="AO50" i="10"/>
  <c r="AP64" i="10"/>
  <c r="AN49" i="10"/>
  <c r="AQ43" i="10"/>
  <c r="AM49" i="10"/>
  <c r="AO80" i="10"/>
  <c r="AQ73" i="10"/>
  <c r="AP75" i="10"/>
  <c r="AN79" i="10"/>
  <c r="AR70" i="10"/>
  <c r="AQ77" i="10"/>
  <c r="AM47" i="10"/>
  <c r="AQ36" i="10"/>
  <c r="AP80" i="10"/>
  <c r="AQ40" i="10"/>
  <c r="AM71" i="10"/>
  <c r="AO73" i="10"/>
  <c r="AR69" i="10"/>
  <c r="AM52" i="10"/>
  <c r="AN47" i="10"/>
  <c r="AR36" i="10"/>
  <c r="AR37" i="10"/>
  <c r="AQ68" i="10"/>
  <c r="AN57" i="10"/>
  <c r="AP52" i="10"/>
  <c r="AR41" i="10"/>
  <c r="AR53" i="10"/>
  <c r="AQ52" i="10"/>
  <c r="AR52" i="10"/>
  <c r="AR39" i="10"/>
  <c r="AQ39" i="10"/>
  <c r="AO55" i="10"/>
  <c r="AO72" i="10"/>
  <c r="AN71" i="10"/>
  <c r="AP73" i="10"/>
  <c r="AR68" i="10"/>
  <c r="AN52" i="10"/>
  <c r="AO64" i="10"/>
  <c r="AN77" i="10"/>
  <c r="AP77" i="10"/>
  <c r="AM80" i="10"/>
  <c r="AQ37" i="10"/>
  <c r="AP55" i="10"/>
  <c r="AO67" i="10"/>
  <c r="AP50" i="10"/>
  <c r="AP38" i="10"/>
  <c r="AR61" i="10"/>
  <c r="AO76" i="10"/>
  <c r="AR71" i="10"/>
  <c r="AP67" i="10"/>
  <c r="AQ47" i="10"/>
  <c r="AQ53" i="10"/>
  <c r="AR67" i="10"/>
  <c r="AQ46" i="10"/>
  <c r="AO49" i="10"/>
  <c r="AM37" i="10"/>
  <c r="AM59" i="10"/>
  <c r="AO69" i="10"/>
  <c r="AN53" i="10"/>
  <c r="AM76" i="10"/>
  <c r="AO74" i="10"/>
  <c r="AR46" i="10"/>
  <c r="AQ45" i="10"/>
  <c r="AN37" i="10"/>
  <c r="AO66" i="10"/>
  <c r="AN75" i="10"/>
  <c r="AM73" i="10"/>
  <c r="AP76" i="10"/>
  <c r="AQ41" i="10"/>
  <c r="AP69" i="10"/>
  <c r="AN76" i="10"/>
  <c r="AP74" i="10"/>
  <c r="AR62" i="10"/>
  <c r="AQ44" i="10"/>
  <c r="AM36" i="10"/>
  <c r="AR76" i="10"/>
  <c r="AO77" i="10"/>
  <c r="AO62" i="10"/>
  <c r="AO60" i="10"/>
  <c r="AQ51" i="10"/>
  <c r="AN51" i="10"/>
  <c r="AO68" i="10"/>
  <c r="AO81" i="10"/>
  <c r="AR63" i="10"/>
  <c r="AO53" i="10"/>
  <c r="AN36" i="10"/>
  <c r="AR55" i="10"/>
  <c r="AR74" i="10"/>
  <c r="AP60" i="10"/>
  <c r="AN80" i="10"/>
  <c r="AP56" i="10"/>
  <c r="AR51" i="10"/>
  <c r="AM51" i="10"/>
  <c r="AM53" i="10"/>
  <c r="AP68" i="10"/>
  <c r="AP81" i="10"/>
  <c r="AO59" i="10"/>
  <c r="AP53" i="10"/>
  <c r="AR38" i="10"/>
  <c r="AQ80" i="10"/>
  <c r="AP62" i="10"/>
  <c r="AR73" i="10"/>
  <c r="AR72" i="10"/>
  <c r="AM72" i="10"/>
  <c r="AQ66" i="10"/>
  <c r="AP59" i="10"/>
  <c r="AQ55" i="10"/>
  <c r="AM75" i="10"/>
  <c r="AR80" i="10"/>
  <c r="AP65" i="10"/>
  <c r="AQ60" i="10"/>
  <c r="AP37" i="10"/>
  <c r="AP72" i="10"/>
  <c r="AR66" i="10"/>
  <c r="AO58" i="10"/>
  <c r="AP66" i="10"/>
  <c r="AP57" i="10"/>
  <c r="AQ76" i="10"/>
  <c r="AM77" i="10"/>
  <c r="AR77" i="10"/>
  <c r="AR56" i="10"/>
  <c r="AQ62" i="10"/>
  <c r="AN59" i="10"/>
  <c r="AM48" i="10"/>
  <c r="AR47" i="10"/>
  <c r="AR42" i="10"/>
  <c r="AQ67" i="10"/>
  <c r="AQ72" i="10"/>
  <c r="AO56" i="10"/>
  <c r="AR44" i="10"/>
  <c r="AO54" i="10"/>
  <c r="AO36" i="10"/>
  <c r="AO37" i="10"/>
  <c r="AO79" i="10"/>
  <c r="AP58" i="10"/>
  <c r="AP63" i="10"/>
  <c r="AQ49" i="10"/>
  <c r="AR43" i="10"/>
  <c r="AO65" i="10"/>
  <c r="AN48" i="10"/>
  <c r="AO38" i="10"/>
  <c r="AO70" i="10"/>
  <c r="AO71" i="10"/>
  <c r="AN73" i="10"/>
  <c r="AM79" i="10"/>
  <c r="AO57" i="10"/>
  <c r="AO78" i="10"/>
  <c r="AP79" i="10"/>
  <c r="AQ56" i="10"/>
  <c r="AO63" i="10"/>
  <c r="AP49" i="10"/>
  <c r="AR48" i="10"/>
  <c r="AO52" i="10"/>
  <c r="AP70" i="10"/>
  <c r="AR45" i="10"/>
  <c r="AR40" i="10"/>
  <c r="AQ61" i="10"/>
  <c r="AO75" i="10"/>
  <c r="AN63" i="10"/>
  <c r="AM162" i="9"/>
  <c r="AR57" i="10"/>
  <c r="AR75" i="10"/>
  <c r="AN61" i="10"/>
  <c r="AM39" i="10"/>
  <c r="AO51" i="10"/>
  <c r="AD54" i="9"/>
  <c r="AE54" i="9" s="1"/>
  <c r="AN234" i="9"/>
  <c r="AO234" i="9" s="1"/>
  <c r="AM61" i="10"/>
  <c r="AO43" i="10"/>
  <c r="AO42" i="10"/>
  <c r="AO41" i="10"/>
  <c r="AP51" i="10"/>
  <c r="AO402" i="9"/>
  <c r="AO398" i="9"/>
  <c r="AT398" i="9" s="1"/>
  <c r="AO390" i="9"/>
  <c r="AO386" i="9"/>
  <c r="AO378" i="9"/>
  <c r="AQ378" i="9" s="1"/>
  <c r="AO374" i="9"/>
  <c r="AT374" i="9" s="1"/>
  <c r="AO366" i="9"/>
  <c r="AO362" i="9"/>
  <c r="AQ362" i="9" s="1"/>
  <c r="AO354" i="9"/>
  <c r="AQ354" i="9" s="1"/>
  <c r="AO350" i="9"/>
  <c r="AP350" i="9" s="1"/>
  <c r="AS350" i="9" s="1"/>
  <c r="AO342" i="9"/>
  <c r="AP342" i="9" s="1"/>
  <c r="AS342" i="9" s="1"/>
  <c r="AO338" i="9"/>
  <c r="AP338" i="9" s="1"/>
  <c r="AS338" i="9" s="1"/>
  <c r="AO330" i="9"/>
  <c r="AQ330" i="9" s="1"/>
  <c r="AO326" i="9"/>
  <c r="AT326" i="9" s="1"/>
  <c r="AO318" i="9"/>
  <c r="AQ318" i="9" s="1"/>
  <c r="AO314" i="9"/>
  <c r="AQ314" i="9" s="1"/>
  <c r="AO306" i="9"/>
  <c r="AP306" i="9" s="1"/>
  <c r="AS306" i="9" s="1"/>
  <c r="AO302" i="9"/>
  <c r="AQ302" i="9" s="1"/>
  <c r="AO294" i="9"/>
  <c r="AP294" i="9" s="1"/>
  <c r="AS294" i="9" s="1"/>
  <c r="AO290" i="9"/>
  <c r="AQ290" i="9" s="1"/>
  <c r="AO282" i="9"/>
  <c r="AQ282" i="9" s="1"/>
  <c r="AO278" i="9"/>
  <c r="AO270" i="9"/>
  <c r="AO266" i="9"/>
  <c r="AQ266" i="9" s="1"/>
  <c r="AT242" i="9"/>
  <c r="AU242" i="9" s="1"/>
  <c r="AP242" i="9"/>
  <c r="AS242" i="9" s="1"/>
  <c r="AO218" i="9"/>
  <c r="AP218" i="9" s="1"/>
  <c r="AS218" i="9" s="1"/>
  <c r="AF210" i="9"/>
  <c r="AN198" i="9"/>
  <c r="AO198" i="9" s="1"/>
  <c r="AN86" i="9"/>
  <c r="AO86" i="9" s="1"/>
  <c r="AN38" i="9"/>
  <c r="AO38" i="9" s="1"/>
  <c r="M36" i="10"/>
  <c r="AS36" i="10" s="1"/>
  <c r="M60" i="10"/>
  <c r="AS60" i="10" s="1"/>
  <c r="M37" i="10"/>
  <c r="AS37" i="10" s="1"/>
  <c r="M58" i="10"/>
  <c r="M59" i="10"/>
  <c r="M61" i="10"/>
  <c r="K46" i="10"/>
  <c r="K48" i="10"/>
  <c r="K70" i="10"/>
  <c r="K72" i="10"/>
  <c r="L46" i="10"/>
  <c r="L48" i="10"/>
  <c r="L72" i="10"/>
  <c r="K47" i="10"/>
  <c r="K49" i="10"/>
  <c r="K71" i="10"/>
  <c r="K73" i="10"/>
  <c r="L47" i="10"/>
  <c r="L49" i="10"/>
  <c r="L71" i="10"/>
  <c r="L73" i="10"/>
  <c r="L70" i="10"/>
  <c r="AO174" i="9"/>
  <c r="AQ174" i="9" s="1"/>
  <c r="AJ27" i="10"/>
  <c r="M35" i="10"/>
  <c r="AT35" i="10" s="1"/>
  <c r="AM26" i="9"/>
  <c r="AM14" i="9"/>
  <c r="AO14" i="9" s="1"/>
  <c r="AN18" i="9"/>
  <c r="AE234" i="9"/>
  <c r="AF234" i="9"/>
  <c r="AE258" i="9"/>
  <c r="AF258" i="9"/>
  <c r="AN138" i="9"/>
  <c r="AO138" i="9" s="1"/>
  <c r="AQ138" i="9" s="1"/>
  <c r="AD138" i="9"/>
  <c r="AE186" i="9"/>
  <c r="AF186" i="9"/>
  <c r="AE162" i="9"/>
  <c r="AF162" i="9"/>
  <c r="AN62" i="9"/>
  <c r="AM18" i="9"/>
  <c r="AO18" i="9" s="1"/>
  <c r="AT18" i="9" s="1"/>
  <c r="AO194" i="9"/>
  <c r="AI10" i="9"/>
  <c r="C65" i="6"/>
  <c r="AM230" i="9"/>
  <c r="AO230" i="9" s="1"/>
  <c r="AN254" i="9"/>
  <c r="AO254" i="9" s="1"/>
  <c r="AE218" i="9"/>
  <c r="AF218" i="9"/>
  <c r="AE242" i="9"/>
  <c r="AF242" i="9"/>
  <c r="AN182" i="9"/>
  <c r="AD182" i="9"/>
  <c r="AE158" i="9"/>
  <c r="AF158" i="9"/>
  <c r="AO182" i="9"/>
  <c r="AE222" i="9"/>
  <c r="AF222" i="9"/>
  <c r="AF246" i="9"/>
  <c r="AE246" i="9"/>
  <c r="AE198" i="9"/>
  <c r="AF198" i="9"/>
  <c r="AE174" i="9"/>
  <c r="AF174" i="9"/>
  <c r="AE150" i="9"/>
  <c r="AF150" i="9"/>
  <c r="AM186" i="9"/>
  <c r="AO186" i="9" s="1"/>
  <c r="T84" i="6"/>
  <c r="AJ30" i="10"/>
  <c r="AE230" i="9"/>
  <c r="AF230" i="9"/>
  <c r="AF254" i="9"/>
  <c r="AE254" i="9"/>
  <c r="AE206" i="9"/>
  <c r="AF206" i="9"/>
  <c r="AE194" i="9"/>
  <c r="AF194" i="9"/>
  <c r="AE170" i="9"/>
  <c r="AF170" i="9"/>
  <c r="AH84" i="6"/>
  <c r="C17" i="5"/>
  <c r="C24" i="5"/>
  <c r="C20" i="5"/>
  <c r="C16" i="5" s="1"/>
  <c r="A21" i="5"/>
  <c r="E8" i="5" s="1"/>
  <c r="A22" i="5"/>
  <c r="C35" i="5"/>
  <c r="AT282" i="9"/>
  <c r="AP378" i="9"/>
  <c r="AS378" i="9" s="1"/>
  <c r="AT378" i="9"/>
  <c r="AQ278" i="9"/>
  <c r="AP278" i="9"/>
  <c r="AS278" i="9" s="1"/>
  <c r="AT278" i="9"/>
  <c r="AQ338" i="9"/>
  <c r="AQ386" i="9"/>
  <c r="AP386" i="9"/>
  <c r="AS386" i="9" s="1"/>
  <c r="AT386" i="9"/>
  <c r="AQ294" i="9"/>
  <c r="AT294" i="9"/>
  <c r="AQ390" i="9"/>
  <c r="AP390" i="9"/>
  <c r="AS390" i="9" s="1"/>
  <c r="AT390" i="9"/>
  <c r="AQ374" i="9"/>
  <c r="AR35" i="10"/>
  <c r="AN102" i="9"/>
  <c r="AD102" i="9"/>
  <c r="AD6" i="9"/>
  <c r="AC3" i="9"/>
  <c r="AF2" i="9" s="1"/>
  <c r="AN90" i="9"/>
  <c r="AQ218" i="9"/>
  <c r="AT218" i="9"/>
  <c r="AM134" i="9"/>
  <c r="AM78" i="9"/>
  <c r="AR34" i="10"/>
  <c r="AE98" i="9"/>
  <c r="AF98" i="9"/>
  <c r="AE50" i="9"/>
  <c r="AF50" i="9"/>
  <c r="AN6" i="9"/>
  <c r="AO6" i="9" s="1"/>
  <c r="AN26" i="9"/>
  <c r="AM90" i="9"/>
  <c r="AO162" i="9"/>
  <c r="AN126" i="9"/>
  <c r="AV242" i="9"/>
  <c r="AN35" i="10"/>
  <c r="AP34" i="10"/>
  <c r="AP158" i="9"/>
  <c r="AS158" i="9" s="1"/>
  <c r="AQ158" i="9"/>
  <c r="AT158" i="9"/>
  <c r="AE42" i="9"/>
  <c r="AF42" i="9"/>
  <c r="AP150" i="9"/>
  <c r="AS150" i="9" s="1"/>
  <c r="AQ150" i="9"/>
  <c r="AT150" i="9"/>
  <c r="AQ350" i="9"/>
  <c r="AT350" i="9"/>
  <c r="AQ398" i="9"/>
  <c r="AP398" i="9"/>
  <c r="AS398" i="9" s="1"/>
  <c r="AP194" i="9"/>
  <c r="AS194" i="9" s="1"/>
  <c r="AQ194" i="9"/>
  <c r="AT194" i="9"/>
  <c r="M34" i="10"/>
  <c r="AO35" i="10"/>
  <c r="AE134" i="9"/>
  <c r="AF134" i="9"/>
  <c r="AE38" i="9"/>
  <c r="AF38" i="9"/>
  <c r="AN54" i="9"/>
  <c r="AN74" i="9"/>
  <c r="AQ258" i="9"/>
  <c r="AP258" i="9"/>
  <c r="AS258" i="9" s="1"/>
  <c r="AT258" i="9"/>
  <c r="AQ306" i="9"/>
  <c r="AQ402" i="9"/>
  <c r="AP402" i="9"/>
  <c r="AS402" i="9" s="1"/>
  <c r="AT402" i="9"/>
  <c r="AN66" i="9"/>
  <c r="AM35" i="10"/>
  <c r="AM34" i="10"/>
  <c r="AO34" i="10"/>
  <c r="AB31" i="10"/>
  <c r="AE126" i="9"/>
  <c r="AF126" i="9"/>
  <c r="AF78" i="9"/>
  <c r="AE30" i="9"/>
  <c r="AF30" i="9"/>
  <c r="AM54" i="9"/>
  <c r="AM74" i="9"/>
  <c r="AP266" i="9"/>
  <c r="AS266" i="9" s="1"/>
  <c r="AT266" i="9"/>
  <c r="AP362" i="9"/>
  <c r="AS362" i="9" s="1"/>
  <c r="AT362" i="9"/>
  <c r="AN50" i="9"/>
  <c r="AM66" i="9"/>
  <c r="AO66" i="9" s="1"/>
  <c r="AN114" i="9"/>
  <c r="X84" i="6"/>
  <c r="AN34" i="10"/>
  <c r="AP35" i="10"/>
  <c r="AE122" i="9"/>
  <c r="AF122" i="9"/>
  <c r="AE26" i="9"/>
  <c r="AF26" i="9"/>
  <c r="AM102" i="9"/>
  <c r="AQ270" i="9"/>
  <c r="AP270" i="9"/>
  <c r="AS270" i="9" s="1"/>
  <c r="AT270" i="9"/>
  <c r="AQ366" i="9"/>
  <c r="AP366" i="9"/>
  <c r="AS366" i="9" s="1"/>
  <c r="AT366" i="9"/>
  <c r="AM50" i="9"/>
  <c r="AP174" i="9"/>
  <c r="AS174" i="9" s="1"/>
  <c r="AT174" i="9"/>
  <c r="AN30" i="9"/>
  <c r="P84" i="6"/>
  <c r="O84" i="6"/>
  <c r="AN84" i="6"/>
  <c r="AF31" i="10"/>
  <c r="AE114" i="9"/>
  <c r="AF114" i="9"/>
  <c r="AE66" i="9"/>
  <c r="AF66" i="9"/>
  <c r="AE18" i="9"/>
  <c r="AF18" i="9"/>
  <c r="AM114" i="9"/>
  <c r="AN42" i="9"/>
  <c r="AM62" i="9"/>
  <c r="AN98" i="9"/>
  <c r="AN122" i="9"/>
  <c r="AN110" i="9"/>
  <c r="AM30" i="9"/>
  <c r="AO30" i="9" s="1"/>
  <c r="AS26" i="10"/>
  <c r="AQ34" i="10"/>
  <c r="AQ35" i="10"/>
  <c r="AE110" i="9"/>
  <c r="AF110" i="9"/>
  <c r="AE14" i="9"/>
  <c r="AF14" i="9"/>
  <c r="AM126" i="9"/>
  <c r="AM42" i="9"/>
  <c r="AO42" i="9" s="1"/>
  <c r="AM98" i="9"/>
  <c r="AO98" i="9" s="1"/>
  <c r="AN134" i="9"/>
  <c r="AM122" i="9"/>
  <c r="AO122" i="9" s="1"/>
  <c r="AM110" i="9"/>
  <c r="AO110" i="9" s="1"/>
  <c r="AN78" i="9"/>
  <c r="AF84" i="6"/>
  <c r="AE84" i="6"/>
  <c r="C71" i="6"/>
  <c r="C64" i="6"/>
  <c r="AT222" i="9" l="1"/>
  <c r="AQ222" i="9"/>
  <c r="AP222" i="9"/>
  <c r="AS222" i="9" s="1"/>
  <c r="AT170" i="9"/>
  <c r="AP170" i="9"/>
  <c r="AS170" i="9" s="1"/>
  <c r="AQ170" i="9"/>
  <c r="AQ234" i="9"/>
  <c r="AP234" i="9"/>
  <c r="AS234" i="9" s="1"/>
  <c r="AT234" i="9"/>
  <c r="AP38" i="9"/>
  <c r="AS38" i="9" s="1"/>
  <c r="AQ38" i="9"/>
  <c r="AT38" i="9"/>
  <c r="AU38" i="9" s="1"/>
  <c r="AP146" i="9"/>
  <c r="AS146" i="9" s="1"/>
  <c r="AQ146" i="9"/>
  <c r="AT146" i="9"/>
  <c r="AV146" i="9" s="1"/>
  <c r="AF54" i="9"/>
  <c r="AP302" i="9"/>
  <c r="AS302" i="9" s="1"/>
  <c r="AT210" i="9"/>
  <c r="AU210" i="9" s="1"/>
  <c r="AO62" i="9"/>
  <c r="AP62" i="9" s="1"/>
  <c r="AS62" i="9" s="1"/>
  <c r="AT318" i="9"/>
  <c r="AU318" i="9" s="1"/>
  <c r="AF90" i="9"/>
  <c r="AP374" i="9"/>
  <c r="AS374" i="9" s="1"/>
  <c r="AP210" i="9"/>
  <c r="AS210" i="9" s="1"/>
  <c r="AP318" i="9"/>
  <c r="AS318" i="9" s="1"/>
  <c r="AP314" i="9"/>
  <c r="AS314" i="9" s="1"/>
  <c r="AO26" i="9"/>
  <c r="AE86" i="9"/>
  <c r="AT314" i="9"/>
  <c r="AQ246" i="9"/>
  <c r="AP326" i="9"/>
  <c r="AS326" i="9" s="1"/>
  <c r="AT354" i="9"/>
  <c r="AV354" i="9" s="1"/>
  <c r="AP246" i="9"/>
  <c r="AS246" i="9" s="1"/>
  <c r="AO102" i="9"/>
  <c r="AP354" i="9"/>
  <c r="AS354" i="9" s="1"/>
  <c r="AF62" i="9"/>
  <c r="AU246" i="9"/>
  <c r="AQ342" i="9"/>
  <c r="AT342" i="9"/>
  <c r="AU342" i="9" s="1"/>
  <c r="AF74" i="9"/>
  <c r="AT306" i="9"/>
  <c r="AV306" i="9" s="1"/>
  <c r="AT338" i="9"/>
  <c r="AT330" i="9"/>
  <c r="AP330" i="9"/>
  <c r="AS330" i="9" s="1"/>
  <c r="AQ326" i="9"/>
  <c r="AT302" i="9"/>
  <c r="AT290" i="9"/>
  <c r="AP290" i="9"/>
  <c r="AS290" i="9" s="1"/>
  <c r="AP282" i="9"/>
  <c r="AS282" i="9" s="1"/>
  <c r="AT198" i="9"/>
  <c r="AP198" i="9"/>
  <c r="AS198" i="9" s="1"/>
  <c r="AQ198" i="9"/>
  <c r="Q35" i="10"/>
  <c r="AT36" i="10"/>
  <c r="AP138" i="9"/>
  <c r="AS138" i="9" s="1"/>
  <c r="AT138" i="9"/>
  <c r="AU138" i="9" s="1"/>
  <c r="AP18" i="9"/>
  <c r="AS18" i="9" s="1"/>
  <c r="AQ18" i="9"/>
  <c r="AT37" i="10"/>
  <c r="P36" i="10"/>
  <c r="Q36" i="10"/>
  <c r="AS58" i="10"/>
  <c r="P58" i="10"/>
  <c r="AT58" i="10"/>
  <c r="Q58" i="10"/>
  <c r="Q37" i="10"/>
  <c r="P37" i="10"/>
  <c r="P60" i="10"/>
  <c r="Q60" i="10"/>
  <c r="AT60" i="10"/>
  <c r="AS35" i="10"/>
  <c r="P35" i="10"/>
  <c r="M47" i="10"/>
  <c r="M72" i="10"/>
  <c r="Q61" i="10"/>
  <c r="AS61" i="10"/>
  <c r="P61" i="10"/>
  <c r="AT61" i="10"/>
  <c r="M73" i="10"/>
  <c r="M70" i="10"/>
  <c r="M71" i="10"/>
  <c r="M48" i="10"/>
  <c r="M49" i="10"/>
  <c r="M46" i="10"/>
  <c r="AS59" i="10"/>
  <c r="P59" i="10"/>
  <c r="AT59" i="10"/>
  <c r="Q59" i="10"/>
  <c r="AO90" i="9"/>
  <c r="AP90" i="9" s="1"/>
  <c r="AS90" i="9" s="1"/>
  <c r="AO74" i="9"/>
  <c r="AQ74" i="9" s="1"/>
  <c r="AO54" i="9"/>
  <c r="AQ54" i="9" s="1"/>
  <c r="N36" i="10"/>
  <c r="N37" i="10"/>
  <c r="AD31" i="10"/>
  <c r="AD30" i="10" s="1"/>
  <c r="AQ230" i="9"/>
  <c r="AP230" i="9"/>
  <c r="AS230" i="9" s="1"/>
  <c r="AT230" i="9"/>
  <c r="AV230" i="9" s="1"/>
  <c r="AO50" i="9"/>
  <c r="AP50" i="9" s="1"/>
  <c r="AS50" i="9" s="1"/>
  <c r="AQ186" i="9"/>
  <c r="AT186" i="9"/>
  <c r="AP186" i="9"/>
  <c r="AS186" i="9" s="1"/>
  <c r="AP254" i="9"/>
  <c r="AS254" i="9" s="1"/>
  <c r="AT254" i="9"/>
  <c r="AQ254" i="9"/>
  <c r="AE138" i="9"/>
  <c r="AF138" i="9"/>
  <c r="AO114" i="9"/>
  <c r="AP114" i="9" s="1"/>
  <c r="AS114" i="9" s="1"/>
  <c r="AE182" i="9"/>
  <c r="AF182" i="9"/>
  <c r="AT206" i="9"/>
  <c r="AP206" i="9"/>
  <c r="AS206" i="9" s="1"/>
  <c r="AQ206" i="9"/>
  <c r="AT182" i="9"/>
  <c r="AQ182" i="9"/>
  <c r="AP182" i="9"/>
  <c r="AS182" i="9" s="1"/>
  <c r="C23" i="5"/>
  <c r="Q10" i="5" s="1"/>
  <c r="R10" i="5" s="1"/>
  <c r="C22" i="5"/>
  <c r="Q9" i="5" s="1"/>
  <c r="R9" i="5" s="1"/>
  <c r="AG30" i="10"/>
  <c r="AF18" i="10"/>
  <c r="AF30" i="10"/>
  <c r="AF26" i="10"/>
  <c r="AJ26" i="10" s="1"/>
  <c r="G22" i="10" s="1"/>
  <c r="AE6" i="9"/>
  <c r="AF6" i="9"/>
  <c r="AV338" i="9"/>
  <c r="AU338" i="9"/>
  <c r="AV198" i="9"/>
  <c r="AU198" i="9"/>
  <c r="AV194" i="9"/>
  <c r="AU194" i="9"/>
  <c r="AV158" i="9"/>
  <c r="AU158" i="9"/>
  <c r="AP162" i="9"/>
  <c r="AS162" i="9" s="1"/>
  <c r="AQ162" i="9"/>
  <c r="AT162" i="9"/>
  <c r="AV378" i="9"/>
  <c r="AU378" i="9"/>
  <c r="AV266" i="9"/>
  <c r="AU266" i="9"/>
  <c r="AP110" i="9"/>
  <c r="AS110" i="9" s="1"/>
  <c r="AQ110" i="9"/>
  <c r="AT110" i="9"/>
  <c r="AV366" i="9"/>
  <c r="AU366" i="9"/>
  <c r="AV362" i="9"/>
  <c r="AU362" i="9"/>
  <c r="AO32" i="10"/>
  <c r="AV350" i="9"/>
  <c r="AU350" i="9"/>
  <c r="AV222" i="9"/>
  <c r="AU222" i="9"/>
  <c r="AV294" i="9"/>
  <c r="AU294" i="9"/>
  <c r="AP122" i="9"/>
  <c r="AS122" i="9" s="1"/>
  <c r="AQ122" i="9"/>
  <c r="AT122" i="9"/>
  <c r="AV170" i="9"/>
  <c r="AU170" i="9"/>
  <c r="AP14" i="9"/>
  <c r="AS14" i="9" s="1"/>
  <c r="AQ14" i="9"/>
  <c r="AT14" i="9"/>
  <c r="AM32" i="10"/>
  <c r="AP26" i="9"/>
  <c r="AS26" i="9" s="1"/>
  <c r="AQ26" i="9"/>
  <c r="AT26" i="9"/>
  <c r="AP32" i="10"/>
  <c r="AO78" i="9"/>
  <c r="AE102" i="9"/>
  <c r="AF102" i="9"/>
  <c r="AV290" i="9"/>
  <c r="AU290" i="9"/>
  <c r="AV270" i="9"/>
  <c r="AU270" i="9"/>
  <c r="N34" i="10"/>
  <c r="N35" i="10"/>
  <c r="P34" i="10"/>
  <c r="Q34" i="10"/>
  <c r="AS34" i="10"/>
  <c r="AT34" i="10"/>
  <c r="AT74" i="9"/>
  <c r="AB30" i="10"/>
  <c r="AB26" i="10"/>
  <c r="AH26" i="10" s="1"/>
  <c r="G20" i="10" s="1"/>
  <c r="AV18" i="9"/>
  <c r="AU18" i="9"/>
  <c r="AP6" i="9"/>
  <c r="AQ6" i="9"/>
  <c r="AT6" i="9"/>
  <c r="AP86" i="9"/>
  <c r="AS86" i="9" s="1"/>
  <c r="AQ86" i="9"/>
  <c r="AT86" i="9"/>
  <c r="AR32" i="10"/>
  <c r="AO134" i="9"/>
  <c r="AV138" i="9"/>
  <c r="AE31" i="10"/>
  <c r="AV330" i="9"/>
  <c r="AU330" i="9"/>
  <c r="AP66" i="9"/>
  <c r="AS66" i="9" s="1"/>
  <c r="AQ66" i="9"/>
  <c r="AT66" i="9"/>
  <c r="AP98" i="9"/>
  <c r="AS98" i="9" s="1"/>
  <c r="AQ98" i="9"/>
  <c r="AT98" i="9"/>
  <c r="AV314" i="9"/>
  <c r="AU314" i="9"/>
  <c r="AV402" i="9"/>
  <c r="AU402" i="9"/>
  <c r="AV302" i="9"/>
  <c r="AU302" i="9"/>
  <c r="AV386" i="9"/>
  <c r="AU386" i="9"/>
  <c r="AV326" i="9"/>
  <c r="AU326" i="9"/>
  <c r="AV150" i="9"/>
  <c r="AU150" i="9"/>
  <c r="AV218" i="9"/>
  <c r="AU218" i="9"/>
  <c r="AV174" i="9"/>
  <c r="AU174" i="9"/>
  <c r="AP102" i="9"/>
  <c r="AS102" i="9" s="1"/>
  <c r="AQ102" i="9"/>
  <c r="AT102" i="9"/>
  <c r="AN32" i="10"/>
  <c r="AV258" i="9"/>
  <c r="AU258" i="9"/>
  <c r="AV278" i="9"/>
  <c r="AU278" i="9"/>
  <c r="AP30" i="9"/>
  <c r="AS30" i="9" s="1"/>
  <c r="AQ30" i="9"/>
  <c r="AT30" i="9"/>
  <c r="AP42" i="9"/>
  <c r="AS42" i="9" s="1"/>
  <c r="AQ42" i="9"/>
  <c r="AT42" i="9"/>
  <c r="AO126" i="9"/>
  <c r="AQ32" i="10"/>
  <c r="AV398" i="9"/>
  <c r="AU398" i="9"/>
  <c r="AB18" i="10"/>
  <c r="AV374" i="9"/>
  <c r="AU374" i="9"/>
  <c r="AV390" i="9"/>
  <c r="AU390" i="9"/>
  <c r="AV282" i="9"/>
  <c r="AU282" i="9"/>
  <c r="AV342" i="9" l="1"/>
  <c r="AU234" i="9"/>
  <c r="AV234" i="9"/>
  <c r="AU354" i="9"/>
  <c r="AV210" i="9"/>
  <c r="AT62" i="9"/>
  <c r="AU306" i="9"/>
  <c r="AV318" i="9"/>
  <c r="AV38" i="9"/>
  <c r="AQ62" i="9"/>
  <c r="AU230" i="9"/>
  <c r="AU146" i="9"/>
  <c r="AD26" i="10"/>
  <c r="AI26" i="10" s="1"/>
  <c r="G21" i="10" s="1"/>
  <c r="AQ114" i="9"/>
  <c r="AT114" i="9"/>
  <c r="AV114" i="9" s="1"/>
  <c r="AT90" i="9"/>
  <c r="AV90" i="9" s="1"/>
  <c r="AQ90" i="9"/>
  <c r="AP74" i="9"/>
  <c r="AS74" i="9" s="1"/>
  <c r="AP54" i="9"/>
  <c r="AS54" i="9" s="1"/>
  <c r="AT54" i="9"/>
  <c r="AU54" i="9" s="1"/>
  <c r="AT46" i="10"/>
  <c r="P46" i="10"/>
  <c r="AS46" i="10"/>
  <c r="Q46" i="10"/>
  <c r="AS70" i="10"/>
  <c r="AT70" i="10"/>
  <c r="P70" i="10"/>
  <c r="Q70" i="10"/>
  <c r="AT49" i="10"/>
  <c r="AS49" i="10"/>
  <c r="P49" i="10"/>
  <c r="Q49" i="10"/>
  <c r="AS73" i="10"/>
  <c r="AT73" i="10"/>
  <c r="Q73" i="10"/>
  <c r="P73" i="10"/>
  <c r="AS48" i="10"/>
  <c r="AT48" i="10"/>
  <c r="P48" i="10"/>
  <c r="Q48" i="10"/>
  <c r="AS72" i="10"/>
  <c r="AT72" i="10"/>
  <c r="Q72" i="10"/>
  <c r="P72" i="10"/>
  <c r="AS71" i="10"/>
  <c r="AT71" i="10"/>
  <c r="Q71" i="10"/>
  <c r="P71" i="10"/>
  <c r="AS47" i="10"/>
  <c r="AT47" i="10"/>
  <c r="P47" i="10"/>
  <c r="Q47" i="10"/>
  <c r="AV206" i="9"/>
  <c r="AU206" i="9"/>
  <c r="AT50" i="9"/>
  <c r="AV50" i="9" s="1"/>
  <c r="AV182" i="9"/>
  <c r="AU182" i="9"/>
  <c r="AQ50" i="9"/>
  <c r="AU186" i="9"/>
  <c r="AV186" i="9"/>
  <c r="AV254" i="9"/>
  <c r="AU254" i="9"/>
  <c r="AP134" i="9"/>
  <c r="AS134" i="9" s="1"/>
  <c r="AQ134" i="9"/>
  <c r="AT134" i="9"/>
  <c r="AQ31" i="10"/>
  <c r="AQ28" i="10" s="1"/>
  <c r="AR30" i="10"/>
  <c r="AV122" i="9"/>
  <c r="AU122" i="9"/>
  <c r="AD3" i="9"/>
  <c r="AE2" i="9" s="1"/>
  <c r="V1" i="9" s="1"/>
  <c r="AV42" i="9"/>
  <c r="AU42" i="9"/>
  <c r="AV86" i="9"/>
  <c r="AU86" i="9"/>
  <c r="AV162" i="9"/>
  <c r="AU162" i="9"/>
  <c r="AB17" i="10"/>
  <c r="AB16" i="10" s="1"/>
  <c r="AV98" i="9"/>
  <c r="AU98" i="9"/>
  <c r="AM30" i="10"/>
  <c r="AM27" i="10"/>
  <c r="AM25" i="10" s="1"/>
  <c r="H20" i="10" s="1"/>
  <c r="AV110" i="9"/>
  <c r="AU110" i="9"/>
  <c r="AM31" i="10"/>
  <c r="AM28" i="10" s="1"/>
  <c r="AN30" i="10"/>
  <c r="AV74" i="9"/>
  <c r="AU74" i="9"/>
  <c r="AP78" i="9"/>
  <c r="AS78" i="9" s="1"/>
  <c r="AQ78" i="9"/>
  <c r="AT78" i="9"/>
  <c r="AV14" i="9"/>
  <c r="AU14" i="9"/>
  <c r="AE30" i="10"/>
  <c r="S21" i="10" s="1"/>
  <c r="AD18" i="10"/>
  <c r="AU6" i="9"/>
  <c r="AV6" i="9"/>
  <c r="AO31" i="10"/>
  <c r="AO28" i="10" s="1"/>
  <c r="AP30" i="10"/>
  <c r="AV102" i="9"/>
  <c r="AU102" i="9"/>
  <c r="AQ30" i="10"/>
  <c r="AQ27" i="10"/>
  <c r="AQ25" i="10" s="1"/>
  <c r="H22" i="10" s="1"/>
  <c r="AV66" i="9"/>
  <c r="AU66" i="9"/>
  <c r="AV26" i="9"/>
  <c r="AU26" i="9"/>
  <c r="AO30" i="10"/>
  <c r="AO27" i="10"/>
  <c r="AO25" i="10" s="1"/>
  <c r="H21" i="10" s="1"/>
  <c r="AF17" i="10"/>
  <c r="AF16" i="10" s="1"/>
  <c r="AV30" i="9"/>
  <c r="AU30" i="9"/>
  <c r="AP126" i="9"/>
  <c r="AS126" i="9" s="1"/>
  <c r="AQ126" i="9"/>
  <c r="AT126" i="9"/>
  <c r="AS6" i="9"/>
  <c r="AV62" i="9"/>
  <c r="AU62" i="9"/>
  <c r="AU114" i="9" l="1"/>
  <c r="AU90" i="9"/>
  <c r="AV54" i="9"/>
  <c r="AU50" i="9"/>
  <c r="AO29" i="10"/>
  <c r="AB15" i="10"/>
  <c r="AB14" i="10" s="1"/>
  <c r="C23" i="10" s="1"/>
  <c r="S13" i="10"/>
  <c r="X24" i="10" s="1"/>
  <c r="S15" i="10" s="1"/>
  <c r="T15" i="10" s="1"/>
  <c r="U15" i="10" s="1"/>
  <c r="AR2" i="9"/>
  <c r="AR3" i="9" s="1"/>
  <c r="AX24" i="10"/>
  <c r="AX26" i="10" s="1"/>
  <c r="S14" i="10"/>
  <c r="X25" i="10" s="1"/>
  <c r="S25" i="10"/>
  <c r="AF19" i="10"/>
  <c r="AV78" i="9"/>
  <c r="AU78" i="9"/>
  <c r="Y11" i="10"/>
  <c r="S20" i="10"/>
  <c r="AV134" i="9"/>
  <c r="AU134" i="9"/>
  <c r="C17" i="10"/>
  <c r="AO24" i="10"/>
  <c r="AO23" i="10" s="1"/>
  <c r="D24" i="10" s="1"/>
  <c r="AV126" i="9"/>
  <c r="AU126" i="9"/>
  <c r="AD17" i="10"/>
  <c r="AD16" i="10" s="1"/>
  <c r="AF15" i="10" s="1"/>
  <c r="AF14" i="10" s="1"/>
  <c r="C25" i="10" s="1"/>
  <c r="AV23" i="10"/>
  <c r="AV25" i="10" s="1"/>
  <c r="AX23" i="10"/>
  <c r="AX25" i="10" s="1"/>
  <c r="AV24" i="10"/>
  <c r="AV26" i="10" s="1"/>
  <c r="AQ29" i="10"/>
  <c r="AA23" i="10" l="1"/>
  <c r="L42" i="10"/>
  <c r="L43" i="10"/>
  <c r="L44" i="10"/>
  <c r="K42" i="10"/>
  <c r="K43" i="10"/>
  <c r="K44" i="10"/>
  <c r="K45" i="10"/>
  <c r="L45" i="10"/>
  <c r="K66" i="10"/>
  <c r="K67" i="10"/>
  <c r="K68" i="10"/>
  <c r="L66" i="10"/>
  <c r="L67" i="10"/>
  <c r="L68" i="10"/>
  <c r="K69" i="10"/>
  <c r="L69" i="10"/>
  <c r="AA25" i="10"/>
  <c r="AB5" i="10" s="1"/>
  <c r="S16" i="10"/>
  <c r="T16" i="10" s="1"/>
  <c r="U16" i="10" s="1"/>
  <c r="AA22" i="10"/>
  <c r="Q25" i="10" s="1"/>
  <c r="AA24" i="10"/>
  <c r="C20" i="10"/>
  <c r="C18" i="10"/>
  <c r="AM24" i="10"/>
  <c r="AM23" i="10" s="1"/>
  <c r="D23" i="10" s="1"/>
  <c r="AQ24" i="10"/>
  <c r="AQ23" i="10" s="1"/>
  <c r="D25" i="10" s="1"/>
  <c r="AD19" i="10"/>
  <c r="AD15" i="10"/>
  <c r="AD14" i="10" s="1"/>
  <c r="C24" i="10" s="1"/>
  <c r="AS18" i="10" s="1"/>
  <c r="S24" i="10"/>
  <c r="Q8" i="10"/>
  <c r="Q9" i="10"/>
  <c r="Q10" i="10"/>
  <c r="S23" i="10"/>
  <c r="T23" i="10" s="1"/>
  <c r="AB3" i="10"/>
  <c r="M43" i="10" l="1"/>
  <c r="AS43" i="10" s="1"/>
  <c r="M44" i="10"/>
  <c r="AS44" i="10" s="1"/>
  <c r="M42" i="10"/>
  <c r="Q42" i="10" s="1"/>
  <c r="M69" i="10"/>
  <c r="M68" i="10"/>
  <c r="M45" i="10"/>
  <c r="K50" i="10"/>
  <c r="L50" i="10"/>
  <c r="K51" i="10"/>
  <c r="K52" i="10"/>
  <c r="K53" i="10"/>
  <c r="L51" i="10"/>
  <c r="L52" i="10"/>
  <c r="L53" i="10"/>
  <c r="K75" i="10"/>
  <c r="K74" i="10"/>
  <c r="K76" i="10"/>
  <c r="K77" i="10"/>
  <c r="L74" i="10"/>
  <c r="L75" i="10"/>
  <c r="L76" i="10"/>
  <c r="L77" i="10"/>
  <c r="M67" i="10"/>
  <c r="Q44" i="10"/>
  <c r="AT44" i="10"/>
  <c r="K54" i="10"/>
  <c r="L54" i="10"/>
  <c r="K55" i="10"/>
  <c r="K56" i="10"/>
  <c r="K57" i="10"/>
  <c r="L55" i="10"/>
  <c r="L56" i="10"/>
  <c r="L57" i="10"/>
  <c r="K81" i="10"/>
  <c r="K78" i="10"/>
  <c r="K79" i="10"/>
  <c r="K80" i="10"/>
  <c r="L78" i="10"/>
  <c r="L79" i="10"/>
  <c r="L80" i="10"/>
  <c r="L81" i="10"/>
  <c r="M66" i="10"/>
  <c r="Q43" i="10"/>
  <c r="AT43" i="10"/>
  <c r="S22" i="10"/>
  <c r="T22" i="10" s="1"/>
  <c r="AB2" i="10"/>
  <c r="Q24" i="10"/>
  <c r="U23" i="10"/>
  <c r="X23" i="10" s="1"/>
  <c r="AC4" i="10" s="1"/>
  <c r="W23" i="10"/>
  <c r="AV7" i="10"/>
  <c r="AU13" i="10"/>
  <c r="AU18" i="10" s="1"/>
  <c r="AR20" i="10"/>
  <c r="AV13" i="10"/>
  <c r="AV18" i="10" s="1"/>
  <c r="AS20" i="10"/>
  <c r="AU5" i="10"/>
  <c r="AV5" i="10"/>
  <c r="AU11" i="10"/>
  <c r="AU16" i="10" s="1"/>
  <c r="AU15" i="10"/>
  <c r="AU20" i="10" s="1"/>
  <c r="AV11" i="10"/>
  <c r="AV16" i="10" s="1"/>
  <c r="AV15" i="10"/>
  <c r="AV20" i="10" s="1"/>
  <c r="AU7" i="10"/>
  <c r="AM3" i="10"/>
  <c r="AM11" i="10"/>
  <c r="AM15" i="10"/>
  <c r="AL18" i="10"/>
  <c r="AL7" i="10"/>
  <c r="AL8" i="10"/>
  <c r="AM18" i="10"/>
  <c r="AL20" i="10"/>
  <c r="AM7" i="10"/>
  <c r="AM8" i="10"/>
  <c r="AL12" i="10"/>
  <c r="AL16" i="10"/>
  <c r="AM20" i="10"/>
  <c r="AL5" i="10"/>
  <c r="AL6" i="10"/>
  <c r="AL9" i="10"/>
  <c r="AM12" i="10"/>
  <c r="AL13" i="10"/>
  <c r="AM16" i="10"/>
  <c r="AM5" i="10"/>
  <c r="AM6" i="10"/>
  <c r="AM9" i="10"/>
  <c r="AM13" i="10"/>
  <c r="AL17" i="10"/>
  <c r="AL19" i="10"/>
  <c r="AL21" i="10"/>
  <c r="AL4" i="10"/>
  <c r="AL10" i="10"/>
  <c r="AL14" i="10"/>
  <c r="AM17" i="10"/>
  <c r="AM19" i="10"/>
  <c r="AM21" i="10"/>
  <c r="AL11" i="10"/>
  <c r="AM4" i="10"/>
  <c r="AM14" i="10"/>
  <c r="AL3" i="10"/>
  <c r="AM10" i="10"/>
  <c r="AL15" i="10"/>
  <c r="V25" i="10"/>
  <c r="AB4" i="10" s="1"/>
  <c r="AB6" i="10" s="1"/>
  <c r="AC28" i="10"/>
  <c r="AB28" i="10"/>
  <c r="V24" i="10"/>
  <c r="AE28" i="10"/>
  <c r="AD28" i="10"/>
  <c r="C21" i="10"/>
  <c r="AF28" i="10"/>
  <c r="AG28" i="10"/>
  <c r="P44" i="10" l="1"/>
  <c r="AD4" i="10"/>
  <c r="M50" i="10"/>
  <c r="P50" i="10" s="1"/>
  <c r="P43" i="10"/>
  <c r="M53" i="10"/>
  <c r="AT53" i="10" s="1"/>
  <c r="P42" i="10"/>
  <c r="AT42" i="10"/>
  <c r="AS42" i="10"/>
  <c r="M80" i="10"/>
  <c r="M56" i="10"/>
  <c r="Q67" i="10"/>
  <c r="AS67" i="10"/>
  <c r="AT67" i="10"/>
  <c r="P67" i="10"/>
  <c r="M75" i="10"/>
  <c r="M79" i="10"/>
  <c r="M55" i="10"/>
  <c r="M77" i="10"/>
  <c r="M52" i="10"/>
  <c r="Q45" i="10"/>
  <c r="AS45" i="10"/>
  <c r="AT45" i="10"/>
  <c r="P45" i="10"/>
  <c r="M78" i="10"/>
  <c r="M76" i="10"/>
  <c r="M51" i="10"/>
  <c r="Q68" i="10"/>
  <c r="AS68" i="10"/>
  <c r="P68" i="10"/>
  <c r="AT68" i="10"/>
  <c r="K38" i="10"/>
  <c r="L38" i="10"/>
  <c r="L39" i="10"/>
  <c r="L40" i="10"/>
  <c r="L41" i="10"/>
  <c r="K39" i="10"/>
  <c r="K40" i="10"/>
  <c r="K41" i="10"/>
  <c r="K62" i="10"/>
  <c r="K63" i="10"/>
  <c r="K64" i="10"/>
  <c r="K65" i="10"/>
  <c r="L63" i="10"/>
  <c r="L64" i="10"/>
  <c r="L65" i="10"/>
  <c r="L62" i="10"/>
  <c r="Q66" i="10"/>
  <c r="AS66" i="10"/>
  <c r="AT66" i="10"/>
  <c r="P66" i="10"/>
  <c r="M81" i="10"/>
  <c r="M57" i="10"/>
  <c r="M54" i="10"/>
  <c r="M74" i="10"/>
  <c r="Q69" i="10"/>
  <c r="AS69" i="10"/>
  <c r="AT69" i="10"/>
  <c r="P69" i="10"/>
  <c r="AC5" i="10"/>
  <c r="AE5" i="10" s="1"/>
  <c r="AC6" i="10"/>
  <c r="AE6" i="10" s="1"/>
  <c r="T26" i="10"/>
  <c r="Q26" i="10" s="1"/>
  <c r="X26" i="10"/>
  <c r="AV19" i="10"/>
  <c r="AV21" i="10"/>
  <c r="AV17" i="10"/>
  <c r="AN4" i="10"/>
  <c r="AN10" i="10"/>
  <c r="AN14" i="10"/>
  <c r="AO17" i="10"/>
  <c r="AO19" i="10"/>
  <c r="AO21" i="10"/>
  <c r="AN3" i="10"/>
  <c r="AO4" i="10"/>
  <c r="AO10" i="10"/>
  <c r="AN11" i="10"/>
  <c r="AO14" i="10"/>
  <c r="AN15" i="10"/>
  <c r="AO3" i="10"/>
  <c r="AO11" i="10"/>
  <c r="AO15" i="10"/>
  <c r="AN18" i="10"/>
  <c r="AN7" i="10"/>
  <c r="AN8" i="10"/>
  <c r="AO18" i="10"/>
  <c r="AN20" i="10"/>
  <c r="AO7" i="10"/>
  <c r="AO8" i="10"/>
  <c r="AN12" i="10"/>
  <c r="AN16" i="10"/>
  <c r="AO20" i="10"/>
  <c r="AN5" i="10"/>
  <c r="AN6" i="10"/>
  <c r="AN9" i="10"/>
  <c r="AO12" i="10"/>
  <c r="AN13" i="10"/>
  <c r="AO16" i="10"/>
  <c r="AO5" i="10"/>
  <c r="AO6" i="10"/>
  <c r="AO9" i="10"/>
  <c r="AO13" i="10"/>
  <c r="AN19" i="10"/>
  <c r="AN17" i="10"/>
  <c r="AN21" i="10"/>
  <c r="W22" i="10"/>
  <c r="AJ6" i="10" s="1"/>
  <c r="U22" i="10"/>
  <c r="X22" i="10" s="1"/>
  <c r="AE4" i="10" s="1"/>
  <c r="AG4" i="10" s="1"/>
  <c r="AU19" i="10"/>
  <c r="AU21" i="10"/>
  <c r="AU17" i="10"/>
  <c r="Q50" i="10" l="1"/>
  <c r="AT50" i="10"/>
  <c r="AS50" i="10"/>
  <c r="P53" i="10"/>
  <c r="AS53" i="10"/>
  <c r="Q53" i="10"/>
  <c r="M40" i="10"/>
  <c r="AS40" i="10" s="1"/>
  <c r="M41" i="10"/>
  <c r="P41" i="10" s="1"/>
  <c r="M39" i="10"/>
  <c r="AS39" i="10" s="1"/>
  <c r="Q57" i="10"/>
  <c r="AS57" i="10"/>
  <c r="P57" i="10"/>
  <c r="AT57" i="10"/>
  <c r="M63" i="10"/>
  <c r="Q78" i="10"/>
  <c r="AS78" i="10"/>
  <c r="AT78" i="10"/>
  <c r="P78" i="10"/>
  <c r="Q79" i="10"/>
  <c r="AS79" i="10"/>
  <c r="AT79" i="10"/>
  <c r="P79" i="10"/>
  <c r="Q81" i="10"/>
  <c r="AS81" i="10"/>
  <c r="AT81" i="10"/>
  <c r="P81" i="10"/>
  <c r="M62" i="10"/>
  <c r="M38" i="10"/>
  <c r="Q52" i="10"/>
  <c r="AS52" i="10"/>
  <c r="AT52" i="10"/>
  <c r="P52" i="10"/>
  <c r="Q75" i="10"/>
  <c r="AS75" i="10"/>
  <c r="AT75" i="10"/>
  <c r="P75" i="10"/>
  <c r="Q74" i="10"/>
  <c r="AS74" i="10"/>
  <c r="AT74" i="10"/>
  <c r="P74" i="10"/>
  <c r="M65" i="10"/>
  <c r="AS51" i="10"/>
  <c r="AT51" i="10"/>
  <c r="P51" i="10"/>
  <c r="Q51" i="10"/>
  <c r="Q77" i="10"/>
  <c r="AS77" i="10"/>
  <c r="AT77" i="10"/>
  <c r="P77" i="10"/>
  <c r="Q56" i="10"/>
  <c r="AS56" i="10"/>
  <c r="AT56" i="10"/>
  <c r="P56" i="10"/>
  <c r="Q54" i="10"/>
  <c r="AS54" i="10"/>
  <c r="AT54" i="10"/>
  <c r="P54" i="10"/>
  <c r="M64" i="10"/>
  <c r="Q40" i="10"/>
  <c r="Q76" i="10"/>
  <c r="AS76" i="10"/>
  <c r="AT76" i="10"/>
  <c r="P76" i="10"/>
  <c r="Q55" i="10"/>
  <c r="AS55" i="10"/>
  <c r="AT55" i="10"/>
  <c r="P55" i="10"/>
  <c r="Q80" i="10"/>
  <c r="AS80" i="10"/>
  <c r="AT80" i="10"/>
  <c r="P80" i="10"/>
  <c r="AF4" i="10"/>
  <c r="AH4" i="10" s="1"/>
  <c r="AJ21" i="10"/>
  <c r="AK3" i="10"/>
  <c r="AK17" i="10"/>
  <c r="AJ16" i="10"/>
  <c r="AJ5" i="10"/>
  <c r="AJ8" i="10"/>
  <c r="AJ18" i="10"/>
  <c r="AK13" i="10"/>
  <c r="AK15" i="10"/>
  <c r="AJ15" i="10"/>
  <c r="AJ14" i="10"/>
  <c r="AJ19" i="10"/>
  <c r="AJ13" i="10"/>
  <c r="AJ12" i="10"/>
  <c r="AJ20" i="10"/>
  <c r="AK14" i="10"/>
  <c r="AK4" i="10"/>
  <c r="AK9" i="10"/>
  <c r="AK12" i="10"/>
  <c r="AK11" i="10"/>
  <c r="AJ3" i="10"/>
  <c r="AJ10" i="10"/>
  <c r="AJ17" i="10"/>
  <c r="AK6" i="10"/>
  <c r="AJ7" i="10"/>
  <c r="AK21" i="10"/>
  <c r="AK5" i="10"/>
  <c r="AK20" i="10"/>
  <c r="AK8" i="10"/>
  <c r="AJ11" i="10"/>
  <c r="AJ9" i="10"/>
  <c r="AK7" i="10"/>
  <c r="AK18" i="10"/>
  <c r="AK10" i="10"/>
  <c r="AK19" i="10"/>
  <c r="AJ4" i="10"/>
  <c r="AK16" i="10"/>
  <c r="AT41" i="10" l="1"/>
  <c r="AS41" i="10"/>
  <c r="Q41" i="10"/>
  <c r="P40" i="10"/>
  <c r="AT40" i="10"/>
  <c r="P39" i="10"/>
  <c r="AT39" i="10"/>
  <c r="Q39" i="10"/>
  <c r="Q65" i="10"/>
  <c r="AS65" i="10"/>
  <c r="AT65" i="10"/>
  <c r="P65" i="10"/>
  <c r="P38" i="10"/>
  <c r="Q38" i="10"/>
  <c r="AS38" i="10"/>
  <c r="AT38" i="10"/>
  <c r="N40" i="10"/>
  <c r="N44" i="10"/>
  <c r="N48" i="10"/>
  <c r="N52" i="10"/>
  <c r="N56" i="10"/>
  <c r="N63" i="10"/>
  <c r="N59" i="10"/>
  <c r="N80" i="10"/>
  <c r="N71" i="10"/>
  <c r="N76" i="10"/>
  <c r="N67" i="10"/>
  <c r="N41" i="10"/>
  <c r="N45" i="10"/>
  <c r="N49" i="10"/>
  <c r="N53" i="10"/>
  <c r="N57" i="10"/>
  <c r="N64" i="10"/>
  <c r="N60" i="10"/>
  <c r="N81" i="10"/>
  <c r="N72" i="10"/>
  <c r="N77" i="10"/>
  <c r="N68" i="10"/>
  <c r="N38" i="10"/>
  <c r="N42" i="10"/>
  <c r="N46" i="10"/>
  <c r="N50" i="10"/>
  <c r="N54" i="10"/>
  <c r="N61" i="10"/>
  <c r="N65" i="10"/>
  <c r="N74" i="10"/>
  <c r="N69" i="10"/>
  <c r="N73" i="10"/>
  <c r="N79" i="10"/>
  <c r="N39" i="10"/>
  <c r="N43" i="10"/>
  <c r="N47" i="10"/>
  <c r="N51" i="10"/>
  <c r="N55" i="10"/>
  <c r="N62" i="10"/>
  <c r="N58" i="10"/>
  <c r="N78" i="10"/>
  <c r="N70" i="10"/>
  <c r="N75" i="10"/>
  <c r="N66" i="10"/>
  <c r="AT62" i="10"/>
  <c r="Q62" i="10"/>
  <c r="AS62" i="10"/>
  <c r="P62" i="10"/>
  <c r="AT64" i="10"/>
  <c r="Q64" i="10"/>
  <c r="AS64" i="10"/>
  <c r="P64" i="10"/>
  <c r="AT63" i="10"/>
  <c r="Q63" i="10"/>
  <c r="AS63" i="10"/>
  <c r="P63" i="10"/>
  <c r="Q32" i="10" l="1"/>
  <c r="AS32" i="10"/>
  <c r="P32" i="10"/>
  <c r="AT32" i="10"/>
  <c r="O32" i="10"/>
  <c r="O73" i="10" s="1"/>
  <c r="Q31" i="10" l="1"/>
  <c r="P31" i="10"/>
  <c r="E265" i="10" s="1"/>
  <c r="N31" i="10"/>
  <c r="E375" i="10" s="1"/>
  <c r="AT31" i="10"/>
  <c r="H25" i="10" s="1"/>
  <c r="AK73" i="10"/>
  <c r="D602" i="10"/>
  <c r="D606" i="10"/>
  <c r="D603" i="10"/>
  <c r="D607" i="10"/>
  <c r="D600" i="10"/>
  <c r="D604" i="10"/>
  <c r="D608" i="10"/>
  <c r="D601" i="10"/>
  <c r="D605" i="10"/>
  <c r="D609" i="10"/>
  <c r="E660" i="10"/>
  <c r="E224" i="10"/>
  <c r="E435" i="10"/>
  <c r="E227" i="10"/>
  <c r="E442" i="10"/>
  <c r="E397" i="10"/>
  <c r="E284" i="10"/>
  <c r="E412" i="10"/>
  <c r="E431" i="10"/>
  <c r="E495" i="10"/>
  <c r="E351" i="10"/>
  <c r="E246" i="10"/>
  <c r="E438" i="10"/>
  <c r="E502" i="10"/>
  <c r="E521" i="10"/>
  <c r="E241" i="10"/>
  <c r="E264" i="10"/>
  <c r="E328" i="10"/>
  <c r="E520" i="10"/>
  <c r="E411" i="10"/>
  <c r="E267" i="10"/>
  <c r="E331" i="10"/>
  <c r="E354" i="10"/>
  <c r="E418" i="10"/>
  <c r="E437" i="10"/>
  <c r="E501" i="10"/>
  <c r="E681" i="10"/>
  <c r="E625" i="10"/>
  <c r="E685" i="10"/>
  <c r="E582" i="10"/>
  <c r="E237" i="10"/>
  <c r="E301" i="10"/>
  <c r="E324" i="10"/>
  <c r="E388" i="10"/>
  <c r="E407" i="10"/>
  <c r="E471" i="10"/>
  <c r="E327" i="10"/>
  <c r="E222" i="10"/>
  <c r="E414" i="10"/>
  <c r="E478" i="10"/>
  <c r="E497" i="10"/>
  <c r="E563" i="10"/>
  <c r="E240" i="10"/>
  <c r="E304" i="10"/>
  <c r="E496" i="10"/>
  <c r="E560" i="10"/>
  <c r="E243" i="10"/>
  <c r="E307" i="10"/>
  <c r="E330" i="10"/>
  <c r="E394" i="10"/>
  <c r="E413" i="10"/>
  <c r="E477" i="10"/>
  <c r="E341" i="10"/>
  <c r="E236" i="10"/>
  <c r="E428" i="10"/>
  <c r="E492" i="10"/>
  <c r="E511" i="10"/>
  <c r="E239" i="10"/>
  <c r="E262" i="10"/>
  <c r="E326" i="10"/>
  <c r="E518" i="10"/>
  <c r="E409" i="10"/>
  <c r="E257" i="10"/>
  <c r="E321" i="10"/>
  <c r="E344" i="10"/>
  <c r="E408" i="10"/>
  <c r="E427" i="10"/>
  <c r="E491" i="10"/>
  <c r="E347" i="10"/>
  <c r="E242" i="10"/>
  <c r="E434" i="10"/>
  <c r="E498" i="10"/>
  <c r="E517" i="10"/>
  <c r="E589" i="10"/>
  <c r="E655" i="10"/>
  <c r="E572" i="10"/>
  <c r="E614" i="10"/>
  <c r="E601" i="10"/>
  <c r="E665" i="10"/>
  <c r="E576" i="10"/>
  <c r="E662" i="10"/>
  <c r="E568" i="10"/>
  <c r="E571" i="10"/>
  <c r="E606" i="10"/>
  <c r="E643" i="10"/>
  <c r="E672" i="10"/>
  <c r="E583" i="10"/>
  <c r="E602" i="10"/>
  <c r="E669" i="10"/>
  <c r="E581" i="10"/>
  <c r="E600" i="10"/>
  <c r="E684" i="10"/>
  <c r="E689" i="10"/>
  <c r="E574" i="10"/>
  <c r="E593" i="10"/>
  <c r="E634" i="10"/>
  <c r="E565" i="10"/>
  <c r="E570" i="10"/>
  <c r="E686" i="10"/>
  <c r="E635" i="10"/>
  <c r="E626" i="10"/>
  <c r="E592" i="10"/>
  <c r="E595" i="10"/>
  <c r="E659" i="10"/>
  <c r="E566" i="10"/>
  <c r="E671" i="10"/>
  <c r="E617" i="10"/>
  <c r="E653" i="10"/>
  <c r="O71" i="10"/>
  <c r="O46" i="10"/>
  <c r="O78" i="10"/>
  <c r="O49" i="10"/>
  <c r="O74" i="10"/>
  <c r="O48" i="10"/>
  <c r="O81" i="10"/>
  <c r="O43" i="10"/>
  <c r="R67" i="10"/>
  <c r="R77" i="10"/>
  <c r="R59" i="10"/>
  <c r="R63" i="10"/>
  <c r="R51" i="10"/>
  <c r="R47" i="10"/>
  <c r="O57" i="10"/>
  <c r="O37" i="10"/>
  <c r="O36" i="10"/>
  <c r="O65" i="10"/>
  <c r="O44" i="10"/>
  <c r="O60" i="10"/>
  <c r="O39" i="10"/>
  <c r="O59" i="10"/>
  <c r="O38" i="10"/>
  <c r="O62" i="10"/>
  <c r="R72" i="10"/>
  <c r="R80" i="10"/>
  <c r="R57" i="10"/>
  <c r="R53" i="10"/>
  <c r="R39" i="10"/>
  <c r="O52" i="10"/>
  <c r="O72" i="10"/>
  <c r="O47" i="10"/>
  <c r="O45" i="10"/>
  <c r="O40" i="10"/>
  <c r="O64" i="10"/>
  <c r="O79" i="10"/>
  <c r="O63" i="10"/>
  <c r="O68" i="10"/>
  <c r="O55" i="10"/>
  <c r="O67" i="10"/>
  <c r="O54" i="10"/>
  <c r="O75" i="10"/>
  <c r="R71" i="10"/>
  <c r="R78" i="10"/>
  <c r="R56" i="10"/>
  <c r="R52" i="10"/>
  <c r="R38" i="10"/>
  <c r="O80" i="10"/>
  <c r="O42" i="10"/>
  <c r="O58" i="10"/>
  <c r="O56" i="10"/>
  <c r="O77" i="10"/>
  <c r="O51" i="10"/>
  <c r="O76" i="10"/>
  <c r="O50" i="10"/>
  <c r="O70" i="10"/>
  <c r="O53" i="10"/>
  <c r="O69" i="10"/>
  <c r="R68" i="10"/>
  <c r="R79" i="10"/>
  <c r="R60" i="10"/>
  <c r="R64" i="10"/>
  <c r="R46" i="10"/>
  <c r="R48" i="10"/>
  <c r="O41" i="10"/>
  <c r="O61" i="10"/>
  <c r="O66" i="10"/>
  <c r="AS31" i="10"/>
  <c r="E201" i="10"/>
  <c r="E216" i="10"/>
  <c r="E217" i="10"/>
  <c r="E203" i="10"/>
  <c r="R33" i="10"/>
  <c r="E208" i="10"/>
  <c r="E212" i="10"/>
  <c r="G24" i="10"/>
  <c r="R35" i="10"/>
  <c r="E214" i="10"/>
  <c r="E219" i="10"/>
  <c r="E210" i="10"/>
  <c r="E213" i="10"/>
  <c r="E206" i="10"/>
  <c r="D210" i="10"/>
  <c r="O35" i="10"/>
  <c r="O34" i="10"/>
  <c r="E209" i="10"/>
  <c r="E200" i="10"/>
  <c r="E205" i="10" l="1"/>
  <c r="E220" i="10"/>
  <c r="E202" i="10"/>
  <c r="E204" i="10"/>
  <c r="E215" i="10"/>
  <c r="R34" i="10"/>
  <c r="J6" i="10"/>
  <c r="R37" i="10"/>
  <c r="R55" i="10"/>
  <c r="R70" i="10"/>
  <c r="R42" i="10"/>
  <c r="R61" i="10"/>
  <c r="R75" i="10"/>
  <c r="R43" i="10"/>
  <c r="R62" i="10"/>
  <c r="R76" i="10"/>
  <c r="R36" i="10"/>
  <c r="R54" i="10"/>
  <c r="R69" i="10"/>
  <c r="E557" i="10"/>
  <c r="E664" i="10"/>
  <c r="E569" i="10"/>
  <c r="E647" i="10"/>
  <c r="E633" i="10"/>
  <c r="E630" i="10"/>
  <c r="E639" i="10"/>
  <c r="E598" i="10"/>
  <c r="E603" i="10"/>
  <c r="E642" i="10"/>
  <c r="E578" i="10"/>
  <c r="E673" i="10"/>
  <c r="E638" i="10"/>
  <c r="E621" i="10"/>
  <c r="E597" i="10"/>
  <c r="E579" i="10"/>
  <c r="E619" i="10"/>
  <c r="E575" i="10"/>
  <c r="E453" i="10"/>
  <c r="E370" i="10"/>
  <c r="E283" i="10"/>
  <c r="E536" i="10"/>
  <c r="E280" i="10"/>
  <c r="E537" i="10"/>
  <c r="E454" i="10"/>
  <c r="E367" i="10"/>
  <c r="E447" i="10"/>
  <c r="E364" i="10"/>
  <c r="E277" i="10"/>
  <c r="E522" i="10"/>
  <c r="E266" i="10"/>
  <c r="E515" i="10"/>
  <c r="E432" i="10"/>
  <c r="E345" i="10"/>
  <c r="E433" i="10"/>
  <c r="E350" i="10"/>
  <c r="E263" i="10"/>
  <c r="E516" i="10"/>
  <c r="E260" i="10"/>
  <c r="E680" i="10"/>
  <c r="E622" i="10"/>
  <c r="E674" i="10"/>
  <c r="E546" i="10"/>
  <c r="E290" i="10"/>
  <c r="E539" i="10"/>
  <c r="E456" i="10"/>
  <c r="E369" i="10"/>
  <c r="E457" i="10"/>
  <c r="E374" i="10"/>
  <c r="E287" i="10"/>
  <c r="E540" i="10"/>
  <c r="E325" i="10"/>
  <c r="E314" i="10"/>
  <c r="E480" i="10"/>
  <c r="E481" i="10"/>
  <c r="E285" i="10"/>
  <c r="E207" i="10"/>
  <c r="E218" i="10"/>
  <c r="E211" i="10"/>
  <c r="R41" i="10"/>
  <c r="R45" i="10"/>
  <c r="R74" i="10"/>
  <c r="R49" i="10"/>
  <c r="R65" i="10"/>
  <c r="R81" i="10"/>
  <c r="R50" i="10"/>
  <c r="R58" i="10"/>
  <c r="R66" i="10"/>
  <c r="R40" i="10"/>
  <c r="R44" i="10"/>
  <c r="R73" i="10"/>
  <c r="E646" i="10"/>
  <c r="E612" i="10"/>
  <c r="E654" i="10"/>
  <c r="E670" i="10"/>
  <c r="E573" i="10"/>
  <c r="E559" i="10"/>
  <c r="E564" i="10"/>
  <c r="E585" i="10"/>
  <c r="E683" i="10"/>
  <c r="E649" i="10"/>
  <c r="E605" i="10"/>
  <c r="E580" i="10"/>
  <c r="E609" i="10"/>
  <c r="E628" i="10"/>
  <c r="E594" i="10"/>
  <c r="E590" i="10"/>
  <c r="E652" i="10"/>
  <c r="E586" i="10"/>
  <c r="E562" i="10"/>
  <c r="E306" i="10"/>
  <c r="E555" i="10"/>
  <c r="E472" i="10"/>
  <c r="E385" i="10"/>
  <c r="E473" i="10"/>
  <c r="E390" i="10"/>
  <c r="E303" i="10"/>
  <c r="E556" i="10"/>
  <c r="E300" i="10"/>
  <c r="E541" i="10"/>
  <c r="E458" i="10"/>
  <c r="E371" i="10"/>
  <c r="E451" i="10"/>
  <c r="E368" i="10"/>
  <c r="E281" i="10"/>
  <c r="E542" i="10"/>
  <c r="E286" i="10"/>
  <c r="E535" i="10"/>
  <c r="E452" i="10"/>
  <c r="E365" i="10"/>
  <c r="E577" i="10"/>
  <c r="E678" i="10"/>
  <c r="E567" i="10"/>
  <c r="E482" i="10"/>
  <c r="E226" i="10"/>
  <c r="E475" i="10"/>
  <c r="E392" i="10"/>
  <c r="E305" i="10"/>
  <c r="E393" i="10"/>
  <c r="E310" i="10"/>
  <c r="E223" i="10"/>
  <c r="E476" i="10"/>
  <c r="E525" i="10"/>
  <c r="E355" i="10"/>
  <c r="E352" i="10"/>
  <c r="E526" i="10"/>
  <c r="E372" i="10"/>
  <c r="E455" i="10"/>
  <c r="E334" i="10"/>
  <c r="AD21" i="10"/>
  <c r="E587" i="10"/>
  <c r="E244" i="10"/>
  <c r="E247" i="10"/>
  <c r="E462" i="10"/>
  <c r="E545" i="10"/>
  <c r="E288" i="10"/>
  <c r="E544" i="10"/>
  <c r="E291" i="10"/>
  <c r="E378" i="10"/>
  <c r="E461" i="10"/>
  <c r="E389" i="10"/>
  <c r="E444" i="10"/>
  <c r="E399" i="10"/>
  <c r="E527" i="10"/>
  <c r="E319" i="10"/>
  <c r="E278" i="10"/>
  <c r="E406" i="10"/>
  <c r="E534" i="10"/>
  <c r="E489" i="10"/>
  <c r="E273" i="10"/>
  <c r="E232" i="10"/>
  <c r="E360" i="10"/>
  <c r="E488" i="10"/>
  <c r="E443" i="10"/>
  <c r="E235" i="10"/>
  <c r="E363" i="10"/>
  <c r="E322" i="10"/>
  <c r="E450" i="10"/>
  <c r="E405" i="10"/>
  <c r="E533" i="10"/>
  <c r="E620" i="10"/>
  <c r="E561" i="10"/>
  <c r="E613" i="10"/>
  <c r="E676" i="10"/>
  <c r="E624" i="10"/>
  <c r="E333" i="10"/>
  <c r="E292" i="10"/>
  <c r="E420" i="10"/>
  <c r="E548" i="10"/>
  <c r="E503" i="10"/>
  <c r="E295" i="10"/>
  <c r="E254" i="10"/>
  <c r="E382" i="10"/>
  <c r="E510" i="10"/>
  <c r="E465" i="10"/>
  <c r="E249" i="10"/>
  <c r="E377" i="10"/>
  <c r="E336" i="10"/>
  <c r="E464" i="10"/>
  <c r="E419" i="10"/>
  <c r="E547" i="10"/>
  <c r="E339" i="10"/>
  <c r="E298" i="10"/>
  <c r="E426" i="10"/>
  <c r="E554" i="10"/>
  <c r="E509" i="10"/>
  <c r="E309" i="10"/>
  <c r="E268" i="10"/>
  <c r="E396" i="10"/>
  <c r="E524" i="10"/>
  <c r="E479" i="10"/>
  <c r="E271" i="10"/>
  <c r="E230" i="10"/>
  <c r="E358" i="10"/>
  <c r="E486" i="10"/>
  <c r="E441" i="10"/>
  <c r="E225" i="10"/>
  <c r="E353" i="10"/>
  <c r="E312" i="10"/>
  <c r="E440" i="10"/>
  <c r="E395" i="10"/>
  <c r="E523" i="10"/>
  <c r="E315" i="10"/>
  <c r="E274" i="10"/>
  <c r="E402" i="10"/>
  <c r="E530" i="10"/>
  <c r="E485" i="10"/>
  <c r="E687" i="10"/>
  <c r="E607" i="10"/>
  <c r="E604" i="10"/>
  <c r="E668" i="10"/>
  <c r="E616" i="10"/>
  <c r="E611" i="10"/>
  <c r="E637" i="10"/>
  <c r="E663" i="10"/>
  <c r="E599" i="10"/>
  <c r="E500" i="10"/>
  <c r="E270" i="10"/>
  <c r="E417" i="10"/>
  <c r="E329" i="10"/>
  <c r="E416" i="10"/>
  <c r="E499" i="10"/>
  <c r="E250" i="10"/>
  <c r="E506" i="10"/>
  <c r="E261" i="10"/>
  <c r="E348" i="10"/>
  <c r="E508" i="10"/>
  <c r="E463" i="10"/>
  <c r="E255" i="10"/>
  <c r="E383" i="10"/>
  <c r="E342" i="10"/>
  <c r="E470" i="10"/>
  <c r="E425" i="10"/>
  <c r="E553" i="10"/>
  <c r="E337" i="10"/>
  <c r="E296" i="10"/>
  <c r="E424" i="10"/>
  <c r="E552" i="10"/>
  <c r="E507" i="10"/>
  <c r="E299" i="10"/>
  <c r="E258" i="10"/>
  <c r="E386" i="10"/>
  <c r="E514" i="10"/>
  <c r="E469" i="10"/>
  <c r="E623" i="10"/>
  <c r="E591" i="10"/>
  <c r="E588" i="10"/>
  <c r="E679" i="10"/>
  <c r="E627" i="10"/>
  <c r="E269" i="10"/>
  <c r="E228" i="10"/>
  <c r="E356" i="10"/>
  <c r="E484" i="10"/>
  <c r="E439" i="10"/>
  <c r="E231" i="10"/>
  <c r="E359" i="10"/>
  <c r="E318" i="10"/>
  <c r="E446" i="10"/>
  <c r="E401" i="10"/>
  <c r="E529" i="10"/>
  <c r="E313" i="10"/>
  <c r="E272" i="10"/>
  <c r="E400" i="10"/>
  <c r="E528" i="10"/>
  <c r="E483" i="10"/>
  <c r="E275" i="10"/>
  <c r="E234" i="10"/>
  <c r="E362" i="10"/>
  <c r="E490" i="10"/>
  <c r="E445" i="10"/>
  <c r="E245" i="10"/>
  <c r="E373" i="10"/>
  <c r="E332" i="10"/>
  <c r="E460" i="10"/>
  <c r="E415" i="10"/>
  <c r="E543" i="10"/>
  <c r="E335" i="10"/>
  <c r="E294" i="10"/>
  <c r="E422" i="10"/>
  <c r="E550" i="10"/>
  <c r="E505" i="10"/>
  <c r="E289" i="10"/>
  <c r="E248" i="10"/>
  <c r="E376" i="10"/>
  <c r="E504" i="10"/>
  <c r="E459" i="10"/>
  <c r="E251" i="10"/>
  <c r="E379" i="10"/>
  <c r="E338" i="10"/>
  <c r="E466" i="10"/>
  <c r="E421" i="10"/>
  <c r="E549" i="10"/>
  <c r="E688" i="10"/>
  <c r="E650" i="10"/>
  <c r="E657" i="10"/>
  <c r="E675" i="10"/>
  <c r="E629" i="10"/>
  <c r="E658" i="10"/>
  <c r="E632" i="10"/>
  <c r="E608" i="10"/>
  <c r="E640" i="10"/>
  <c r="E519" i="10"/>
  <c r="E436" i="10"/>
  <c r="E349" i="10"/>
  <c r="E596" i="10"/>
  <c r="E644" i="10"/>
  <c r="E666" i="10"/>
  <c r="E618" i="10"/>
  <c r="E667" i="10"/>
  <c r="E398" i="10"/>
  <c r="E311" i="10"/>
  <c r="E391" i="10"/>
  <c r="E308" i="10"/>
  <c r="E221" i="10"/>
  <c r="E661" i="10"/>
  <c r="E677" i="10"/>
  <c r="P27" i="10"/>
  <c r="J7" i="10"/>
  <c r="AD27" i="10" s="1"/>
  <c r="AD24" i="10" s="1"/>
  <c r="E316" i="10"/>
  <c r="E357" i="10"/>
  <c r="E229" i="10"/>
  <c r="E429" i="10"/>
  <c r="E474" i="10"/>
  <c r="E346" i="10"/>
  <c r="E387" i="10"/>
  <c r="E259" i="10"/>
  <c r="E467" i="10"/>
  <c r="E512" i="10"/>
  <c r="E384" i="10"/>
  <c r="E256" i="10"/>
  <c r="E297" i="10"/>
  <c r="E513" i="10"/>
  <c r="E558" i="10"/>
  <c r="E430" i="10"/>
  <c r="E302" i="10"/>
  <c r="E343" i="10"/>
  <c r="E551" i="10"/>
  <c r="E423" i="10"/>
  <c r="E468" i="10"/>
  <c r="E340" i="10"/>
  <c r="E381" i="10"/>
  <c r="E253" i="10"/>
  <c r="E636" i="10"/>
  <c r="E645" i="10"/>
  <c r="E631" i="10"/>
  <c r="E682" i="10"/>
  <c r="E610" i="10"/>
  <c r="E651" i="10"/>
  <c r="E380" i="10"/>
  <c r="E252" i="10"/>
  <c r="E293" i="10"/>
  <c r="E493" i="10"/>
  <c r="E538" i="10"/>
  <c r="E410" i="10"/>
  <c r="E282" i="10"/>
  <c r="E323" i="10"/>
  <c r="E531" i="10"/>
  <c r="E403" i="10"/>
  <c r="E448" i="10"/>
  <c r="E320" i="10"/>
  <c r="E361" i="10"/>
  <c r="E233" i="10"/>
  <c r="E449" i="10"/>
  <c r="E494" i="10"/>
  <c r="E366" i="10"/>
  <c r="E238" i="10"/>
  <c r="E279" i="10"/>
  <c r="E487" i="10"/>
  <c r="E532" i="10"/>
  <c r="E404" i="10"/>
  <c r="E276" i="10"/>
  <c r="E317" i="10"/>
  <c r="E648" i="10"/>
  <c r="E641" i="10"/>
  <c r="E656" i="10"/>
  <c r="E584" i="10"/>
  <c r="E615" i="10"/>
  <c r="G25" i="10"/>
  <c r="AF21" i="10"/>
  <c r="AB21" i="10"/>
  <c r="J8" i="10"/>
  <c r="AF27" i="10" s="1"/>
  <c r="H24" i="10"/>
  <c r="Q22" i="10" s="1"/>
  <c r="AK66" i="10"/>
  <c r="D533" i="10"/>
  <c r="D537" i="10"/>
  <c r="D530" i="10"/>
  <c r="D534" i="10"/>
  <c r="D538" i="10"/>
  <c r="D531" i="10"/>
  <c r="D535" i="10"/>
  <c r="D539" i="10"/>
  <c r="D532" i="10"/>
  <c r="D536" i="10"/>
  <c r="AK39" i="10"/>
  <c r="D261" i="10"/>
  <c r="D265" i="10"/>
  <c r="D269" i="10"/>
  <c r="D262" i="10"/>
  <c r="D266" i="10"/>
  <c r="D263" i="10"/>
  <c r="D267" i="10"/>
  <c r="D260" i="10"/>
  <c r="D264" i="10"/>
  <c r="D268" i="10"/>
  <c r="AK36" i="10"/>
  <c r="D233" i="10"/>
  <c r="D237" i="10"/>
  <c r="D230" i="10"/>
  <c r="D234" i="10"/>
  <c r="D238" i="10"/>
  <c r="D231" i="10"/>
  <c r="D235" i="10"/>
  <c r="D239" i="10"/>
  <c r="D232" i="10"/>
  <c r="D236" i="10"/>
  <c r="AK81" i="10"/>
  <c r="D682" i="10"/>
  <c r="D686" i="10"/>
  <c r="D683" i="10"/>
  <c r="D687" i="10"/>
  <c r="D680" i="10"/>
  <c r="D684" i="10"/>
  <c r="D688" i="10"/>
  <c r="D681" i="10"/>
  <c r="D685" i="10"/>
  <c r="D689" i="10"/>
  <c r="AK78" i="10"/>
  <c r="D650" i="10"/>
  <c r="D654" i="10"/>
  <c r="D658" i="10"/>
  <c r="D651" i="10"/>
  <c r="D655" i="10"/>
  <c r="D659" i="10"/>
  <c r="D652" i="10"/>
  <c r="D656" i="10"/>
  <c r="D653" i="10"/>
  <c r="D657" i="10"/>
  <c r="AK53" i="10"/>
  <c r="D401" i="10"/>
  <c r="D405" i="10"/>
  <c r="D409" i="10"/>
  <c r="D402" i="10"/>
  <c r="D406" i="10"/>
  <c r="D403" i="10"/>
  <c r="D407" i="10"/>
  <c r="D400" i="10"/>
  <c r="D404" i="10"/>
  <c r="D408" i="10"/>
  <c r="AK51" i="10"/>
  <c r="D381" i="10"/>
  <c r="D385" i="10"/>
  <c r="D389" i="10"/>
  <c r="D382" i="10"/>
  <c r="D386" i="10"/>
  <c r="D383" i="10"/>
  <c r="D387" i="10"/>
  <c r="D380" i="10"/>
  <c r="D384" i="10"/>
  <c r="D388" i="10"/>
  <c r="AK55" i="10"/>
  <c r="D421" i="10"/>
  <c r="D425" i="10"/>
  <c r="D429" i="10"/>
  <c r="D422" i="10"/>
  <c r="D426" i="10"/>
  <c r="D423" i="10"/>
  <c r="D427" i="10"/>
  <c r="D420" i="10"/>
  <c r="D424" i="10"/>
  <c r="D428" i="10"/>
  <c r="AK64" i="10"/>
  <c r="D513" i="10"/>
  <c r="D517" i="10"/>
  <c r="D510" i="10"/>
  <c r="D514" i="10"/>
  <c r="D518" i="10"/>
  <c r="D511" i="10"/>
  <c r="D515" i="10"/>
  <c r="D519" i="10"/>
  <c r="D512" i="10"/>
  <c r="D516" i="10"/>
  <c r="AK72" i="10"/>
  <c r="D590" i="10"/>
  <c r="D594" i="10"/>
  <c r="D598" i="10"/>
  <c r="D591" i="10"/>
  <c r="D595" i="10"/>
  <c r="D599" i="10"/>
  <c r="D592" i="10"/>
  <c r="D596" i="10"/>
  <c r="D593" i="10"/>
  <c r="D597" i="10"/>
  <c r="AK61" i="10"/>
  <c r="D481" i="10"/>
  <c r="D485" i="10"/>
  <c r="D489" i="10"/>
  <c r="D482" i="10"/>
  <c r="D486" i="10"/>
  <c r="D483" i="10"/>
  <c r="D487" i="10"/>
  <c r="D480" i="10"/>
  <c r="D484" i="10"/>
  <c r="D488" i="10"/>
  <c r="AK70" i="10"/>
  <c r="D570" i="10"/>
  <c r="D574" i="10"/>
  <c r="D578" i="10"/>
  <c r="D571" i="10"/>
  <c r="D575" i="10"/>
  <c r="D579" i="10"/>
  <c r="D572" i="10"/>
  <c r="D576" i="10"/>
  <c r="D573" i="10"/>
  <c r="D577" i="10"/>
  <c r="AK77" i="10"/>
  <c r="D642" i="10"/>
  <c r="D646" i="10"/>
  <c r="D643" i="10"/>
  <c r="D647" i="10"/>
  <c r="D640" i="10"/>
  <c r="D644" i="10"/>
  <c r="D648" i="10"/>
  <c r="D641" i="10"/>
  <c r="D645" i="10"/>
  <c r="D649" i="10"/>
  <c r="AK80" i="10"/>
  <c r="D670" i="10"/>
  <c r="D674" i="10"/>
  <c r="D678" i="10"/>
  <c r="D671" i="10"/>
  <c r="D675" i="10"/>
  <c r="D679" i="10"/>
  <c r="D672" i="10"/>
  <c r="D676" i="10"/>
  <c r="D673" i="10"/>
  <c r="D677" i="10"/>
  <c r="AK75" i="10"/>
  <c r="D622" i="10"/>
  <c r="D626" i="10"/>
  <c r="D623" i="10"/>
  <c r="D627" i="10"/>
  <c r="D620" i="10"/>
  <c r="D624" i="10"/>
  <c r="D628" i="10"/>
  <c r="D621" i="10"/>
  <c r="D625" i="10"/>
  <c r="D629" i="10"/>
  <c r="AK68" i="10"/>
  <c r="D553" i="10"/>
  <c r="D557" i="10"/>
  <c r="D550" i="10"/>
  <c r="D554" i="10"/>
  <c r="D551" i="10"/>
  <c r="D555" i="10"/>
  <c r="D559" i="10"/>
  <c r="D552" i="10"/>
  <c r="D556" i="10"/>
  <c r="D558" i="10"/>
  <c r="AK40" i="10"/>
  <c r="D273" i="10"/>
  <c r="D277" i="10"/>
  <c r="D270" i="10"/>
  <c r="D274" i="10"/>
  <c r="D278" i="10"/>
  <c r="D271" i="10"/>
  <c r="D275" i="10"/>
  <c r="D279" i="10"/>
  <c r="D272" i="10"/>
  <c r="D276" i="10"/>
  <c r="AK52" i="10"/>
  <c r="D393" i="10"/>
  <c r="D397" i="10"/>
  <c r="D390" i="10"/>
  <c r="D394" i="10"/>
  <c r="D398" i="10"/>
  <c r="D391" i="10"/>
  <c r="D395" i="10"/>
  <c r="D399" i="10"/>
  <c r="D392" i="10"/>
  <c r="D396" i="10"/>
  <c r="AK62" i="10"/>
  <c r="D493" i="10"/>
  <c r="D497" i="10"/>
  <c r="D490" i="10"/>
  <c r="D494" i="10"/>
  <c r="D498" i="10"/>
  <c r="D491" i="10"/>
  <c r="D495" i="10"/>
  <c r="D499" i="10"/>
  <c r="D492" i="10"/>
  <c r="D496" i="10"/>
  <c r="AK60" i="10"/>
  <c r="D473" i="10"/>
  <c r="D477" i="10"/>
  <c r="D470" i="10"/>
  <c r="D474" i="10"/>
  <c r="D478" i="10"/>
  <c r="D471" i="10"/>
  <c r="D475" i="10"/>
  <c r="D479" i="10"/>
  <c r="D472" i="10"/>
  <c r="D476" i="10"/>
  <c r="AK37" i="10"/>
  <c r="D241" i="10"/>
  <c r="D245" i="10"/>
  <c r="D249" i="10"/>
  <c r="D242" i="10"/>
  <c r="D246" i="10"/>
  <c r="D243" i="10"/>
  <c r="D247" i="10"/>
  <c r="D240" i="10"/>
  <c r="D244" i="10"/>
  <c r="D248" i="10"/>
  <c r="AK48" i="10"/>
  <c r="D353" i="10"/>
  <c r="D357" i="10"/>
  <c r="D350" i="10"/>
  <c r="D354" i="10"/>
  <c r="D358" i="10"/>
  <c r="D351" i="10"/>
  <c r="D355" i="10"/>
  <c r="D359" i="10"/>
  <c r="D352" i="10"/>
  <c r="D356" i="10"/>
  <c r="AK46" i="10"/>
  <c r="D333" i="10"/>
  <c r="D337" i="10"/>
  <c r="D330" i="10"/>
  <c r="D334" i="10"/>
  <c r="D338" i="10"/>
  <c r="D331" i="10"/>
  <c r="D335" i="10"/>
  <c r="D339" i="10"/>
  <c r="D332" i="10"/>
  <c r="D336" i="10"/>
  <c r="AK42" i="10"/>
  <c r="D293" i="10"/>
  <c r="D297" i="10"/>
  <c r="D290" i="10"/>
  <c r="D294" i="10"/>
  <c r="D298" i="10"/>
  <c r="D291" i="10"/>
  <c r="D295" i="10"/>
  <c r="D299" i="10"/>
  <c r="D292" i="10"/>
  <c r="D296" i="10"/>
  <c r="AK41" i="10"/>
  <c r="D281" i="10"/>
  <c r="D285" i="10"/>
  <c r="D289" i="10"/>
  <c r="D282" i="10"/>
  <c r="D286" i="10"/>
  <c r="D283" i="10"/>
  <c r="D287" i="10"/>
  <c r="D280" i="10"/>
  <c r="D284" i="10"/>
  <c r="D288" i="10"/>
  <c r="AK50" i="10"/>
  <c r="D373" i="10"/>
  <c r="D377" i="10"/>
  <c r="D370" i="10"/>
  <c r="D374" i="10"/>
  <c r="D378" i="10"/>
  <c r="D371" i="10"/>
  <c r="D375" i="10"/>
  <c r="D379" i="10"/>
  <c r="D372" i="10"/>
  <c r="D376" i="10"/>
  <c r="AK56" i="10"/>
  <c r="D433" i="10"/>
  <c r="D437" i="10"/>
  <c r="D430" i="10"/>
  <c r="D434" i="10"/>
  <c r="D438" i="10"/>
  <c r="D431" i="10"/>
  <c r="D435" i="10"/>
  <c r="D439" i="10"/>
  <c r="D432" i="10"/>
  <c r="D436" i="10"/>
  <c r="AK54" i="10"/>
  <c r="D413" i="10"/>
  <c r="D417" i="10"/>
  <c r="D410" i="10"/>
  <c r="D414" i="10"/>
  <c r="D418" i="10"/>
  <c r="D411" i="10"/>
  <c r="D415" i="10"/>
  <c r="D419" i="10"/>
  <c r="D412" i="10"/>
  <c r="D416" i="10"/>
  <c r="AK63" i="10"/>
  <c r="D501" i="10"/>
  <c r="D505" i="10"/>
  <c r="D509" i="10"/>
  <c r="D502" i="10"/>
  <c r="D506" i="10"/>
  <c r="D503" i="10"/>
  <c r="D507" i="10"/>
  <c r="D500" i="10"/>
  <c r="D504" i="10"/>
  <c r="D508" i="10"/>
  <c r="AK45" i="10"/>
  <c r="D321" i="10"/>
  <c r="D325" i="10"/>
  <c r="D329" i="10"/>
  <c r="D322" i="10"/>
  <c r="D326" i="10"/>
  <c r="D323" i="10"/>
  <c r="D327" i="10"/>
  <c r="D320" i="10"/>
  <c r="D324" i="10"/>
  <c r="D328" i="10"/>
  <c r="AK38" i="10"/>
  <c r="D253" i="10"/>
  <c r="D257" i="10"/>
  <c r="D250" i="10"/>
  <c r="D254" i="10"/>
  <c r="D258" i="10"/>
  <c r="D251" i="10"/>
  <c r="D255" i="10"/>
  <c r="D259" i="10"/>
  <c r="D252" i="10"/>
  <c r="D256" i="10"/>
  <c r="AK44" i="10"/>
  <c r="D313" i="10"/>
  <c r="D317" i="10"/>
  <c r="D310" i="10"/>
  <c r="D314" i="10"/>
  <c r="D318" i="10"/>
  <c r="D311" i="10"/>
  <c r="D315" i="10"/>
  <c r="D319" i="10"/>
  <c r="D312" i="10"/>
  <c r="D316" i="10"/>
  <c r="AK57" i="10"/>
  <c r="D441" i="10"/>
  <c r="D445" i="10"/>
  <c r="D449" i="10"/>
  <c r="D442" i="10"/>
  <c r="D446" i="10"/>
  <c r="D443" i="10"/>
  <c r="D447" i="10"/>
  <c r="D440" i="10"/>
  <c r="D444" i="10"/>
  <c r="D448" i="10"/>
  <c r="AK74" i="10"/>
  <c r="D610" i="10"/>
  <c r="D614" i="10"/>
  <c r="D618" i="10"/>
  <c r="D611" i="10"/>
  <c r="D615" i="10"/>
  <c r="D619" i="10"/>
  <c r="D612" i="10"/>
  <c r="D616" i="10"/>
  <c r="D613" i="10"/>
  <c r="D617" i="10"/>
  <c r="AK71" i="10"/>
  <c r="D582" i="10"/>
  <c r="D586" i="10"/>
  <c r="D583" i="10"/>
  <c r="D587" i="10"/>
  <c r="D580" i="10"/>
  <c r="D584" i="10"/>
  <c r="D588" i="10"/>
  <c r="D581" i="10"/>
  <c r="D585" i="10"/>
  <c r="D589" i="10"/>
  <c r="D221" i="10"/>
  <c r="D225" i="10"/>
  <c r="D229" i="10"/>
  <c r="D222" i="10"/>
  <c r="D226" i="10"/>
  <c r="D223" i="10"/>
  <c r="D227" i="10"/>
  <c r="D224" i="10"/>
  <c r="D228" i="10"/>
  <c r="AK69" i="10"/>
  <c r="D562" i="10"/>
  <c r="D566" i="10"/>
  <c r="D563" i="10"/>
  <c r="D567" i="10"/>
  <c r="D560" i="10"/>
  <c r="D564" i="10"/>
  <c r="D568" i="10"/>
  <c r="D561" i="10"/>
  <c r="D565" i="10"/>
  <c r="D569" i="10"/>
  <c r="AK76" i="10"/>
  <c r="D630" i="10"/>
  <c r="D634" i="10"/>
  <c r="D638" i="10"/>
  <c r="D631" i="10"/>
  <c r="D635" i="10"/>
  <c r="D639" i="10"/>
  <c r="D632" i="10"/>
  <c r="D636" i="10"/>
  <c r="D633" i="10"/>
  <c r="D637" i="10"/>
  <c r="AK58" i="10"/>
  <c r="D453" i="10"/>
  <c r="D457" i="10"/>
  <c r="D450" i="10"/>
  <c r="D454" i="10"/>
  <c r="D458" i="10"/>
  <c r="D451" i="10"/>
  <c r="D455" i="10"/>
  <c r="D459" i="10"/>
  <c r="D452" i="10"/>
  <c r="D456" i="10"/>
  <c r="AK67" i="10"/>
  <c r="D541" i="10"/>
  <c r="D545" i="10"/>
  <c r="D549" i="10"/>
  <c r="D542" i="10"/>
  <c r="D546" i="10"/>
  <c r="D543" i="10"/>
  <c r="D547" i="10"/>
  <c r="D540" i="10"/>
  <c r="D544" i="10"/>
  <c r="D548" i="10"/>
  <c r="AK79" i="10"/>
  <c r="D662" i="10"/>
  <c r="D666" i="10"/>
  <c r="D663" i="10"/>
  <c r="D667" i="10"/>
  <c r="D660" i="10"/>
  <c r="D664" i="10"/>
  <c r="D668" i="10"/>
  <c r="D661" i="10"/>
  <c r="D665" i="10"/>
  <c r="D669" i="10"/>
  <c r="AK47" i="10"/>
  <c r="D341" i="10"/>
  <c r="D345" i="10"/>
  <c r="D349" i="10"/>
  <c r="D342" i="10"/>
  <c r="D346" i="10"/>
  <c r="D343" i="10"/>
  <c r="D347" i="10"/>
  <c r="D340" i="10"/>
  <c r="D344" i="10"/>
  <c r="D348" i="10"/>
  <c r="AK59" i="10"/>
  <c r="D461" i="10"/>
  <c r="D465" i="10"/>
  <c r="D469" i="10"/>
  <c r="D462" i="10"/>
  <c r="D466" i="10"/>
  <c r="D463" i="10"/>
  <c r="D467" i="10"/>
  <c r="D460" i="10"/>
  <c r="D464" i="10"/>
  <c r="D468" i="10"/>
  <c r="AK65" i="10"/>
  <c r="D521" i="10"/>
  <c r="D525" i="10"/>
  <c r="D529" i="10"/>
  <c r="D522" i="10"/>
  <c r="D526" i="10"/>
  <c r="D523" i="10"/>
  <c r="D527" i="10"/>
  <c r="D520" i="10"/>
  <c r="D524" i="10"/>
  <c r="D528" i="10"/>
  <c r="AK43" i="10"/>
  <c r="D301" i="10"/>
  <c r="D305" i="10"/>
  <c r="D309" i="10"/>
  <c r="D302" i="10"/>
  <c r="D306" i="10"/>
  <c r="D303" i="10"/>
  <c r="D307" i="10"/>
  <c r="D300" i="10"/>
  <c r="D304" i="10"/>
  <c r="D308" i="10"/>
  <c r="AK49" i="10"/>
  <c r="D361" i="10"/>
  <c r="D365" i="10"/>
  <c r="D369" i="10"/>
  <c r="D362" i="10"/>
  <c r="D366" i="10"/>
  <c r="D363" i="10"/>
  <c r="D367" i="10"/>
  <c r="D360" i="10"/>
  <c r="D364" i="10"/>
  <c r="D368" i="10"/>
  <c r="Q23" i="10"/>
  <c r="D216" i="10"/>
  <c r="D217" i="10"/>
  <c r="D213" i="10"/>
  <c r="D214" i="10"/>
  <c r="D218" i="10"/>
  <c r="D219" i="10"/>
  <c r="D211" i="10"/>
  <c r="D212" i="10"/>
  <c r="D215" i="10"/>
  <c r="AK34" i="10"/>
  <c r="D220" i="10"/>
  <c r="AK35" i="10"/>
  <c r="AB27" i="10"/>
  <c r="AR3" i="10" l="1"/>
  <c r="K9" i="10" s="1"/>
  <c r="AE24" i="10"/>
  <c r="AF24" i="10"/>
  <c r="AF9" i="10" s="1"/>
  <c r="AG24" i="10"/>
  <c r="AB24" i="10"/>
  <c r="AC24" i="10"/>
  <c r="AK33" i="10"/>
  <c r="AG9" i="10" l="1"/>
  <c r="AF8" i="10" s="1"/>
  <c r="K8" i="10" s="1"/>
  <c r="AB9" i="10"/>
  <c r="AC9" i="10"/>
  <c r="AD9" i="10"/>
  <c r="AE9" i="10"/>
  <c r="G23" i="10"/>
  <c r="H23" i="10"/>
  <c r="AB8" i="10" l="1"/>
  <c r="K6" i="10" s="1"/>
  <c r="AD8" i="10"/>
  <c r="K7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Laczkó István</author>
    <author>Laczko</author>
    <author>Laczkó</author>
  </authors>
  <commentList>
    <comment ref="R1" authorId="0" shapeId="0" xr:uid="{00000000-0006-0000-0000-000001000000}">
      <text>
        <r>
          <rPr>
            <b/>
            <sz val="8"/>
            <color indexed="81"/>
            <rFont val="Tahoma"/>
            <charset val="238"/>
          </rPr>
          <t>A kivezetések kedvezőbb elhelyezése miatt az ábrát mindkét irányban el lehet tolni.
Célszerű egy olyan helyzetet keresni, ahol az első horonyban "A" fázis van, és egy összefüggő tekercs-csoport kezdődik.
Ellenkező esetben előfordulhat, hogy a V1 és W1  kivezetések nem a megfelelő helyre esnek.</t>
        </r>
      </text>
    </comment>
    <comment ref="C2" authorId="0" shapeId="0" xr:uid="{00000000-0006-0000-0000-000002000000}">
      <text>
        <r>
          <rPr>
            <b/>
            <sz val="8"/>
            <color indexed="81"/>
            <rFont val="Tahoma"/>
            <charset val="238"/>
          </rPr>
          <t>Fázisok száma (2-26).
Legfeljebb m=26 lehet.
Legfeljebb m=15 ajánlott a fázisok különböző szinezése miatt.
A séma rajzolás csak m=3 -ra van kidolgozva.</t>
        </r>
      </text>
    </comment>
    <comment ref="E2" authorId="0" shapeId="0" xr:uid="{00000000-0006-0000-0000-000003000000}">
      <text>
        <r>
          <rPr>
            <b/>
            <sz val="8"/>
            <color indexed="81"/>
            <rFont val="Tahoma"/>
            <charset val="238"/>
          </rPr>
          <t>Az első (nem ismétlődő) horonyszám-csoport.
Ez a csoport t -szer ismétlődik.</t>
        </r>
      </text>
    </comment>
    <comment ref="C3" authorId="0" shapeId="0" xr:uid="{00000000-0006-0000-0000-000004000000}">
      <text>
        <r>
          <rPr>
            <b/>
            <sz val="8"/>
            <color indexed="81"/>
            <rFont val="Tahoma"/>
            <charset val="238"/>
          </rPr>
          <t>Horonyszám
Z/m egész szám legyen. Ellenkező esetben a cella elszineződik!</t>
        </r>
      </text>
    </comment>
    <comment ref="E3" authorId="1" shapeId="0" xr:uid="{00000000-0006-0000-0000-000005000000}">
      <text>
        <r>
          <rPr>
            <b/>
            <sz val="9"/>
            <color indexed="81"/>
            <rFont val="Tahoma"/>
            <charset val="1"/>
          </rPr>
          <t>Az első réteg tekercskiosztása (layout).
A második réteggel együtt jobbra-balra eltolható.</t>
        </r>
      </text>
    </comment>
    <comment ref="A4" authorId="2" shapeId="0" xr:uid="{00000000-0006-0000-0000-000006000000}">
      <text>
        <r>
          <rPr>
            <b/>
            <sz val="8"/>
            <color indexed="81"/>
            <rFont val="Tahoma"/>
            <charset val="238"/>
          </rPr>
          <t xml:space="preserve">Példák.
m/Z/2p/módszer
</t>
        </r>
        <r>
          <rPr>
            <b/>
            <sz val="8"/>
            <color indexed="10"/>
            <rFont val="Tahoma"/>
            <family val="2"/>
            <charset val="238"/>
          </rPr>
          <t>A cellára kattintva egérrel kell választani a listából.</t>
        </r>
      </text>
    </comment>
    <comment ref="C4" authorId="0" shapeId="0" xr:uid="{00000000-0006-0000-0000-000007000000}">
      <text>
        <r>
          <rPr>
            <b/>
            <sz val="8"/>
            <color indexed="81"/>
            <rFont val="Tahoma"/>
            <charset val="238"/>
          </rPr>
          <t>Pólusok száma
(nem póluspárok)</t>
        </r>
      </text>
    </comment>
    <comment ref="E4" authorId="1" shapeId="0" xr:uid="{00000000-0006-0000-0000-000008000000}">
      <text>
        <r>
          <rPr>
            <b/>
            <sz val="9"/>
            <color indexed="81"/>
            <rFont val="Tahoma"/>
            <charset val="1"/>
          </rPr>
          <t>Az második réteg tekercskiosztása (layout).
Ha a "Ret1" -et választjuk, akkor a második réteg kiosztása megegyezik az első réteggel. q&lt;1 esetén csak így állíthatjuk be az egyréteges tekercselést.
Ha q egynél nagyobb tört szám, akkor a program  "Ret2" -re írja át a választásunkat.
Az első réteggel együtt jobbra-balra eltolható.</t>
        </r>
      </text>
    </comment>
    <comment ref="A5" authorId="1" shapeId="0" xr:uid="{00000000-0006-0000-0000-000009000000}">
      <text>
        <r>
          <rPr>
            <b/>
            <sz val="9"/>
            <color indexed="81"/>
            <rFont val="Tahoma"/>
            <charset val="1"/>
          </rPr>
          <t xml:space="preserve">Csak tört q esetén van különbség az 1 és 2 módszer között,
kivéve, ha m=3 és d/3= egész szám (pl. m=3, z=48, 2p=6 aszimmetrikus tekercselés), mivel ebben az esetben egy speciális, a szerző által kifejlesztett módszert ajánl fel a program.
1 = Eredeti módszer (Sergeyev)
2 = Kissé módosított módszer (például q=1.5 esetén nem 1,2,1,2, ... lesz a tekercs-csoportok kiosztása, hanem 1,1,2,2,1,1,2,2,...)
Például m=2, Z=18, 2p=4 esetén ez jobb eredményt ad (szimmetrikusabb lesz a tekercselés).
</t>
        </r>
        <r>
          <rPr>
            <b/>
            <sz val="9"/>
            <color indexed="10"/>
            <rFont val="Tahoma"/>
            <family val="2"/>
            <charset val="238"/>
          </rPr>
          <t>LISTÁBÓL EGÉRREL IS KIVÁLASZTHATÓ AZ 1 vagy 2.</t>
        </r>
      </text>
    </comment>
    <comment ref="C5" authorId="1" shapeId="0" xr:uid="{00000000-0006-0000-0000-00000A000000}">
      <text>
        <r>
          <rPr>
            <b/>
            <sz val="9"/>
            <color indexed="81"/>
            <rFont val="Tahoma"/>
            <charset val="1"/>
          </rPr>
          <t>Tekercslépés.
A második tekercsréteg eltolódása horonyszámban kifejezve.
Z és 2p kitöltése után egy szokásos értéket felajánl a program.</t>
        </r>
      </text>
    </comment>
    <comment ref="E5" authorId="0" shapeId="0" xr:uid="{00000000-0006-0000-0000-00000B000000}">
      <text>
        <r>
          <rPr>
            <b/>
            <sz val="8"/>
            <color indexed="81"/>
            <rFont val="Tahoma"/>
            <charset val="238"/>
          </rPr>
          <t>Az adott horonyhoz tartozó  horonyfeszültség-csillag vektor sorszáma.
Az első vektor a 0 foktól (12 óra irányától) jobbra található.</t>
        </r>
      </text>
    </comment>
    <comment ref="C6" authorId="1" shapeId="0" xr:uid="{00000000-0006-0000-0000-00000C000000}">
      <text>
        <r>
          <rPr>
            <b/>
            <sz val="9"/>
            <color indexed="81"/>
            <rFont val="Tahoma"/>
            <charset val="1"/>
          </rPr>
          <t>Átmérős lépés.
Yd=Z/2p</t>
        </r>
      </text>
    </comment>
    <comment ref="A7" authorId="0" shapeId="0" xr:uid="{00000000-0006-0000-0000-00000D000000}">
      <text>
        <r>
          <rPr>
            <b/>
            <sz val="9"/>
            <color indexed="81"/>
            <rFont val="Tahoma"/>
            <charset val="1"/>
          </rPr>
          <t>0 esetén a számított t érvényes.
1 esetén t=1
Ilyenkor az ismétlődések kezdő horonyszámai zöld háttérrel lesznek megjelölve.</t>
        </r>
      </text>
    </comment>
    <comment ref="C7" authorId="1" shapeId="0" xr:uid="{00000000-0006-0000-0000-00000E000000}">
      <text>
        <r>
          <rPr>
            <b/>
            <sz val="9"/>
            <color indexed="81"/>
            <rFont val="Tahoma"/>
            <charset val="1"/>
          </rPr>
          <t xml:space="preserve">Azonos fázisú vektorok száma a feszültségcsillag egy sugarában.
Számszerüleg Z és p legnagyobb közös osztója: t=GCD(Z;p). 
Saját függvénnyel:  t=gcdsk(Z;p)
Egyben a tekercskiosztás ismétlődéseinek a számával is egyenlő (egy legkisebb Z/2p kombináció ismétlődéseinek száma).
</t>
        </r>
      </text>
    </comment>
    <comment ref="AC7" authorId="2" shapeId="0" xr:uid="{00000000-0006-0000-0000-00000F000000}">
      <text>
        <r>
          <rPr>
            <b/>
            <sz val="8"/>
            <color indexed="81"/>
            <rFont val="Tahoma"/>
            <family val="2"/>
            <charset val="238"/>
          </rPr>
          <t xml:space="preserve">Az első három fázis indukált feszültségei közötti fázis-szög.
</t>
        </r>
        <r>
          <rPr>
            <b/>
            <sz val="8"/>
            <color indexed="10"/>
            <rFont val="Tahoma"/>
            <family val="2"/>
            <charset val="238"/>
          </rPr>
          <t>Szimmetria vizsgálathoz.</t>
        </r>
        <r>
          <rPr>
            <sz val="8"/>
            <color indexed="81"/>
            <rFont val="Tahoma"/>
            <charset val="238"/>
          </rPr>
          <t xml:space="preserve">
</t>
        </r>
      </text>
    </comment>
    <comment ref="C8" authorId="1" shapeId="0" xr:uid="{00000000-0006-0000-0000-000010000000}">
      <text>
        <r>
          <rPr>
            <b/>
            <sz val="9"/>
            <color indexed="81"/>
            <rFont val="Tahoma"/>
            <charset val="1"/>
          </rPr>
          <t>A szomszédos hornyoknak megfelelő fáziseltolási szög (villamos fok).
Pyrhonen könyvben=au.</t>
        </r>
      </text>
    </comment>
    <comment ref="AC8" authorId="2" shapeId="0" xr:uid="{00000000-0006-0000-0000-000011000000}">
      <text>
        <r>
          <rPr>
            <b/>
            <sz val="8"/>
            <color indexed="81"/>
            <rFont val="Tahoma"/>
            <charset val="238"/>
          </rPr>
          <t xml:space="preserve">Az első három fázis indukált feszültségeinek a fázis-szöge.
(nulla fok = 3 óra iránya)
</t>
        </r>
        <r>
          <rPr>
            <b/>
            <sz val="8"/>
            <color indexed="10"/>
            <rFont val="Tahoma"/>
            <family val="2"/>
            <charset val="238"/>
          </rPr>
          <t>Szimmetria vizsgálathoz.</t>
        </r>
      </text>
    </comment>
    <comment ref="AH8" authorId="0" shapeId="0" xr:uid="{00000000-0006-0000-0000-000012000000}">
      <text>
        <r>
          <rPr>
            <b/>
            <sz val="9"/>
            <color indexed="81"/>
            <rFont val="Tahoma"/>
            <charset val="1"/>
          </rPr>
          <t>Kezdő vektor sorszáma (F1, F2 és F3 -hoz)
Legfeljebb 100 darab vektor lehet.</t>
        </r>
      </text>
    </comment>
    <comment ref="AI8" authorId="0" shapeId="0" xr:uid="{00000000-0006-0000-0000-000013000000}">
      <text>
        <r>
          <rPr>
            <b/>
            <sz val="9"/>
            <color indexed="81"/>
            <rFont val="Tahoma"/>
            <charset val="1"/>
          </rPr>
          <t>A feszültségvektor száma
1=F1
2=F2
3=F3
Ha ezt a mezőt felülírjuk, akkor kérésre törölhetjük az eddig bevitt adatokat.</t>
        </r>
      </text>
    </comment>
    <comment ref="AM8" authorId="0" shapeId="0" xr:uid="{00000000-0006-0000-0000-000014000000}">
      <text>
        <r>
          <rPr>
            <b/>
            <sz val="8"/>
            <color indexed="81"/>
            <rFont val="Tahoma"/>
            <charset val="238"/>
          </rPr>
          <t>Tekercs csoportok elemei.
Példa: q=1.5 esetén 1,2</t>
        </r>
      </text>
    </comment>
    <comment ref="AO8" authorId="0" shapeId="0" xr:uid="{00000000-0006-0000-0000-000015000000}">
      <text>
        <r>
          <rPr>
            <b/>
            <sz val="8"/>
            <color indexed="81"/>
            <rFont val="Tahoma"/>
            <charset val="238"/>
          </rPr>
          <t>Tekercskiosztás.
A tekercs csoportok elemeinek a sorrendje.
Példa: q=1.5 esetén 2.1.2,1,… 
(1. módszer) vagy 2,2,1,1,…
 (2. módszer)</t>
        </r>
      </text>
    </comment>
    <comment ref="AP8" authorId="0" shapeId="0" xr:uid="{00000000-0006-0000-0000-000016000000}">
      <text>
        <r>
          <rPr>
            <b/>
            <sz val="8"/>
            <color indexed="81"/>
            <rFont val="Tahoma"/>
            <charset val="238"/>
          </rPr>
          <t>A fázis-zónák sorrendje.
Példa: m=3 esetén A,C',B,A',C,B'.
A fázis-zóna szélessége mindig 180/m geometriai fok.</t>
        </r>
      </text>
    </comment>
    <comment ref="AC9" authorId="2" shapeId="0" xr:uid="{00000000-0006-0000-0000-000017000000}">
      <text>
        <r>
          <rPr>
            <b/>
            <sz val="8"/>
            <color indexed="81"/>
            <rFont val="Tahoma"/>
            <charset val="238"/>
          </rPr>
          <t xml:space="preserve">Indukált feszültségek abszolút értékei az első három fázisban.
</t>
        </r>
        <r>
          <rPr>
            <b/>
            <sz val="8"/>
            <color indexed="10"/>
            <rFont val="Tahoma"/>
            <family val="2"/>
            <charset val="238"/>
          </rPr>
          <t>Szimmetria vizsgálathoz.</t>
        </r>
      </text>
    </comment>
    <comment ref="C10" authorId="1" shapeId="0" xr:uid="{00000000-0006-0000-0000-000018000000}">
      <text>
        <r>
          <rPr>
            <b/>
            <sz val="9"/>
            <color indexed="81"/>
            <rFont val="Tahoma"/>
            <charset val="1"/>
          </rPr>
          <t>Fázis eltérés a feszültségcsillag sugarai között (villamos fok).
A Pyrhonen könyvben "az" -vel van jelölve.</t>
        </r>
      </text>
    </comment>
    <comment ref="C11" authorId="1" shapeId="0" xr:uid="{00000000-0006-0000-0000-000019000000}">
      <text>
        <r>
          <rPr>
            <b/>
            <sz val="9"/>
            <color indexed="81"/>
            <rFont val="Tahoma"/>
            <charset val="1"/>
          </rPr>
          <t>A feszültségcsillag fázisban eltérő sugarainak száma.</t>
        </r>
      </text>
    </comment>
    <comment ref="A12" authorId="1" shapeId="0" xr:uid="{00000000-0006-0000-0000-00001A000000}">
      <text>
        <r>
          <rPr>
            <b/>
            <sz val="9"/>
            <color indexed="81"/>
            <rFont val="Tahoma"/>
            <charset val="1"/>
          </rPr>
          <t xml:space="preserve">1.sz szimmetriafeltétel
Z/(t*m)= egész szám legyen
Y = a tekercselés szimmetrikus
N = a tekercselés nem szimmetrikus
(a fázisok feszültsége nem egyforma)
</t>
        </r>
      </text>
    </comment>
    <comment ref="C12" authorId="0" shapeId="0" xr:uid="{00000000-0006-0000-0000-00001B000000}">
      <text>
        <r>
          <rPr>
            <b/>
            <sz val="8"/>
            <color indexed="81"/>
            <rFont val="Tahoma"/>
            <charset val="238"/>
          </rPr>
          <t>Egész szám legyen.
(szimmetriafeltétel)</t>
        </r>
      </text>
    </comment>
    <comment ref="C13" authorId="1" shapeId="0" xr:uid="{00000000-0006-0000-0000-00001C000000}">
      <text>
        <r>
          <rPr>
            <b/>
            <sz val="9"/>
            <color indexed="81"/>
            <rFont val="Tahoma"/>
            <charset val="1"/>
          </rPr>
          <t>Fázisonkénti horonyszám</t>
        </r>
      </text>
    </comment>
    <comment ref="C14" authorId="1" shapeId="0" xr:uid="{00000000-0006-0000-0000-00001D000000}">
      <text>
        <r>
          <rPr>
            <b/>
            <sz val="9"/>
            <color indexed="81"/>
            <rFont val="Tahoma"/>
            <charset val="1"/>
          </rPr>
          <t>A fázisonkénti horonyszám és a pólusszám legnagyobb közös osztója. GCD=GCD(Z/m;2p).
GCD funkció helyett gcdsk nevű saját funkció, mivel GCD -hez analysis toolpack is kell.</t>
        </r>
      </text>
    </comment>
    <comment ref="C15" authorId="1" shapeId="0" xr:uid="{00000000-0006-0000-0000-00001E000000}">
      <text>
        <r>
          <rPr>
            <b/>
            <sz val="9"/>
            <color indexed="81"/>
            <rFont val="Tahoma"/>
            <family val="2"/>
            <charset val="238"/>
          </rPr>
          <t>Fázisonkénti és pólusonkénti horonyszám tizedestört alakban. q=Z/(m*2p)=b+c/d=(b*d+c)/d=N/d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16" authorId="1" shapeId="0" xr:uid="{00000000-0006-0000-0000-00001F000000}">
      <text>
        <r>
          <rPr>
            <b/>
            <sz val="9"/>
            <color indexed="81"/>
            <rFont val="Tahoma"/>
            <charset val="1"/>
          </rPr>
          <t>Fázisonkénti és pólusonkénti horonyszám tovább nem egyszerüsíthető tört alakban.</t>
        </r>
      </text>
    </comment>
    <comment ref="C17" authorId="1" shapeId="0" xr:uid="{00000000-0006-0000-0000-000020000000}">
      <text>
        <r>
          <rPr>
            <b/>
            <sz val="9"/>
            <color indexed="81"/>
            <rFont val="Tahoma"/>
            <charset val="1"/>
          </rPr>
          <t>Fázisonkénti és pólusonkénti horonyszám tovább nem egyszerüsíthető tört alakban. q=b+c/d=(b*d+c)/d=N/d</t>
        </r>
      </text>
    </comment>
    <comment ref="C18" authorId="1" shapeId="0" xr:uid="{00000000-0006-0000-0000-000021000000}">
      <text>
        <r>
          <rPr>
            <b/>
            <sz val="9"/>
            <color indexed="81"/>
            <rFont val="Tahoma"/>
            <family val="2"/>
            <charset val="238"/>
          </rPr>
          <t>A tekercselésben egymás mellett lévő elemi tekercsek száma, amelyek Z/N -szer ismétlődnek (legnagyobb csoport). N=(Z/m)/GCD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19" authorId="1" shapeId="0" xr:uid="{00000000-0006-0000-0000-000022000000}">
      <text>
        <r>
          <rPr>
            <b/>
            <sz val="9"/>
            <color indexed="81"/>
            <rFont val="Tahoma"/>
            <charset val="1"/>
          </rPr>
          <t>A kis csoportokban lévő elemi tekercsek száma (a nagy csoportban b+1 tekercs van).</t>
        </r>
      </text>
    </comment>
    <comment ref="C20" authorId="1" shapeId="0" xr:uid="{00000000-0006-0000-0000-000023000000}">
      <text>
        <r>
          <rPr>
            <b/>
            <sz val="9"/>
            <color indexed="81"/>
            <rFont val="Tahoma"/>
            <charset val="1"/>
          </rPr>
          <t>c=N-b*d (c=y)</t>
        </r>
      </text>
    </comment>
    <comment ref="A21" authorId="1" shapeId="0" xr:uid="{00000000-0006-0000-0000-000024000000}">
      <text>
        <r>
          <rPr>
            <b/>
            <sz val="9"/>
            <color indexed="81"/>
            <rFont val="Tahoma"/>
            <charset val="1"/>
          </rPr>
          <t xml:space="preserve">2.sz szimmetriafeltétel
d/m= tört szám legyen
Y = a tekercselés szimmetrikus
N = a tekercselés nem szimmetrikus 
(a fázisok feszültsége nem egyforma)
</t>
        </r>
      </text>
    </comment>
    <comment ref="C21" authorId="1" shapeId="0" xr:uid="{00000000-0006-0000-0000-000025000000}">
      <text>
        <r>
          <rPr>
            <b/>
            <sz val="9"/>
            <color indexed="81"/>
            <rFont val="Tahoma"/>
            <charset val="1"/>
          </rPr>
          <t xml:space="preserve">Az N legnagyobb csopotban lévő kis- és nagy csoportok száma összesen.
d=2p/GCD
Ha d/m=egész szám (d osztható m -el), akkor nem szimmetrikus a tekercselés. </t>
        </r>
      </text>
    </comment>
    <comment ref="A22" authorId="1" shapeId="0" xr:uid="{00000000-0006-0000-0000-000026000000}">
      <text>
        <r>
          <rPr>
            <b/>
            <sz val="9"/>
            <color indexed="81"/>
            <rFont val="Tahoma"/>
            <charset val="1"/>
          </rPr>
          <t xml:space="preserve">3.sz szimmetriafeltétel
2p/d= egész szám legyen
Y = a tekercselés szimmetrikus
N = a tekercselés nem szimmetrikus 
(a fázisok feszültsége nem egyforma)
</t>
        </r>
      </text>
    </comment>
    <comment ref="C22" authorId="1" shapeId="0" xr:uid="{00000000-0006-0000-0000-000027000000}">
      <text>
        <r>
          <rPr>
            <b/>
            <sz val="9"/>
            <color indexed="81"/>
            <rFont val="Tahoma"/>
            <family val="2"/>
            <charset val="238"/>
          </rPr>
          <t>A b tekercsből álló kis csoportok száma a legnyobb (N) csoportban. N=x*b+y*(b+1)=(d-c)*b+c*(b+1)=b*d+c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23" authorId="1" shapeId="0" xr:uid="{00000000-0006-0000-0000-000028000000}">
      <text>
        <r>
          <rPr>
            <b/>
            <sz val="9"/>
            <color indexed="81"/>
            <rFont val="Tahoma"/>
            <family val="2"/>
            <charset val="238"/>
          </rPr>
          <t>A b+1 tekercsből álló nagy csoportok száma a legnyobb (N) csoportban.  N=x*b+y*(b+1)=(d-c)*b+c*(b+1)=b*d+c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24" authorId="1" shapeId="0" xr:uid="{00000000-0006-0000-0000-000029000000}">
      <text>
        <r>
          <rPr>
            <b/>
            <sz val="9"/>
            <color indexed="81"/>
            <rFont val="Tahoma"/>
            <charset val="1"/>
          </rPr>
          <t>A legnagyobb csoport (N) ismétlődéseinek száma.</t>
        </r>
      </text>
    </comment>
    <comment ref="C26" authorId="1" shapeId="0" xr:uid="{00000000-0006-0000-0000-00002A000000}">
      <text>
        <r>
          <rPr>
            <b/>
            <sz val="9"/>
            <color indexed="81"/>
            <rFont val="Tahoma"/>
            <charset val="1"/>
          </rPr>
          <t xml:space="preserve">Tekercselési tényező ("A" fázisra).
Az első réteg a horonycsillagból van számolva.
A második réteg feszültsége az elsővel azonos, de Y*alfa szöggel eltolva.
A tekercselési tényező a két vektor geometriai összegzéséből analítikus úton van kiszámítva. </t>
        </r>
      </text>
    </comment>
    <comment ref="C27" authorId="0" shapeId="0" xr:uid="{00000000-0006-0000-0000-00002B000000}">
      <text>
        <r>
          <rPr>
            <b/>
            <sz val="8"/>
            <color indexed="81"/>
            <rFont val="Tahoma"/>
            <charset val="238"/>
          </rPr>
          <t>Tekercselési tényező klasszikus képlettel számolva.</t>
        </r>
      </text>
    </comment>
    <comment ref="C28" authorId="1" shapeId="0" xr:uid="{00000000-0006-0000-0000-00002C000000}">
      <text>
        <r>
          <rPr>
            <b/>
            <sz val="9"/>
            <color indexed="81"/>
            <rFont val="Tahoma"/>
            <charset val="1"/>
          </rPr>
          <t>Eloszlási tényező (sávtényező) "A" fázisra horonycsillagból számolva).
Y=Yd esetén kt=ke</t>
        </r>
      </text>
    </comment>
    <comment ref="C29" authorId="0" shapeId="0" xr:uid="{00000000-0006-0000-0000-00002D000000}">
      <text>
        <r>
          <rPr>
            <b/>
            <sz val="8"/>
            <color indexed="81"/>
            <rFont val="Tahoma"/>
            <charset val="238"/>
          </rPr>
          <t>Sávtényező (eloszlási tényező) klasszikus képlettel számolva.</t>
        </r>
      </text>
    </comment>
    <comment ref="C30" authorId="0" shapeId="0" xr:uid="{00000000-0006-0000-0000-00002E000000}">
      <text>
        <r>
          <rPr>
            <b/>
            <sz val="8"/>
            <color indexed="81"/>
            <rFont val="Tahoma"/>
            <charset val="238"/>
          </rPr>
          <t>Légrésszórási tényező.
(3-fázis)</t>
        </r>
      </text>
    </comment>
    <comment ref="C31" authorId="0" shapeId="0" xr:uid="{00000000-0006-0000-0000-00002F000000}">
      <text>
        <r>
          <rPr>
            <b/>
            <sz val="8"/>
            <color indexed="81"/>
            <rFont val="Tahoma"/>
            <charset val="238"/>
          </rPr>
          <t>A gerjesztés (lépcsős) görbe alapharmonikusának amplitudója az alábbi horony-áramokra:
Ia=1 A
Ib=-0.5 A
Ic=-0.5A
(Csak 3 fázis esetére)</t>
        </r>
      </text>
    </comment>
    <comment ref="C32" authorId="1" shapeId="0" xr:uid="{00000000-0006-0000-0000-000030000000}">
      <text>
        <r>
          <rPr>
            <b/>
            <sz val="9"/>
            <color indexed="81"/>
            <rFont val="Tahoma"/>
            <charset val="1"/>
          </rPr>
          <t xml:space="preserve">Gerjesztési szög. A gerjesztés (lépcsős) görbe alapharmonikus amplitudójának szöge az alábbi horony-áramokra:
Ia=1 A
Ib=-0.5 A
Ic=-0.5A
(Csak 3 fázis esetére)
Ez a szög az utolsó horonyhoz képest van számolva (az első horony már alfa villamos szöggel van eltolódva). </t>
        </r>
      </text>
    </comment>
    <comment ref="C33" authorId="1" shapeId="0" xr:uid="{00000000-0006-0000-0000-000031000000}">
      <text>
        <r>
          <rPr>
            <b/>
            <sz val="9"/>
            <color indexed="81"/>
            <rFont val="Tahoma"/>
            <charset val="1"/>
          </rPr>
          <t>A gerjesztés (lépcsős) görbe alapharmonikus amplitudójának szöge (radiánban) az alábbi horony-áramokra:
Ia=1 A
Ib=-0.5 A
Ic=-0.5A
(Csak 3 fázis esetére)</t>
        </r>
      </text>
    </comment>
    <comment ref="C34" authorId="1" shapeId="0" xr:uid="{00000000-0006-0000-0000-000032000000}">
      <text>
        <r>
          <rPr>
            <b/>
            <sz val="9"/>
            <color indexed="81"/>
            <rFont val="Tahoma"/>
            <charset val="1"/>
          </rPr>
          <t>A gerjesztés alapharmonikus amplitudó szöge horonyszámban kifejezve.
A kiindulópont az utolsó horony.</t>
        </r>
      </text>
    </comment>
    <comment ref="C35" authorId="1" shapeId="0" xr:uid="{00000000-0006-0000-0000-000033000000}">
      <text>
        <r>
          <rPr>
            <b/>
            <sz val="9"/>
            <color indexed="81"/>
            <rFont val="Tahoma"/>
            <charset val="1"/>
          </rPr>
          <t>Párhuzamos ágak legnagyobb lehetséges száma.
// ágak (max)=2p/d
Más szavakkal: a tekercselés ismétlődő részeinek a száma.</t>
        </r>
      </text>
    </comment>
    <comment ref="C36" authorId="1" shapeId="0" xr:uid="{00000000-0006-0000-0000-000034000000}">
      <text>
        <r>
          <rPr>
            <b/>
            <sz val="9"/>
            <color indexed="81"/>
            <rFont val="Tahoma"/>
            <charset val="1"/>
          </rPr>
          <t>A diagramokon lévő nyilak megjelenését (vastagságát) szabályozza.
Normális értéke= 0.5</t>
        </r>
      </text>
    </comment>
    <comment ref="C37" authorId="1" shapeId="0" xr:uid="{00000000-0006-0000-0000-000035000000}">
      <text>
        <r>
          <rPr>
            <b/>
            <sz val="9"/>
            <color indexed="81"/>
            <rFont val="Tahoma"/>
            <charset val="1"/>
          </rPr>
          <t xml:space="preserve">Tekercselési tényező ("B" fázisra).
Az első réteg a horonycsillagból van számolva.
A második réteg feszültsége az elsővel azonos, de Y*alfa szöggel eltolva.
A tekercselési tényező a két vektor geometriai összegzéséből analítikus úton van kiszámítva. </t>
        </r>
      </text>
    </comment>
    <comment ref="C38" authorId="1" shapeId="0" xr:uid="{00000000-0006-0000-0000-000036000000}">
      <text>
        <r>
          <rPr>
            <b/>
            <sz val="9"/>
            <color indexed="81"/>
            <rFont val="Tahoma"/>
            <charset val="1"/>
          </rPr>
          <t xml:space="preserve">Tekercselési tényező ("C" fázisra).
Az első réteg a horonycsillagból van számolva.
A második réteg feszültsége az elsővel azonos, de Y*alfa szöggel eltolva.
A tekercselési tényező a két vektor geometriai összegzéséből analítikus úton van kiszámítva. </t>
        </r>
      </text>
    </comment>
    <comment ref="C40" authorId="0" shapeId="0" xr:uid="{00000000-0006-0000-0000-000037000000}">
      <text>
        <r>
          <rPr>
            <b/>
            <sz val="8"/>
            <color indexed="81"/>
            <rFont val="Tahoma"/>
            <charset val="238"/>
          </rPr>
          <t>Segédváltozó a kivezetések elhelyezéséhez (villamos 120 fokonként).
Ezt a számot először 2-től kezdve addig növeli a program egyesével, amíg a horonyszám*alfa villamos szög el nem éri a 120 villamos fokot (B-fázis kezdete).
Utána tovább növeli a program ezt a számot addig, amíg a horonyszám*alfa el nem éri a 240 fokot (C-fázis kezdete). Ez az érték látható a képernyőn.</t>
        </r>
      </text>
    </comment>
    <comment ref="C46" authorId="0" shapeId="0" xr:uid="{00000000-0006-0000-0000-000038000000}">
      <text>
        <r>
          <rPr>
            <b/>
            <sz val="8"/>
            <color indexed="81"/>
            <rFont val="Tahoma"/>
            <charset val="238"/>
          </rPr>
          <t>A Vonai és Fázisfeszültség aránya Csillag kapcsolás esetén.</t>
        </r>
      </text>
    </comment>
    <comment ref="B49" authorId="0" shapeId="0" xr:uid="{00000000-0006-0000-0000-000039000000}">
      <text>
        <r>
          <rPr>
            <b/>
            <sz val="8"/>
            <color indexed="81"/>
            <rFont val="Tahoma"/>
            <charset val="238"/>
          </rPr>
          <t>A fázisáramok elforgatási lépésének sorszáma.
A "Reset" ezt 0-ra állítja.
Az "Animáció" pedig 1-el növeli.
A fázisáramok elforgatási szöge pozitív (óramutató járásával ellenkező) irányú.
Minden kattintás az "Animáció" gombra 360/Lépés szöggel forgatja el a fázisáramokat.</t>
        </r>
      </text>
    </comment>
    <comment ref="B50" authorId="0" shapeId="0" xr:uid="{00000000-0006-0000-0000-00003A000000}">
      <text>
        <r>
          <rPr>
            <b/>
            <sz val="8"/>
            <color indexed="81"/>
            <rFont val="Tahoma"/>
            <charset val="238"/>
          </rPr>
          <t>A gerjesztési görbe harmonikusát (rózsaszinű görbe) erre a pólusszámra rajzolja ki.</t>
        </r>
      </text>
    </comment>
    <comment ref="C50" authorId="0" shapeId="0" xr:uid="{00000000-0006-0000-0000-00003B000000}">
      <text>
        <r>
          <rPr>
            <b/>
            <sz val="8"/>
            <color indexed="81"/>
            <rFont val="Tahoma"/>
            <charset val="238"/>
          </rPr>
          <t>2p (erre a pólusszámra van tervezve a tekercselés)</t>
        </r>
      </text>
    </comment>
    <comment ref="B51" authorId="0" shapeId="0" xr:uid="{00000000-0006-0000-0000-00003C000000}">
      <text>
        <r>
          <rPr>
            <b/>
            <sz val="8"/>
            <color indexed="81"/>
            <rFont val="Tahoma"/>
            <charset val="238"/>
          </rPr>
          <t>Aktuális Pólus/2p</t>
        </r>
      </text>
    </comment>
    <comment ref="B52" authorId="0" shapeId="0" xr:uid="{00000000-0006-0000-0000-00003D000000}">
      <text>
        <r>
          <rPr>
            <b/>
            <sz val="8"/>
            <color indexed="81"/>
            <rFont val="Tahoma"/>
            <charset val="238"/>
          </rPr>
          <t>Egy lépés villamos foka=360/Lépés</t>
        </r>
      </text>
    </comment>
    <comment ref="B53" authorId="0" shapeId="0" xr:uid="{00000000-0006-0000-0000-00003E000000}">
      <text>
        <r>
          <rPr>
            <b/>
            <sz val="8"/>
            <color indexed="81"/>
            <rFont val="Tahoma"/>
            <charset val="238"/>
          </rPr>
          <t>Kis harmonikus amplitúdó esetén ezzel a számmal fel lehet szorozni a rózsaszínű  görbe amplitudóját.</t>
        </r>
      </text>
    </comment>
    <comment ref="B61" authorId="0" shapeId="0" xr:uid="{00000000-0006-0000-0000-00003F000000}">
      <text>
        <r>
          <rPr>
            <b/>
            <sz val="9"/>
            <color indexed="81"/>
            <rFont val="Tahoma"/>
            <charset val="1"/>
          </rPr>
          <t>Itt beadható egy olyan pólusszám is, ami eltér attól amire a tekercselés tervezve van.
Ez akkor hasznos, ha két független tekercselésnél az egymába indukálást vizsgáljuk.
Példa: Z=48, 2p=4, y=10.
Ha a másik független tekercselés pólusszáma 2p=6, akkor a 4 pólusú tekercselésben 2// ág esetén csak akkor nem indukálódik feszültség, ha a 4 pólus tekercseit ilyen sorrendben párhuzamosítjuk: 1-3 ;2-4</t>
        </r>
      </text>
    </comment>
    <comment ref="C61" authorId="0" shapeId="0" xr:uid="{00000000-0006-0000-0000-000040000000}">
      <text>
        <r>
          <rPr>
            <b/>
            <sz val="9"/>
            <color indexed="81"/>
            <rFont val="Tahoma"/>
            <charset val="1"/>
          </rPr>
          <t>A tekercselés erre a pólusszámra van tervezve.</t>
        </r>
      </text>
    </comment>
    <comment ref="B63" authorId="0" shapeId="0" xr:uid="{00000000-0006-0000-0000-000041000000}">
      <text>
        <r>
          <rPr>
            <b/>
            <sz val="9"/>
            <color indexed="81"/>
            <rFont val="Tahoma"/>
            <charset val="1"/>
          </rPr>
          <t>A V1 vektor nagysága</t>
        </r>
      </text>
    </comment>
    <comment ref="C63" authorId="0" shapeId="0" xr:uid="{00000000-0006-0000-0000-000042000000}">
      <text>
        <r>
          <rPr>
            <b/>
            <sz val="9"/>
            <color indexed="81"/>
            <rFont val="Tahoma"/>
            <family val="2"/>
            <charset val="238"/>
          </rPr>
          <t>A V1 vektor szöge (fok)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B66" authorId="0" shapeId="0" xr:uid="{00000000-0006-0000-0000-000043000000}">
      <text>
        <r>
          <rPr>
            <b/>
            <sz val="9"/>
            <color indexed="81"/>
            <rFont val="Tahoma"/>
            <charset val="1"/>
          </rPr>
          <t>A V1, V2, V3 vektorok közül a legnagyobb.</t>
        </r>
      </text>
    </comment>
    <comment ref="B67" authorId="0" shapeId="0" xr:uid="{00000000-0006-0000-0000-000044000000}">
      <text>
        <r>
          <rPr>
            <b/>
            <sz val="9"/>
            <color indexed="81"/>
            <rFont val="Tahoma"/>
            <charset val="1"/>
          </rPr>
          <t>A V1 vektor tekercselési tényezője</t>
        </r>
      </text>
    </comment>
    <comment ref="C67" authorId="0" shapeId="0" xr:uid="{00000000-0006-0000-0000-000045000000}">
      <text>
        <r>
          <rPr>
            <b/>
            <sz val="9"/>
            <color indexed="81"/>
            <rFont val="Tahoma"/>
            <charset val="1"/>
          </rPr>
          <t>A V1 vektort alkotó F1 összetevők száma.</t>
        </r>
      </text>
    </comment>
    <comment ref="B70" authorId="0" shapeId="0" xr:uid="{00000000-0006-0000-0000-000046000000}">
      <text>
        <r>
          <rPr>
            <b/>
            <sz val="9"/>
            <color indexed="81"/>
            <rFont val="Tahoma"/>
            <charset val="1"/>
          </rPr>
          <t>A diagram tengelyeinek ajánlott skálája.
Ha ez nem felel meg, írjunk a szomszédos cellába ettől eltérő értéket.</t>
        </r>
      </text>
    </comment>
    <comment ref="C70" authorId="0" shapeId="0" xr:uid="{00000000-0006-0000-0000-000047000000}">
      <text>
        <r>
          <rPr>
            <b/>
            <sz val="9"/>
            <color indexed="81"/>
            <rFont val="Tahoma"/>
            <charset val="1"/>
          </rPr>
          <t>A tengelyek maximális értékének kézileges beállítása.
Töröljük vagy nullázzuk ezt az adatot, ha az automatikus skálát választjuk.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Laczkó István</author>
  </authors>
  <commentList>
    <comment ref="C60" authorId="0" shapeId="0" xr:uid="{00000000-0006-0000-0100-000001000000}">
      <text>
        <r>
          <rPr>
            <b/>
            <sz val="8"/>
            <color indexed="81"/>
            <rFont val="Tahoma"/>
            <charset val="238"/>
          </rPr>
          <t>Egész szám legyen.
(szimmetriafeltétel)</t>
        </r>
      </text>
    </comment>
    <comment ref="C85" authorId="0" shapeId="0" xr:uid="{00000000-0006-0000-0100-000002000000}">
      <text>
        <r>
          <rPr>
            <b/>
            <sz val="8"/>
            <color indexed="81"/>
            <rFont val="Tahoma"/>
            <charset val="238"/>
          </rPr>
          <t>m=3 esetén A,C'.B,A',C,B', ...
Más fázisszámok esetén kézileg be kell írni a fázis-zónák jelölését.
Pl. m=2 esetén: A,B'A',A, ...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Laczkó István</author>
    <author>Laczko</author>
    <author>István</author>
  </authors>
  <commentList>
    <comment ref="A1" authorId="0" shapeId="0" xr:uid="{00000000-0006-0000-0300-000001000000}">
      <text>
        <r>
          <rPr>
            <b/>
            <sz val="9"/>
            <color indexed="81"/>
            <rFont val="Tahoma"/>
            <charset val="1"/>
          </rPr>
          <t>Gyors paraméterválasztás.
Kattins ida, majd válassz a listából.</t>
        </r>
      </text>
    </comment>
    <comment ref="C2" authorId="0" shapeId="0" xr:uid="{00000000-0006-0000-0300-000002000000}">
      <text>
        <r>
          <rPr>
            <b/>
            <sz val="9"/>
            <color indexed="81"/>
            <rFont val="Tahoma"/>
            <charset val="1"/>
          </rPr>
          <t>Az Excel-es megjelenítéshez kedvezőbb színek és vinalak.</t>
        </r>
      </text>
    </comment>
    <comment ref="D2" authorId="0" shapeId="0" xr:uid="{00000000-0006-0000-0300-000003000000}">
      <text>
        <r>
          <rPr>
            <b/>
            <sz val="9"/>
            <color indexed="81"/>
            <rFont val="Tahoma"/>
            <charset val="1"/>
          </rPr>
          <t>AutoCad esetén fekete háttérhez illő színek és vonalvastagságok szükségesek.
A sémát egyszerűen jelöljük ki (előtte a lapvédelmet kikapcsolva) és másoljuk a vágólapra (Ctrl+C).
Ezt a másolást a Schema munkalapon lévő "Copy" gombbal is megtehetjük.
AutoCad -ban: Paste Special/Entities
Utána: Tools/Quickselect, ahol a zöld színű objektumok tulajdonságaiban a Layer legyen U. Majd ugyanigy sárga=V, piros=W.
Ha ez megvan, az összeset kijelöljük és a színeket Bylayer-re állítjuk.
Előkészített megoldás: AutoCad -ben futtatjuk a "colortolayer" lisp programot:
1. (load "colortolayer")
2. colortolayer</t>
        </r>
      </text>
    </comment>
    <comment ref="Y2" authorId="0" shapeId="0" xr:uid="{00000000-0006-0000-0300-000004000000}">
      <text>
        <r>
          <rPr>
            <b/>
            <sz val="8"/>
            <color indexed="81"/>
            <rFont val="Tahoma"/>
            <charset val="238"/>
          </rPr>
          <t>W-design-Template.dwg
fájlban előkészített
layer-ek.
Ezek ugyanolyanok, mint ami a MagneTek-Hungaria majd A.O.Smith Kft. (volt Dinamó és EVIG) gyárakban használt AutoCad sémarajzok.</t>
        </r>
      </text>
    </comment>
    <comment ref="A3" authorId="1" shapeId="0" xr:uid="{00000000-0006-0000-0300-000005000000}">
      <text>
        <r>
          <rPr>
            <b/>
            <sz val="9"/>
            <color indexed="81"/>
            <rFont val="Tahoma"/>
            <charset val="1"/>
          </rPr>
          <t>Bal felső sarok X-koordinátája.
Balról jobbra növekszik.</t>
        </r>
      </text>
    </comment>
    <comment ref="A4" authorId="1" shapeId="0" xr:uid="{00000000-0006-0000-0300-000006000000}">
      <text>
        <r>
          <rPr>
            <b/>
            <sz val="9"/>
            <color indexed="81"/>
            <rFont val="Tahoma"/>
            <charset val="1"/>
          </rPr>
          <t>Bal felső sarok Y-koordinátája.
Fentről lefelé növekszik.
Ajánlott érték:
Full HD monitorhoz: 70
HD monitorhoz: 65</t>
        </r>
      </text>
    </comment>
    <comment ref="A5" authorId="1" shapeId="0" xr:uid="{00000000-0006-0000-0300-000007000000}">
      <text>
        <r>
          <rPr>
            <b/>
            <sz val="9"/>
            <color indexed="81"/>
            <rFont val="Tahoma"/>
            <charset val="1"/>
          </rPr>
          <t>A rövidebb (bal oldali) tekercsoldal mérete.</t>
        </r>
      </text>
    </comment>
    <comment ref="A6" authorId="1" shapeId="0" xr:uid="{00000000-0006-0000-0300-000008000000}">
      <text>
        <r>
          <rPr>
            <b/>
            <sz val="9"/>
            <color indexed="81"/>
            <rFont val="Tahoma"/>
            <charset val="1"/>
          </rPr>
          <t>A hosszabb és a rövidebb tekercsoldal különbségének a fele.</t>
        </r>
      </text>
    </comment>
    <comment ref="A7" authorId="1" shapeId="0" xr:uid="{00000000-0006-0000-0300-000009000000}">
      <text>
        <r>
          <rPr>
            <b/>
            <sz val="9"/>
            <color indexed="81"/>
            <rFont val="Tahoma"/>
            <charset val="1"/>
          </rPr>
          <t>A hornyokat jelölő rács magassága</t>
        </r>
      </text>
    </comment>
    <comment ref="A8" authorId="1" shapeId="0" xr:uid="{00000000-0006-0000-0300-00000A000000}">
      <text>
        <r>
          <rPr>
            <b/>
            <sz val="9"/>
            <color indexed="81"/>
            <rFont val="Tahoma"/>
            <charset val="1"/>
          </rPr>
          <t>A hornyokat jelölő rács szélessége.
Összehangolandó a cellák szélességével (Szeles=3.07)
Ajánlott érték:
Full HD monitorhoz: 21
HD monitorhoz: 19.5</t>
        </r>
      </text>
    </comment>
    <comment ref="A9" authorId="1" shapeId="0" xr:uid="{00000000-0006-0000-0300-00000B000000}">
      <text>
        <r>
          <rPr>
            <b/>
            <sz val="9"/>
            <color indexed="81"/>
            <rFont val="Tahoma"/>
            <charset val="1"/>
          </rPr>
          <t>A rövidebb és a hosszabb tekercsoldal közti távolság fele egy hornyon belül.</t>
        </r>
      </text>
    </comment>
    <comment ref="A10" authorId="1" shapeId="0" xr:uid="{00000000-0006-0000-0300-00000C000000}">
      <text>
        <r>
          <rPr>
            <b/>
            <sz val="9"/>
            <color indexed="81"/>
            <rFont val="Tahoma"/>
            <charset val="1"/>
          </rPr>
          <t>1=Vékony
1.5=Vastagabb
2.5=Vastag
AutoCad-hoz=0</t>
        </r>
      </text>
    </comment>
    <comment ref="A11" authorId="0" shapeId="0" xr:uid="{00000000-0006-0000-0300-00000D000000}">
      <text>
        <r>
          <rPr>
            <b/>
            <sz val="9"/>
            <color indexed="81"/>
            <rFont val="Tahoma"/>
            <charset val="1"/>
          </rPr>
          <t>AutoCad-hoz=0</t>
        </r>
      </text>
    </comment>
    <comment ref="A12" authorId="0" shapeId="0" xr:uid="{00000000-0006-0000-0300-00000E000000}">
      <text>
        <r>
          <rPr>
            <b/>
            <sz val="9"/>
            <color indexed="81"/>
            <rFont val="Tahoma"/>
            <charset val="1"/>
          </rPr>
          <t xml:space="preserve">AutoCad-hoz=0
</t>
        </r>
      </text>
    </comment>
    <comment ref="A13" authorId="1" shapeId="0" xr:uid="{00000000-0006-0000-0300-00000F000000}">
      <text>
        <r>
          <rPr>
            <b/>
            <sz val="9"/>
            <color indexed="81"/>
            <rFont val="Tahoma"/>
            <charset val="1"/>
          </rPr>
          <t>2=Piros
12=Zöld
17=Kék</t>
        </r>
      </text>
    </comment>
    <comment ref="A16" authorId="1" shapeId="0" xr:uid="{00000000-0006-0000-0300-000010000000}">
      <text>
        <r>
          <rPr>
            <b/>
            <sz val="9"/>
            <color indexed="81"/>
            <rFont val="Tahoma"/>
            <charset val="1"/>
          </rPr>
          <t>1=Solid
2=Dash
3=DashDot
4=DashDotDot
5=DashStyleMixed
6=DashLongDash
7=DashLongDashDot
8=RoundDot
9=SquareDot</t>
        </r>
      </text>
    </comment>
    <comment ref="A17" authorId="0" shapeId="0" xr:uid="{00000000-0006-0000-0300-000011000000}">
      <text>
        <r>
          <rPr>
            <b/>
            <sz val="9"/>
            <color indexed="81"/>
            <rFont val="Tahoma"/>
            <family val="2"/>
            <charset val="238"/>
          </rPr>
          <t>AutoCad-hoz=1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19" authorId="1" shapeId="0" xr:uid="{00000000-0006-0000-0300-000012000000}">
      <text>
        <r>
          <rPr>
            <b/>
            <sz val="9"/>
            <color indexed="81"/>
            <rFont val="Tahoma"/>
            <charset val="1"/>
          </rPr>
          <t>Cellaszélesség.
Összehangolandó a horonyszélességgel (d=19.5)</t>
        </r>
      </text>
    </comment>
    <comment ref="A20" authorId="1" shapeId="0" xr:uid="{00000000-0006-0000-0300-000013000000}">
      <text>
        <r>
          <rPr>
            <b/>
            <sz val="9"/>
            <color indexed="81"/>
            <rFont val="Tahoma"/>
            <charset val="1"/>
          </rPr>
          <t>A kivezetések Excel sora.
Ha a vonalak rálógnak a feliratra, akkor válasszunk másik sort.</t>
        </r>
      </text>
    </comment>
    <comment ref="A21" authorId="1" shapeId="0" xr:uid="{00000000-0006-0000-0300-000014000000}">
      <text>
        <r>
          <rPr>
            <b/>
            <sz val="9"/>
            <color indexed="81"/>
            <rFont val="Tahoma"/>
            <charset val="1"/>
          </rPr>
          <t>A tekercsek számozásának Excel sora.</t>
        </r>
      </text>
    </comment>
    <comment ref="A22" authorId="1" shapeId="0" xr:uid="{00000000-0006-0000-0300-000015000000}">
      <text>
        <r>
          <rPr>
            <b/>
            <sz val="9"/>
            <color indexed="81"/>
            <rFont val="Tahoma"/>
            <charset val="1"/>
          </rPr>
          <t>A hornyok számozásának Excel sora.</t>
        </r>
      </text>
    </comment>
    <comment ref="A23" authorId="0" shapeId="0" xr:uid="{00000000-0006-0000-0300-000016000000}">
      <text>
        <r>
          <rPr>
            <b/>
            <sz val="8"/>
            <color indexed="81"/>
            <rFont val="Tahoma"/>
            <charset val="238"/>
          </rPr>
          <t>V1 kivezetés horonyszáma.
0=A kivezetések helye automatikus
Ha nagyobb mint 0, akkor:
W1=V1+(V1-U1)
Ezt csak átgondoltan használjuk!</t>
        </r>
      </text>
    </comment>
    <comment ref="A24" authorId="2" shapeId="0" xr:uid="{00000000-0006-0000-0300-000017000000}">
      <text>
        <r>
          <rPr>
            <b/>
            <sz val="9"/>
            <color indexed="81"/>
            <rFont val="Tahoma"/>
            <charset val="1"/>
          </rPr>
          <t>Az egy tekercs-csoporthoz tartozó elemi tekercseket összekötő vonalak vastagsága.
Ajánlott, hogy értéke kisebb legyen mint A-vastag.
AutoCad-hoz=0</t>
        </r>
      </text>
    </comment>
    <comment ref="A25" authorId="2" shapeId="0" xr:uid="{00000000-0006-0000-0300-000018000000}">
      <text>
        <r>
          <rPr>
            <b/>
            <sz val="9"/>
            <color indexed="81"/>
            <rFont val="Tahoma"/>
            <charset val="1"/>
          </rPr>
          <t>SorosMód=0 esetén a sorosítás vonalhossza rövid.
SorosMód=1 esetén sorosítás vonalainak hossza a két összekötendő tekercsoldal közti távolsággal egyenlő.
Különleges sorosítás esetén ennek a beállításnak nincs hatása (pl. z1=48, 2p=44).</t>
        </r>
      </text>
    </comment>
    <comment ref="A26" authorId="0" shapeId="0" xr:uid="{00000000-0006-0000-0300-000019000000}">
      <text>
        <r>
          <rPr>
            <b/>
            <sz val="9"/>
            <color indexed="81"/>
            <rFont val="Tahoma"/>
            <charset val="1"/>
          </rPr>
          <t>A hornyokat ábrázoló négyszögek vonalvastagsága.
AutoCad-hoz=0</t>
        </r>
      </text>
    </comment>
    <comment ref="A27" authorId="0" shapeId="0" xr:uid="{00000000-0006-0000-0300-00001A000000}">
      <text>
        <r>
          <rPr>
            <b/>
            <sz val="9"/>
            <color indexed="81"/>
            <rFont val="Tahoma"/>
            <charset val="1"/>
          </rPr>
          <t>A hornyokat ábrázoló négyszögek szine.
AutoCad-hoz=20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28" authorId="0" shapeId="0" xr:uid="{00000000-0006-0000-0300-00001B000000}">
      <text>
        <r>
          <rPr>
            <b/>
            <sz val="9"/>
            <color indexed="81"/>
            <rFont val="Tahoma"/>
            <charset val="1"/>
          </rPr>
          <t>A hornyokat ábrázoló négyszögek vonalstílusa.
AutoCad-hoz=1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Laczko</author>
  </authors>
  <commentList>
    <comment ref="AX1" authorId="0" shapeId="0" xr:uid="{00000000-0006-0000-0400-000001000000}">
      <text>
        <r>
          <rPr>
            <b/>
            <sz val="9"/>
            <color indexed="81"/>
            <rFont val="Tahoma"/>
            <charset val="1"/>
          </rPr>
          <t>Elsőrendű horonyharmonikusok</t>
        </r>
      </text>
    </comment>
    <comment ref="AY1" authorId="0" shapeId="0" xr:uid="{00000000-0006-0000-0400-000002000000}">
      <text>
        <r>
          <rPr>
            <b/>
            <sz val="9"/>
            <color indexed="81"/>
            <rFont val="Tahoma"/>
            <charset val="1"/>
          </rPr>
          <t>Másodrendű horonyharmonikusok</t>
        </r>
      </text>
    </comment>
    <comment ref="I2" authorId="0" shapeId="0" xr:uid="{00000000-0006-0000-0400-000003000000}">
      <text>
        <r>
          <rPr>
            <b/>
            <sz val="9"/>
            <color indexed="81"/>
            <rFont val="Tahoma"/>
            <charset val="1"/>
          </rPr>
          <t>Geometriai lépés.
Nem használja a program.</t>
        </r>
      </text>
    </comment>
    <comment ref="O3" authorId="0" shapeId="0" xr:uid="{00000000-0006-0000-0400-000004000000}">
      <text>
        <r>
          <rPr>
            <b/>
            <sz val="9"/>
            <color indexed="81"/>
            <rFont val="Tahoma"/>
            <charset val="1"/>
          </rPr>
          <t xml:space="preserve">Ennél a szögnél számítja ki a légrésszórási tényezőt (0-360).
Általában 0 fok, hacsak a légrésszórási tényező ebben a helyzetbe nem negatív, vagy más okból nem tetszik.
Aszimmetrikus tekercseléseknél előfordul, hogy a szög függvényében változik a légrésszórási tényező.
</t>
        </r>
      </text>
    </comment>
    <comment ref="U3" authorId="0" shapeId="0" xr:uid="{00000000-0006-0000-0400-000005000000}">
      <text>
        <r>
          <rPr>
            <b/>
            <sz val="9"/>
            <color indexed="81"/>
            <rFont val="Tahoma"/>
            <charset val="1"/>
          </rPr>
          <t>MMFmin, ha az alapharmonikus  MMF=Var</t>
        </r>
      </text>
    </comment>
    <comment ref="V3" authorId="0" shapeId="0" xr:uid="{00000000-0006-0000-0400-000006000000}">
      <text>
        <r>
          <rPr>
            <b/>
            <sz val="9"/>
            <color indexed="81"/>
            <rFont val="Tahoma"/>
            <charset val="1"/>
          </rPr>
          <t>Ha MMF-var=Var, akkor a 0-180° tartományban a legnagyobb alapharmonikus MMF.
Ha MMF=Const, akkor a 0° -hoz tartozó alaphazmonikus  MMF.
Az MMF% Mmax% és Mmin% számításánál ez a viszonyítási alap (100%).</t>
        </r>
      </text>
    </comment>
    <comment ref="G4" authorId="0" shapeId="0" xr:uid="{00000000-0006-0000-0400-000007000000}">
      <text>
        <r>
          <rPr>
            <b/>
            <sz val="9"/>
            <color indexed="81"/>
            <rFont val="Tahoma"/>
            <charset val="1"/>
          </rPr>
          <t xml:space="preserve">Nulla fok elforgatási szöghöz tartozó gerjesztés amplitúdó. </t>
        </r>
      </text>
    </comment>
    <comment ref="H4" authorId="0" shapeId="0" xr:uid="{00000000-0006-0000-0400-000008000000}">
      <text>
        <r>
          <rPr>
            <b/>
            <sz val="9"/>
            <color indexed="81"/>
            <rFont val="Tahoma"/>
            <charset val="1"/>
          </rPr>
          <t>MMF%=MMF/MMFmax
Ez is a nulla szöghöz tartozik, mint az MMF.</t>
        </r>
      </text>
    </comment>
    <comment ref="R4" authorId="0" shapeId="0" xr:uid="{00000000-0006-0000-0400-000009000000}">
      <text>
        <r>
          <rPr>
            <b/>
            <sz val="9"/>
            <color indexed="81"/>
            <rFont val="Tahoma"/>
            <charset val="1"/>
          </rPr>
          <t>Az adott harmónukus forgásiránya.
Ha az indukált feszültség nulla, akkor a cella üres (nincs ilyen harmonikus).
A 0 szám azt jelzi, hogy az adott harmonikus nem forog (lüktet).</t>
        </r>
      </text>
    </comment>
    <comment ref="S4" authorId="0" shapeId="0" xr:uid="{00000000-0006-0000-0400-00000A000000}">
      <text>
        <r>
          <rPr>
            <b/>
            <sz val="9"/>
            <color indexed="81"/>
            <rFont val="Tahoma"/>
            <charset val="1"/>
          </rPr>
          <t>Forgásirány  a háromfázisú szimmetrikus összetevőkből számolva.
Az alapharmónikus is lehet "-" irányú, ehhez kell a többit értelmezni.</t>
        </r>
      </text>
    </comment>
    <comment ref="U4" authorId="0" shapeId="0" xr:uid="{00000000-0006-0000-0400-00000B000000}">
      <text>
        <r>
          <rPr>
            <b/>
            <sz val="9"/>
            <color indexed="81"/>
            <rFont val="Tahoma"/>
            <charset val="1"/>
          </rPr>
          <t>MMFmin értéke az alapharmónikus MMFmax százalékában a 0-180° tartományban vizsgálva.
Ha a mrző körforgó, akkor ez a mező üres marad.</t>
        </r>
      </text>
    </comment>
    <comment ref="V4" authorId="0" shapeId="0" xr:uid="{00000000-0006-0000-0400-00000C000000}">
      <text>
        <r>
          <rPr>
            <b/>
            <sz val="9"/>
            <color indexed="81"/>
            <rFont val="Tahoma"/>
            <charset val="1"/>
          </rPr>
          <t>MMFmax értéke az alapharmónikus MMFmax százalékában a 0-180° tartományban vizsgálva.
Ha az adott harmónikusnál a mező körforgó, akkor egyszerűen MMF%.</t>
        </r>
      </text>
    </comment>
    <comment ref="AH4" authorId="0" shapeId="0" xr:uid="{00000000-0006-0000-0400-00000D000000}">
      <text>
        <r>
          <rPr>
            <b/>
            <sz val="9"/>
            <color indexed="81"/>
            <rFont val="Tahoma"/>
            <charset val="1"/>
          </rPr>
          <t>F%Varga=Tekt*2p_alap/(Tekt_alap*2p_harm)*100
Az "A" fázis tek.tényezőjével számolva.
Aszimmetrikus tekercselésnél valószínüleg ez nem érvényes, mert a fázisok tek.tényezői nem egyformák.</t>
        </r>
      </text>
    </comment>
    <comment ref="AI9" authorId="0" shapeId="0" xr:uid="{00000000-0006-0000-0400-00000E000000}">
      <text>
        <r>
          <rPr>
            <b/>
            <sz val="9"/>
            <color indexed="81"/>
            <rFont val="Tahoma"/>
            <charset val="1"/>
          </rPr>
          <t xml:space="preserve">Y=alkalmas a tek.tényező szempontjából, vagyis az 5. harmonikus tek.tényezői mindhárom fázisban egyformák.
</t>
        </r>
      </text>
    </comment>
    <comment ref="AI10" authorId="0" shapeId="0" xr:uid="{00000000-0006-0000-0400-00000F000000}">
      <text>
        <r>
          <rPr>
            <b/>
            <sz val="9"/>
            <color indexed="81"/>
            <rFont val="Tahoma"/>
            <charset val="1"/>
          </rPr>
          <t xml:space="preserve">Y=alkalmas minden szempontból.
</t>
        </r>
      </text>
    </comment>
    <comment ref="AI15" authorId="0" shapeId="0" xr:uid="{00000000-0006-0000-0400-000010000000}">
      <text>
        <r>
          <rPr>
            <b/>
            <sz val="9"/>
            <color indexed="81"/>
            <rFont val="Tahoma"/>
            <charset val="1"/>
          </rPr>
          <t xml:space="preserve">Y=alkalmas az indukált feszültség szempontjából, vagyis az 5. harmonikus indukált fázisfeszültségei mindhárom fázisban egyformák.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Laczko</author>
  </authors>
  <commentList>
    <comment ref="N1" authorId="0" shapeId="0" xr:uid="{00000000-0006-0000-0500-000001000000}">
      <text>
        <r>
          <rPr>
            <b/>
            <sz val="9"/>
            <color indexed="81"/>
            <rFont val="Tahoma"/>
            <charset val="1"/>
          </rPr>
          <t>Ezen a munkalapon az alábbi két forrásból származó tekercseléseket lehet elemezni:
a) A Layout munkalapon megtervezett tekercselés.
B) Ennek a munkalapnak az adatbázisából (példáiból).
A választáshoz kattintsunk az 1. vagy 2.pontra.
A választott adatforrást a 3. pontban (I29 cellában) láthatjuk.
A tekercselés tervezéséről éa a tekercskiosztás módozatairól a Description munkalap 5. és 8. pontjában található leírás.
A Layout munkalapon megtervezett tekercskiosztás bekerül az adatbázis aljára is, ahonnan könnyen átmásolható más helyre.</t>
        </r>
      </text>
    </comment>
    <comment ref="K4" authorId="0" shapeId="0" xr:uid="{00000000-0006-0000-0500-000002000000}">
      <text>
        <r>
          <rPr>
            <b/>
            <sz val="9"/>
            <color indexed="81"/>
            <rFont val="Tahoma"/>
            <charset val="1"/>
          </rPr>
          <t>Ide kattintva választani lehet, hogy milyen legyen a vektorok forgási sebessége.
Alap: Megegyezik az alapharmonikus sebességével.
Arányos: A harmonikus pólusszámával fordítottan arányos.
Ebben az esetben a forgás bizonyos szögnél "ugrik" egyet, amennyiben nem az alapharmónikus van beállítva.</t>
        </r>
      </text>
    </comment>
    <comment ref="R5" authorId="0" shapeId="0" xr:uid="{00000000-0006-0000-0500-000003000000}">
      <text>
        <r>
          <rPr>
            <b/>
            <sz val="9"/>
            <color indexed="81"/>
            <rFont val="Tahoma"/>
            <charset val="1"/>
          </rPr>
          <t>1.horonyharmonikus rendszáma
Harm1=Z/p-1</t>
        </r>
      </text>
    </comment>
    <comment ref="S5" authorId="0" shapeId="0" xr:uid="{00000000-0006-0000-0500-000004000000}">
      <text>
        <r>
          <rPr>
            <b/>
            <sz val="9"/>
            <color indexed="81"/>
            <rFont val="Tahoma"/>
            <charset val="1"/>
          </rPr>
          <t>2.horonyharmonikus rendszáma
Harm1=Z/p+1</t>
        </r>
      </text>
    </comment>
    <comment ref="T5" authorId="0" shapeId="0" xr:uid="{00000000-0006-0000-0500-000005000000}">
      <text>
        <r>
          <rPr>
            <b/>
            <sz val="9"/>
            <color indexed="81"/>
            <rFont val="Tahoma"/>
            <charset val="1"/>
          </rPr>
          <t>2p1=Harm1*2p</t>
        </r>
      </text>
    </comment>
    <comment ref="U5" authorId="0" shapeId="0" xr:uid="{00000000-0006-0000-0500-000006000000}">
      <text>
        <r>
          <rPr>
            <b/>
            <sz val="9"/>
            <color indexed="81"/>
            <rFont val="Tahoma"/>
            <charset val="1"/>
          </rPr>
          <t>2p2=Harm2*2p</t>
        </r>
      </text>
    </comment>
    <comment ref="BB5" authorId="0" shapeId="0" xr:uid="{00000000-0006-0000-0500-000007000000}">
      <text>
        <r>
          <rPr>
            <b/>
            <sz val="9"/>
            <color indexed="81"/>
            <rFont val="Tahoma"/>
            <charset val="1"/>
          </rPr>
          <t>Csak az első réteg sorába írt azonosító kerül bele a "Választék" oszlopba.
A második réteg melleti azonosítót is feltétlenül ki kell tölteni.
Ennek különböznie kell az első réteghez írt azonosítótól.
Ez utóbbi is kiirásra kerül, ezért oda további hasznos információt írhatunk.</t>
        </r>
      </text>
    </comment>
    <comment ref="BC5" authorId="0" shapeId="0" xr:uid="{00000000-0006-0000-0500-000008000000}">
      <text>
        <r>
          <rPr>
            <b/>
            <sz val="9"/>
            <color indexed="81"/>
            <rFont val="Tahoma"/>
            <charset val="1"/>
          </rPr>
          <t>A tekercselés beadott részének a horonyszáma.
Az ismétlődő részeket is be lehet adni, de akkor az alapharmonikus pólusszámát ezzel össze kell hangolni.
Csak információ gyanánt van feljegyezve.
Amúgy nincs használva.</t>
        </r>
      </text>
    </comment>
    <comment ref="BD5" authorId="0" shapeId="0" xr:uid="{00000000-0006-0000-0500-000009000000}">
      <text>
        <r>
          <rPr>
            <b/>
            <sz val="9"/>
            <color indexed="81"/>
            <rFont val="Tahoma"/>
            <charset val="1"/>
          </rPr>
          <t>Az alapharmonikus pólusszáma.
Ez a póluszám a szomszédos cellában beadott horonyszámra vonatkozik.
Ha ismétlődő tekercselés-részek is be vannak adva, akkor ezt a pólusszának is tükröznie illik.
Csak információ gyanánt van feljegyezve.
Amúgy nincs használva.</t>
        </r>
      </text>
    </comment>
    <comment ref="BE5" authorId="0" shapeId="0" xr:uid="{00000000-0006-0000-0500-00000A000000}">
      <text>
        <r>
          <rPr>
            <b/>
            <sz val="9"/>
            <color indexed="81"/>
            <rFont val="Tahoma"/>
            <charset val="1"/>
          </rPr>
          <t>Tekercslépés fix lépésre átszámítva.
Koncentrikus, vagy osztott koncentrikus tekercselésnél a valódi lépés ettől általában eltér.
A program az első tekercselés két oldalának a távolságából számolja, itt csak informatív jelleggel van feltüntetve.</t>
        </r>
      </text>
    </comment>
    <comment ref="I6" authorId="0" shapeId="0" xr:uid="{00000000-0006-0000-0500-00000B000000}">
      <text>
        <r>
          <rPr>
            <b/>
            <sz val="9"/>
            <color indexed="81"/>
            <rFont val="Tahoma"/>
            <charset val="1"/>
          </rPr>
          <t xml:space="preserve">Az EMF diagram a fázisokban indukálódó feszültségvektorokat mutatja.
A vektorok mindig a beállított harmonikusra (Harm.2p) vonatkoznak (tehát szinuszos feszültségre).
A vektorok hossza =tekercselési tényező * gerjesztési harmónikus amplitúdó / gerjesztési alapharmonikus amplitúdó.
A alaptól eltérő harmonikusoknál célszerű a szorzót (J9 cella) 1 -nél nagyobb értékűre állítani. A szorzó ajánlott értéke a K9 cellában található.
A vektoroknak a gerjesztési görbéhez mért forgás iránya a beállított harmonikus pólusszámától függ. Ha a K4 cellában az "Arányos" opciót választjuk, akkor a vektorok forgási sebessége is változik.
</t>
        </r>
      </text>
    </comment>
    <comment ref="P8" authorId="0" shapeId="0" xr:uid="{00000000-0006-0000-0500-00000C000000}">
      <text>
        <r>
          <rPr>
            <b/>
            <sz val="9"/>
            <color indexed="81"/>
            <rFont val="Tahoma"/>
            <charset val="1"/>
          </rPr>
          <t>Fa-vissz=F0+Fd+Fi
A fázisonkénti harmonikus gerjesztések visszaállítása a szimmetrikus összetevőkből.</t>
        </r>
      </text>
    </comment>
    <comment ref="J9" authorId="0" shapeId="0" xr:uid="{00000000-0006-0000-0500-00000D000000}">
      <text>
        <r>
          <rPr>
            <b/>
            <sz val="9"/>
            <color indexed="81"/>
            <rFont val="Tahoma"/>
            <charset val="1"/>
          </rPr>
          <t>Az indukált feszültségek szorzója.
A kis értékeket ezzel fel lehet szorozni, hogy jobban láthatóak legyenek.
A szorzó ajánlott értéke jobbra a szomszédos cellában található.</t>
        </r>
      </text>
    </comment>
    <comment ref="K9" authorId="0" shapeId="0" xr:uid="{00000000-0006-0000-0500-00000E000000}">
      <text>
        <r>
          <rPr>
            <b/>
            <sz val="9"/>
            <color indexed="81"/>
            <rFont val="Tahoma"/>
            <charset val="1"/>
          </rPr>
          <t>Ajánlott szorzó az indukált feszültségekhez.
Lüktető mező esetén a csúszka állítgatásával lehet egy megfelelő szorzót találni.</t>
        </r>
      </text>
    </comment>
    <comment ref="P9" authorId="0" shapeId="0" xr:uid="{00000000-0006-0000-0500-00000F000000}">
      <text>
        <r>
          <rPr>
            <b/>
            <sz val="9"/>
            <color indexed="81"/>
            <rFont val="Tahoma"/>
            <charset val="1"/>
          </rPr>
          <t>Fc-vissz=F0+a2*Fd+a*Fi</t>
        </r>
      </text>
    </comment>
    <comment ref="P10" authorId="0" shapeId="0" xr:uid="{00000000-0006-0000-0500-000010000000}">
      <text>
        <r>
          <rPr>
            <b/>
            <sz val="9"/>
            <color indexed="81"/>
            <rFont val="Tahoma"/>
            <charset val="1"/>
          </rPr>
          <t>Fb-vissz=F0+a*Fd+a2*Fi</t>
        </r>
      </text>
    </comment>
    <comment ref="X11" authorId="0" shapeId="0" xr:uid="{00000000-0006-0000-0500-000011000000}">
      <text>
        <r>
          <rPr>
            <b/>
            <sz val="9"/>
            <color indexed="81"/>
            <rFont val="Tahoma"/>
            <charset val="1"/>
          </rPr>
          <t>Nulla sorrendű MMF complex alakja.
Előreforgó=S25
Hátraforgó=S24</t>
        </r>
      </text>
    </comment>
    <comment ref="P12" authorId="0" shapeId="0" xr:uid="{00000000-0006-0000-0500-000012000000}">
      <text>
        <r>
          <rPr>
            <b/>
            <sz val="9"/>
            <color indexed="81"/>
            <rFont val="Tahoma"/>
            <charset val="1"/>
          </rPr>
          <t>Komplex egységvektor kétfázisú szimmetrikus összetevőkhöz.</t>
        </r>
      </text>
    </comment>
    <comment ref="R13" authorId="0" shapeId="0" xr:uid="{00000000-0006-0000-0500-000013000000}">
      <text>
        <r>
          <rPr>
            <b/>
            <sz val="9"/>
            <color indexed="81"/>
            <rFont val="Tahoma"/>
            <charset val="1"/>
          </rPr>
          <t>A hátraforgó (Fi2) harmónikus gerjesztés komplex alakja kétfázisú tekercselésekhez.</t>
        </r>
      </text>
    </comment>
    <comment ref="R14" authorId="0" shapeId="0" xr:uid="{00000000-0006-0000-0500-000014000000}">
      <text>
        <r>
          <rPr>
            <b/>
            <sz val="9"/>
            <color indexed="81"/>
            <rFont val="Tahoma"/>
            <charset val="1"/>
          </rPr>
          <t>Az előreforgó (Fd2) harmónikus gerjesztés komplex alakja kétfázisú tekercselésekhez.</t>
        </r>
      </text>
    </comment>
    <comment ref="B15" authorId="0" shapeId="0" xr:uid="{00000000-0006-0000-0500-000015000000}">
      <text>
        <r>
          <rPr>
            <b/>
            <sz val="9"/>
            <color indexed="81"/>
            <rFont val="Tahoma"/>
            <charset val="1"/>
          </rPr>
          <t>A kis színes nyilak a hagyományos tekercselési vázlatokon szokásos jelölést mutatják.</t>
        </r>
      </text>
    </comment>
    <comment ref="C15" authorId="0" shapeId="0" xr:uid="{00000000-0006-0000-0500-000016000000}">
      <text>
        <r>
          <rPr>
            <b/>
            <sz val="9"/>
            <color indexed="81"/>
            <rFont val="Tahoma"/>
            <charset val="1"/>
          </rPr>
          <t>Az áram pillanat-értékei az egyes fázisok tekercs oldalaiban.
Ha a tekercselések elhelyezkedése 3*120° és Ia+Ib+Ic=0, akkor a pillanat-értékeket térvektoros módszerrel is kiszámíthatjuk, amit a fenti ábra szemléltet.
Az "A" fázis és a Park vektor közötti szöget a csúszka segítségével 0 és 360° között  lehet változtatni.
A pillanat-értéket ebben a kis táblázatban a fázisáramok szöghelyzetének a koszinuszával számítjuk ki (szimmetrikus esetekben egyezik a Park vektoros módszerrel).
A fázisok térbeli szögeit a tekercselés térbeli elhelyezkedése szabja meg.
A három fázistekercs szimmetrikus esetben a térben egymástól 120 fokra van, de ez a program bármiféle aszimmetrikus esetre is használható, akár 2- vagy 1-fázisú esetekre is.
Például ha a háromfázisú tekercselés A fázist C -vel szembekapcsoljuk és ez lesz az új A fázis, akkor aszimmetrikus 2 fázisú tekercselés jön létre és a két fázis tengelye egymásra merőleges lesz (lásd: 7.h18p4y4ph2 jelű példa).</t>
        </r>
      </text>
    </comment>
    <comment ref="D15" authorId="0" shapeId="0" xr:uid="{00000000-0006-0000-0500-000017000000}">
      <text>
        <r>
          <rPr>
            <b/>
            <sz val="9"/>
            <color indexed="81"/>
            <rFont val="Tahoma"/>
            <charset val="1"/>
          </rPr>
          <t>Csak az "Inv.R.1" oszlop képleteihez van rá szükség.</t>
        </r>
      </text>
    </comment>
    <comment ref="E16" authorId="0" shapeId="0" xr:uid="{00000000-0006-0000-0500-000018000000}">
      <text>
        <r>
          <rPr>
            <b/>
            <sz val="9"/>
            <color indexed="81"/>
            <rFont val="Tahoma"/>
            <charset val="1"/>
          </rPr>
          <t>A fázisáramok Park vektorának szöge a 0 geometriai szöghöz képest (a csúszka 0-360° között változtatja).
Lásd még az "Áram" cellához fűzött megjegyzést balra.</t>
        </r>
      </text>
    </comment>
    <comment ref="E17" authorId="0" shapeId="0" xr:uid="{00000000-0006-0000-0500-000019000000}">
      <text>
        <r>
          <rPr>
            <b/>
            <sz val="9"/>
            <color indexed="81"/>
            <rFont val="Tahoma"/>
            <charset val="1"/>
          </rPr>
          <t>Akkor van hatása, ha a jobbra lévő cellához képest nagyobb értéket adunk meg.
Ezzel elkerülhetjük, hogy az MMF görbe nulla pontja "ugráljon".</t>
        </r>
      </text>
    </comment>
    <comment ref="E18" authorId="0" shapeId="0" xr:uid="{00000000-0006-0000-0500-00001A000000}">
      <text>
        <r>
          <rPr>
            <b/>
            <sz val="9"/>
            <color indexed="81"/>
            <rFont val="Tahoma"/>
            <charset val="1"/>
          </rPr>
          <t>A harmonikus amplitúdó szorzója.
Arra az esetre, ha jobban szeretnénk látni a diagramon.</t>
        </r>
      </text>
    </comment>
    <comment ref="P18" authorId="0" shapeId="0" xr:uid="{00000000-0006-0000-0500-00001B000000}">
      <text>
        <r>
          <rPr>
            <b/>
            <sz val="9"/>
            <color indexed="81"/>
            <rFont val="Tahoma"/>
            <charset val="1"/>
          </rPr>
          <t>Komplex egységvektor háromfázisú szimmetrikus összetevőkhöz.</t>
        </r>
      </text>
    </comment>
    <comment ref="AB18" authorId="0" shapeId="0" xr:uid="{00000000-0006-0000-0500-00001C000000}">
      <text>
        <r>
          <rPr>
            <b/>
            <sz val="9"/>
            <color indexed="81"/>
            <rFont val="Tahoma"/>
            <charset val="1"/>
          </rPr>
          <t>Lásd a P31 cella megjegyzését.</t>
        </r>
      </text>
    </comment>
    <comment ref="R20" authorId="0" shapeId="0" xr:uid="{00000000-0006-0000-0500-00001D000000}">
      <text>
        <r>
          <rPr>
            <b/>
            <sz val="9"/>
            <color indexed="81"/>
            <rFont val="Tahoma"/>
            <charset val="1"/>
          </rPr>
          <t>A hátraforgó (Fi) harmónikus gerjesztés komplex alakja.
A gerjesztés amplitúdók felbontása direkt (Fd) és inverz (Fi) összetevőkre Dr. Varga József módszere szerint történik.
Ehhez fázisonként számítjuk ki a gerjesztés harmónikusait úgy, hogy mindhárom fázis gerjesztés áramát 1 A -re számítjuk ki.
Ez azt jelenti, hogy mindegyik fázis gerjesztését lüktetőnek tekintjük és az áram maximumával (1 A) számolunk.
Ez a számítási rész technikailag közös az indukált feszültség és a tekercselési tényező számításával.
Lásd: Re(A), Im(A), Re(B), Im(B), Re(C), Im(C) oszlopok.
Az így kapott Fa, Fb, Fc gerjesztés amplitúdókat az itt látható képlettel bontjuk fel Fd és Fi komponensekre.
A módszer helyességét bizonyítja az Anaysis1 munkalapon található gerjesztés amplitúdó minimumok és maximumok értéke, valamint a forgásiránny, melyeket az itt alkalmazott módszertől függetlenül, a háromfázisú gerjesztési görbe 1 fokonkénti  0-360 fokos elforgatásával, vagyis "grafikus módszerrel" kaptunk.
Fd+Fi=Fmax
Fd-Fi=Fmin
abs(Fd)=(Fmax+Fmin)/2
abs(Fi)=(Fmax-Fmin)/2</t>
        </r>
      </text>
    </comment>
    <comment ref="R21" authorId="0" shapeId="0" xr:uid="{00000000-0006-0000-0500-00001E000000}">
      <text>
        <r>
          <rPr>
            <b/>
            <sz val="9"/>
            <color indexed="81"/>
            <rFont val="Tahoma"/>
            <charset val="1"/>
          </rPr>
          <t>Az előreforgó (Fd) harmónikus gerjesztés komplex alakja.</t>
        </r>
      </text>
    </comment>
    <comment ref="Y21" authorId="0" shapeId="0" xr:uid="{00000000-0006-0000-0500-00001F000000}">
      <text>
        <r>
          <rPr>
            <b/>
            <sz val="9"/>
            <color indexed="81"/>
            <rFont val="Tahoma"/>
            <charset val="1"/>
          </rPr>
          <t>Csak az Analysis1 futtatása közben tölti ki a program.
Ugyanez munkalap függvényekkel:
AA22 és AA23</t>
        </r>
      </text>
    </comment>
    <comment ref="AB21" authorId="0" shapeId="0" xr:uid="{00000000-0006-0000-0500-000020000000}">
      <text>
        <r>
          <rPr>
            <b/>
            <sz val="9"/>
            <color indexed="81"/>
            <rFont val="Tahoma"/>
            <charset val="1"/>
          </rPr>
          <t>Az "A" fázis indukált feszültségének fázisszöge a csúszkával beállított szöggel eltolva.</t>
        </r>
      </text>
    </comment>
    <comment ref="AD21" authorId="0" shapeId="0" xr:uid="{00000000-0006-0000-0500-000021000000}">
      <text>
        <r>
          <rPr>
            <b/>
            <sz val="9"/>
            <color indexed="81"/>
            <rFont val="Tahoma"/>
            <charset val="1"/>
          </rPr>
          <t>Az "A" fázis indukált feszültségének fázisszöge a csúszkával beállított szöggel eltolva.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F21" authorId="0" shapeId="0" xr:uid="{00000000-0006-0000-0500-000022000000}">
      <text>
        <r>
          <rPr>
            <b/>
            <sz val="9"/>
            <color indexed="81"/>
            <rFont val="Tahoma"/>
            <charset val="1"/>
          </rPr>
          <t>Az "A" fázis indukált feszültségének fázisszöge a csúszkával beállított szöggel eltolva.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Q22" authorId="0" shapeId="0" xr:uid="{00000000-0006-0000-0500-000023000000}">
      <text>
        <r>
          <rPr>
            <b/>
            <sz val="9"/>
            <color indexed="81"/>
            <rFont val="Tahoma"/>
            <charset val="1"/>
          </rPr>
          <t>Fi/F_alap*100, vagyis
Fi százalékos értéke az gerjesztés alapharmónikus amplitúdójához viszonyítva (F_alap=H24 cella).
Csak körforgó mezőnél állandó, ellipszinél változó.
Lásd még: Q24</t>
        </r>
      </text>
    </comment>
    <comment ref="AA22" authorId="0" shapeId="0" xr:uid="{00000000-0006-0000-0500-000024000000}">
      <text>
        <r>
          <rPr>
            <b/>
            <sz val="9"/>
            <color indexed="81"/>
            <rFont val="Tahoma"/>
            <charset val="1"/>
          </rPr>
          <t>3-fázisú alapharmonikus előre és hátraforgó gerjesztés amplitúdók összege.</t>
        </r>
      </text>
    </comment>
    <comment ref="AB22" authorId="0" shapeId="0" xr:uid="{00000000-0006-0000-0500-000025000000}">
      <text>
        <r>
          <rPr>
            <b/>
            <sz val="9"/>
            <color indexed="81"/>
            <rFont val="Tahoma"/>
            <charset val="1"/>
          </rPr>
          <t>Az "A" fázis  vektor X koordinátái az EMF diagramon.</t>
        </r>
      </text>
    </comment>
    <comment ref="AC22" authorId="0" shapeId="0" xr:uid="{00000000-0006-0000-0500-000026000000}">
      <text>
        <r>
          <rPr>
            <b/>
            <sz val="9"/>
            <color indexed="81"/>
            <rFont val="Tahoma"/>
            <charset val="1"/>
          </rPr>
          <t>Az "A" fázis vektor Y koordinátái az EMF diagramon.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Q23" authorId="0" shapeId="0" xr:uid="{00000000-0006-0000-0500-000027000000}">
      <text>
        <r>
          <rPr>
            <b/>
            <sz val="9"/>
            <color indexed="81"/>
            <rFont val="Tahoma"/>
            <charset val="1"/>
          </rPr>
          <t>Fd/F_alap*100, vagyis
Fi százalékos értéke az gerjesztés alapharmónikus amplitúdójához viszonyítva (F_alap=H24 cella).
Csak körforgó mezőnél állandó, ellipszinél változó.
Lásd még: Q25</t>
        </r>
      </text>
    </comment>
    <comment ref="AA23" authorId="0" shapeId="0" xr:uid="{00000000-0006-0000-0500-000028000000}">
      <text>
        <r>
          <rPr>
            <b/>
            <sz val="9"/>
            <color indexed="81"/>
            <rFont val="Tahoma"/>
            <charset val="1"/>
          </rPr>
          <t>2-fázisú alapharmonikus előre és hátraforgó gerjesztés amplitúdók összege.</t>
        </r>
      </text>
    </comment>
    <comment ref="AU23" authorId="0" shapeId="0" xr:uid="{00000000-0006-0000-0500-000029000000}">
      <text>
        <r>
          <rPr>
            <b/>
            <sz val="9"/>
            <color indexed="81"/>
            <rFont val="Tahoma"/>
            <charset val="1"/>
          </rPr>
          <t xml:space="preserve">A hátraforgó (Fi) harmónikus gerjesztés komplex alakja.
Alapharmonikusra.
</t>
        </r>
      </text>
    </comment>
    <comment ref="AW23" authorId="0" shapeId="0" xr:uid="{00000000-0006-0000-0500-00002A000000}">
      <text>
        <r>
          <rPr>
            <b/>
            <sz val="9"/>
            <color indexed="81"/>
            <rFont val="Tahoma"/>
            <charset val="1"/>
          </rPr>
          <t xml:space="preserve">A hátraforgó (Fi) harmónikus gerjesztés komplex alakja.
Alapharmonikusra.
</t>
        </r>
      </text>
    </comment>
    <comment ref="G24" authorId="0" shapeId="0" xr:uid="{00000000-0006-0000-0500-00002B000000}">
      <text>
        <r>
          <rPr>
            <b/>
            <sz val="9"/>
            <color indexed="81"/>
            <rFont val="Tahoma"/>
            <charset val="1"/>
          </rPr>
          <t>A beállított "Harm.2p" pólusharmonikus gerjesztésének amplitúdója.</t>
        </r>
      </text>
    </comment>
    <comment ref="H24" authorId="0" shapeId="0" xr:uid="{00000000-0006-0000-0500-00002C000000}">
      <text>
        <r>
          <rPr>
            <b/>
            <sz val="9"/>
            <color indexed="81"/>
            <rFont val="Tahoma"/>
            <charset val="1"/>
          </rPr>
          <t>F_alap
A gerjesztési görbe alapharmónikusának amplitúdója.</t>
        </r>
      </text>
    </comment>
    <comment ref="Q24" authorId="0" shapeId="0" xr:uid="{00000000-0006-0000-0500-00002D000000}">
      <text>
        <r>
          <rPr>
            <b/>
            <sz val="9"/>
            <color indexed="81"/>
            <rFont val="Tahoma"/>
            <charset val="1"/>
          </rPr>
          <t>Fi/(Fd_alap+Fi_alap)*100, vagyis
Fi százalékos értéke az gerjesztés alapharmónikus legnagyobb amplitúdójához viszonyítva (F_alap+Fi_alap=Y21 cella).
Y21 cella az Analysis1 futtatásakor kerül kitöltésre.
Lásd még az AA22 cellát is.</t>
        </r>
      </text>
    </comment>
    <comment ref="S24" authorId="0" shapeId="0" xr:uid="{00000000-0006-0000-0500-00002E000000}">
      <text>
        <r>
          <rPr>
            <b/>
            <sz val="9"/>
            <color indexed="81"/>
            <rFont val="Tahoma"/>
            <charset val="1"/>
          </rPr>
          <t>A hátraforgó harmónikus gerjesztés amplitúdója (Fi szimmetrikus öszetevő).</t>
        </r>
      </text>
    </comment>
    <comment ref="V24" authorId="0" shapeId="0" xr:uid="{00000000-0006-0000-0500-00002F000000}">
      <text>
        <r>
          <rPr>
            <b/>
            <sz val="9"/>
            <color indexed="81"/>
            <rFont val="Tahoma"/>
            <charset val="1"/>
          </rPr>
          <t>Fmin=abs(Fd-Fi)</t>
        </r>
      </text>
    </comment>
    <comment ref="AU24" authorId="0" shapeId="0" xr:uid="{00000000-0006-0000-0500-000030000000}">
      <text>
        <r>
          <rPr>
            <b/>
            <sz val="9"/>
            <color indexed="81"/>
            <rFont val="Tahoma"/>
            <charset val="1"/>
          </rPr>
          <t>Az előreforgó (Fd) harmónikus gerjesztés komplex alakja alapharmonikusra.</t>
        </r>
      </text>
    </comment>
    <comment ref="AW24" authorId="0" shapeId="0" xr:uid="{00000000-0006-0000-0500-000031000000}">
      <text>
        <r>
          <rPr>
            <b/>
            <sz val="9"/>
            <color indexed="81"/>
            <rFont val="Tahoma"/>
            <charset val="1"/>
          </rPr>
          <t>Az előreforgó (Fd) harmónikus gerjesztés komplex alakja alapharmonikusra.</t>
        </r>
      </text>
    </comment>
    <comment ref="G25" authorId="0" shapeId="0" xr:uid="{00000000-0006-0000-0500-000032000000}">
      <text>
        <r>
          <rPr>
            <b/>
            <sz val="9"/>
            <color indexed="81"/>
            <rFont val="Tahoma"/>
            <charset val="1"/>
          </rPr>
          <t>Az adott harmonikus kezdő szöge.
Ennek a szögnek a változásából láthatjuk, hogy a harmonikus merre forog.
Egy adott harmonikus forgásiránya az 
EMF diagramon animált módon is látható a feszültség-vektorok forgásirányából.</t>
        </r>
      </text>
    </comment>
    <comment ref="H25" authorId="0" shapeId="0" xr:uid="{00000000-0006-0000-0500-000033000000}">
      <text>
        <r>
          <rPr>
            <b/>
            <sz val="9"/>
            <color indexed="81"/>
            <rFont val="Tahoma"/>
            <charset val="1"/>
          </rPr>
          <t>A gerjesztés alapharmónikus kezdőszöge.</t>
        </r>
      </text>
    </comment>
    <comment ref="Q25" authorId="0" shapeId="0" xr:uid="{00000000-0006-0000-0500-000034000000}">
      <text>
        <r>
          <rPr>
            <b/>
            <sz val="9"/>
            <color indexed="81"/>
            <rFont val="Tahoma"/>
            <charset val="1"/>
          </rPr>
          <t>Fd/(Fd_alap+Fi_alap)*100, vagyis
Fd százalékos értéke az gerjesztés alapharmónikus legnagyobb amplitúdójához viszonyítva (F_alap+Fi_alap=Y21 cella).
Y21 cella az Analysis1 futtatásakor kerül kitöltésre.
Lásd még az AA23 cellát is.</t>
        </r>
      </text>
    </comment>
    <comment ref="S25" authorId="0" shapeId="0" xr:uid="{00000000-0006-0000-0500-000035000000}">
      <text>
        <r>
          <rPr>
            <b/>
            <sz val="9"/>
            <color indexed="81"/>
            <rFont val="Tahoma"/>
            <charset val="1"/>
          </rPr>
          <t>Az előreforgó harmónikus gerjesztés amplitúdója (Fi szimmetrikus öszetevő).</t>
        </r>
      </text>
    </comment>
    <comment ref="V25" authorId="0" shapeId="0" xr:uid="{00000000-0006-0000-0500-000036000000}">
      <text>
        <r>
          <rPr>
            <b/>
            <sz val="9"/>
            <color indexed="81"/>
            <rFont val="Tahoma"/>
            <charset val="1"/>
          </rPr>
          <t>Fmax=Fd+Fi</t>
        </r>
      </text>
    </comment>
    <comment ref="AM25" authorId="0" shapeId="0" xr:uid="{00000000-0006-0000-0500-000037000000}">
      <text>
        <r>
          <rPr>
            <b/>
            <sz val="9"/>
            <color indexed="81"/>
            <rFont val="Tahoma"/>
            <charset val="1"/>
          </rPr>
          <t>Az a alapharmónikus tekercselési tényezője.</t>
        </r>
      </text>
    </comment>
    <comment ref="Q26" authorId="0" shapeId="0" xr:uid="{00000000-0006-0000-0500-000038000000}">
      <text>
        <r>
          <rPr>
            <b/>
            <sz val="9"/>
            <color indexed="81"/>
            <rFont val="Tahoma"/>
            <charset val="1"/>
          </rPr>
          <t>Viszonylagos forgásirány. Előfordul, hogy az alapharmónikus forgásirányát itt "-" jelzi.
Irány=0 esetén lüktető mezőről van szó, Fd=Fi. Erről a csúszka mozgatásával lehet meggyőződni.</t>
        </r>
      </text>
    </comment>
    <comment ref="T26" authorId="0" shapeId="0" xr:uid="{00000000-0006-0000-0500-000039000000}">
      <text>
        <r>
          <rPr>
            <b/>
            <sz val="9"/>
            <color indexed="81"/>
            <rFont val="Tahoma"/>
            <charset val="1"/>
          </rPr>
          <t>Forgásirány 3-fázis.</t>
        </r>
      </text>
    </comment>
    <comment ref="U26" authorId="0" shapeId="0" xr:uid="{00000000-0006-0000-0500-00003A000000}">
      <text>
        <r>
          <rPr>
            <b/>
            <sz val="9"/>
            <color indexed="81"/>
            <rFont val="Tahoma"/>
            <charset val="1"/>
          </rPr>
          <t>Fd%+Fi% limit.
Ha az összeg ez alatt van, akkor Irány=0 (T26=0), ami azt is jelenti, hogy ezeknek a harmonikusoknak a nyomatékát nullának tekinti a program.
Ennek a kézileges változtatása után le kell futtatni az Analysis1 programot.</t>
        </r>
      </text>
    </comment>
    <comment ref="X26" authorId="0" shapeId="0" xr:uid="{00000000-0006-0000-0500-00003B000000}">
      <text>
        <r>
          <rPr>
            <b/>
            <sz val="9"/>
            <color indexed="81"/>
            <rFont val="Tahoma"/>
            <charset val="1"/>
          </rPr>
          <t>Forgásirány 2-fázis.</t>
        </r>
      </text>
    </comment>
    <comment ref="AB26" authorId="0" shapeId="0" xr:uid="{00000000-0006-0000-0500-00003C000000}">
      <text>
        <r>
          <rPr>
            <b/>
            <sz val="9"/>
            <color indexed="81"/>
            <rFont val="Tahoma"/>
            <charset val="1"/>
          </rPr>
          <t>Az "A" fázis indukált feszültségének amplitúdója.</t>
        </r>
      </text>
    </comment>
    <comment ref="AH26" authorId="0" shapeId="0" xr:uid="{00000000-0006-0000-0500-00003D000000}">
      <text>
        <r>
          <rPr>
            <b/>
            <sz val="9"/>
            <color indexed="81"/>
            <rFont val="Tahoma"/>
            <charset val="1"/>
          </rPr>
          <t>Az aktuálisan beállított pólusszámú harmónikus tekercselési tényezője.</t>
        </r>
      </text>
    </comment>
    <comment ref="AR26" authorId="0" shapeId="0" xr:uid="{00000000-0006-0000-0500-00003E000000}">
      <text>
        <r>
          <rPr>
            <b/>
            <sz val="9"/>
            <color indexed="81"/>
            <rFont val="Tahoma"/>
            <charset val="1"/>
          </rPr>
          <t>Ez a szög az alapharmonikusnak tekintett pólusszámra (Alap 2p) vonatkozik.</t>
        </r>
      </text>
    </comment>
    <comment ref="E27" authorId="0" shapeId="0" xr:uid="{00000000-0006-0000-0500-00003F000000}">
      <text>
        <r>
          <rPr>
            <b/>
            <sz val="9"/>
            <color indexed="81"/>
            <rFont val="Tahoma"/>
            <charset val="1"/>
          </rPr>
          <t>Kattints ide a példák (adatbázis) közüli választáshoz.
Két cella egyesítve van, de csak az E27 -ra van bekapcsolva az "Adatok érvényesítése".
Ezért az esetleges módosítás előtt az egyesítést meg kell szüntetni.</t>
        </r>
      </text>
    </comment>
    <comment ref="AM27" authorId="0" shapeId="0" xr:uid="{00000000-0006-0000-0500-000040000000}">
      <text>
        <r>
          <rPr>
            <b/>
            <sz val="9"/>
            <color indexed="81"/>
            <rFont val="Tahoma"/>
            <charset val="1"/>
          </rPr>
          <t>Az "A" fázis gerjesztési görbe alapharmonikusának amplitudója.</t>
        </r>
      </text>
    </comment>
    <comment ref="L28" authorId="0" shapeId="0" xr:uid="{00000000-0006-0000-0500-000041000000}">
      <text>
        <r>
          <rPr>
            <b/>
            <sz val="9"/>
            <color indexed="81"/>
            <rFont val="Tahoma"/>
            <charset val="1"/>
          </rPr>
          <t xml:space="preserve">=360*póluspárok száma/zónák száma
Vagyis a teljes kerület 360*p villamos fokot tesz ki, amit osztunk a zónák számával. </t>
        </r>
      </text>
    </comment>
    <comment ref="P28" authorId="0" shapeId="0" xr:uid="{00000000-0006-0000-0500-000042000000}">
      <text>
        <r>
          <rPr>
            <b/>
            <sz val="9"/>
            <color indexed="81"/>
            <rFont val="Tahoma"/>
            <charset val="1"/>
          </rPr>
          <t>q&lt;=1 esetén üzenet arról, hogy a színuszgörbét nem rajzolja ki.</t>
        </r>
      </text>
    </comment>
    <comment ref="I29" authorId="0" shapeId="0" xr:uid="{00000000-0006-0000-0500-000043000000}">
      <text>
        <r>
          <rPr>
            <b/>
            <sz val="9"/>
            <color indexed="81"/>
            <rFont val="Tahoma"/>
            <charset val="1"/>
          </rPr>
          <t>Jelzi, hogy honnan másoltuk ide a 3. pontba az adatokat.
Lehetőségek:
1.Layout (a Layout munkalapról) 
2. Adatbázis (az adatbázisból).</t>
        </r>
      </text>
    </comment>
    <comment ref="L29" authorId="0" shapeId="0" xr:uid="{00000000-0006-0000-0500-000044000000}">
      <text>
        <r>
          <rPr>
            <b/>
            <sz val="9"/>
            <color indexed="81"/>
            <rFont val="Tahoma"/>
            <charset val="1"/>
          </rPr>
          <t>Pólusonkénti és fázisonkénti menetszám.
Ha nincs a Ret1. -ben "C" fázisú tekercsoldal, akkor m=2, egyébként m=3.</t>
        </r>
      </text>
    </comment>
    <comment ref="H30" authorId="0" shapeId="0" xr:uid="{00000000-0006-0000-0500-000045000000}">
      <text>
        <r>
          <rPr>
            <b/>
            <sz val="9"/>
            <color indexed="81"/>
            <rFont val="Tahoma"/>
            <charset val="1"/>
          </rPr>
          <t>A horonyszám abból adódik, hogy megszámoljuk a Rét.1-be beirt tekercsoldalakat.
Jelenleg a 145. sorig számol, de ez könnyen módosítható az ebben a cellában szereplő képlet módosításával.</t>
        </r>
      </text>
    </comment>
    <comment ref="J30" authorId="0" shapeId="0" xr:uid="{00000000-0006-0000-0500-000046000000}">
      <text>
        <r>
          <rPr>
            <b/>
            <sz val="9"/>
            <color indexed="81"/>
            <rFont val="Tahoma"/>
            <family val="2"/>
            <charset val="238"/>
          </rPr>
          <t>A térbeli harmonikus pólusszáma.
Ez a pólusszám csak a harmonikus analízishez van használva.
Bármely tekercselés gerjesztési görbéjében lehet minden pólusszámnak megfelelő harmonikus, tehát például egy 8 pólusú tekercselés harmonikusainak a pólusszámai is így kezdődnek: 2, 4, 6, 8, 10,...</t>
        </r>
      </text>
    </comment>
    <comment ref="AB30" authorId="0" shapeId="0" xr:uid="{00000000-0006-0000-0500-000047000000}">
      <text>
        <r>
          <rPr>
            <b/>
            <sz val="9"/>
            <color indexed="81"/>
            <rFont val="Tahoma"/>
            <charset val="1"/>
          </rPr>
          <t xml:space="preserve">Re(A)/(2p*pi)
Fd és Fi számításához.
</t>
        </r>
      </text>
    </comment>
    <comment ref="AC30" authorId="0" shapeId="0" xr:uid="{00000000-0006-0000-0500-000048000000}">
      <text>
        <r>
          <rPr>
            <b/>
            <sz val="9"/>
            <color indexed="81"/>
            <rFont val="Tahoma"/>
            <charset val="1"/>
          </rPr>
          <t>Im(A)/(2p*pi)
Fd és Fi számításához.</t>
        </r>
      </text>
    </comment>
    <comment ref="AH30" authorId="0" shapeId="0" xr:uid="{00000000-0006-0000-0500-000049000000}">
      <text>
        <r>
          <rPr>
            <b/>
            <sz val="9"/>
            <color indexed="81"/>
            <rFont val="Tahoma"/>
            <charset val="1"/>
          </rPr>
          <t>Tekercsoldalak darabszáma a vezetőszámokkal (Vez.1 és Vez.2) szorozva.
A tekercselési tényezőkhöz van használva (ez van a nevezőben).
Váltott menetszámnál is helyesen számolja a tekercselési tényezőket.</t>
        </r>
      </text>
    </comment>
    <comment ref="AM30" authorId="0" shapeId="0" xr:uid="{00000000-0006-0000-0500-00004A000000}">
      <text>
        <r>
          <rPr>
            <b/>
            <sz val="9"/>
            <color indexed="81"/>
            <rFont val="Tahoma"/>
            <charset val="1"/>
          </rPr>
          <t xml:space="preserve">Re(A)/(2p*pi)
Fd és Fi számításához alapharmonikus esetén.
</t>
        </r>
      </text>
    </comment>
    <comment ref="AN30" authorId="0" shapeId="0" xr:uid="{00000000-0006-0000-0500-00004B000000}">
      <text>
        <r>
          <rPr>
            <b/>
            <sz val="9"/>
            <color indexed="81"/>
            <rFont val="Tahoma"/>
            <charset val="1"/>
          </rPr>
          <t>Im(A)/(2p*pi)
Fd és Fi számításához
alapharmonikus esetén.</t>
        </r>
      </text>
    </comment>
    <comment ref="C31" authorId="0" shapeId="0" xr:uid="{00000000-0006-0000-0500-00004C000000}">
      <text>
        <r>
          <rPr>
            <b/>
            <sz val="9"/>
            <color indexed="81"/>
            <rFont val="Tahoma"/>
            <charset val="1"/>
          </rPr>
          <t>Az alapharmonikusnak tekintett pólusszám a Layout munkalapról véve.</t>
        </r>
      </text>
    </comment>
    <comment ref="E31" authorId="0" shapeId="0" xr:uid="{00000000-0006-0000-0500-00004D000000}">
      <text>
        <r>
          <rPr>
            <b/>
            <sz val="9"/>
            <color indexed="81"/>
            <rFont val="Tahoma"/>
            <charset val="1"/>
          </rPr>
          <t>Az alapharmonikusnak tekintett pólusszám az adatbázisból véve.</t>
        </r>
      </text>
    </comment>
    <comment ref="G31" authorId="0" shapeId="0" xr:uid="{00000000-0006-0000-0500-00004E000000}">
      <text>
        <r>
          <rPr>
            <b/>
            <sz val="9"/>
            <color indexed="81"/>
            <rFont val="Tahoma"/>
            <charset val="1"/>
          </rPr>
          <t>Átmérős lépés (csak itt adódott egy kis hely neki).</t>
        </r>
      </text>
    </comment>
    <comment ref="H31" authorId="0" shapeId="0" xr:uid="{00000000-0006-0000-0500-00004F000000}">
      <text>
        <r>
          <rPr>
            <b/>
            <sz val="9"/>
            <color indexed="81"/>
            <rFont val="Tahoma"/>
            <charset val="1"/>
          </rPr>
          <t>A lépést (Y) nem használja az Analysis1 és Analysis2 program.
Egyréteges tekercselésnél a legrövidebb geometriai lépést számítja a cellában lévő képlet.</t>
        </r>
      </text>
    </comment>
    <comment ref="J31" authorId="0" shapeId="0" xr:uid="{00000000-0006-0000-0500-000050000000}">
      <text>
        <r>
          <rPr>
            <b/>
            <sz val="9"/>
            <color indexed="81"/>
            <rFont val="Tahoma"/>
            <charset val="1"/>
          </rPr>
          <t>Az alapharmonikusnak tekintett mező pólusszáma.
Erre a pólusszámra készült a tekercselés kiosztása.
A gerjesztési görbe mindig ezt a pólusszámot mutatja.</t>
        </r>
      </text>
    </comment>
    <comment ref="N31" authorId="0" shapeId="0" xr:uid="{00000000-0006-0000-0500-000051000000}">
      <text>
        <r>
          <rPr>
            <b/>
            <sz val="9"/>
            <color indexed="81"/>
            <rFont val="Tahoma"/>
            <charset val="1"/>
          </rPr>
          <t>Harmonikus amplitúdó
Fourier analízisből számolva.</t>
        </r>
      </text>
    </comment>
    <comment ref="P31" authorId="0" shapeId="0" xr:uid="{00000000-0006-0000-0500-000052000000}">
      <text>
        <r>
          <rPr>
            <b/>
            <sz val="9"/>
            <color indexed="81"/>
            <rFont val="Tahoma"/>
            <charset val="1"/>
          </rPr>
          <t>Az adott harmonikus kezdőszöge fokokban.
A Fourier analízis valójában nem az MMF görbére, hanem az áramokra (lépcsőkre) történt. Így ugyanis elég annyi pont ahány lépcső van, viszont az amplitudót Z/(2p*pi ) -vel szorozni kell, a kezdőszöget pedig 90 villamos fokkal el kell tolni.
Arctan2(Sin;Cos)-90
A diszkrét Fourier analízisben a fázisszöget fenti egyenlet jobb oldalán látható ARCTAN2(Sin;Cos) függvény adja ami Arctan(Cos/Sin) -nak felel meg, de mind a négy negyedben használható.
Az Excelben: ARCTAN(sin/cos)=ARCTAN2(cos;sin)
(könnyen összekeverhető).</t>
        </r>
      </text>
    </comment>
    <comment ref="AB31" authorId="0" shapeId="0" xr:uid="{00000000-0006-0000-0500-000053000000}">
      <text>
        <r>
          <rPr>
            <b/>
            <sz val="9"/>
            <color indexed="81"/>
            <rFont val="Tahoma"/>
            <charset val="1"/>
          </rPr>
          <t>Az eredő feszültség-vektor Valós része.</t>
        </r>
      </text>
    </comment>
    <comment ref="AC31" authorId="0" shapeId="0" xr:uid="{00000000-0006-0000-0500-000054000000}">
      <text>
        <r>
          <rPr>
            <b/>
            <sz val="9"/>
            <color indexed="81"/>
            <rFont val="Tahoma"/>
            <charset val="1"/>
          </rPr>
          <t>Az eredő feszültség-vektor Képzetes része.</t>
        </r>
      </text>
    </comment>
    <comment ref="AH31" authorId="0" shapeId="0" xr:uid="{00000000-0006-0000-0500-000055000000}">
      <text>
        <r>
          <rPr>
            <b/>
            <sz val="9"/>
            <color indexed="81"/>
            <rFont val="Tahoma"/>
            <charset val="1"/>
          </rPr>
          <t>A tekercsoldalak száma ebben a fázisban.
Vez.1 és Vez.2 közömbös, ezért a tekercselési számítására nem alkalmas.
Csak a kétfázisú tekercselések felismerése miatt maradt benne.</t>
        </r>
      </text>
    </comment>
    <comment ref="AJ31" authorId="0" shapeId="0" xr:uid="{00000000-0006-0000-0500-000056000000}">
      <text>
        <r>
          <rPr>
            <b/>
            <sz val="9"/>
            <color indexed="81"/>
            <rFont val="Tahoma"/>
            <charset val="1"/>
          </rPr>
          <t>Ha ez nulla, akkor csak 2 fázis van.</t>
        </r>
      </text>
    </comment>
    <comment ref="AM31" authorId="0" shapeId="0" xr:uid="{00000000-0006-0000-0500-000057000000}">
      <text>
        <r>
          <rPr>
            <b/>
            <sz val="9"/>
            <color indexed="81"/>
            <rFont val="Tahoma"/>
            <charset val="1"/>
          </rPr>
          <t>A-fi
Az "A" fázis gerjesztési görbe alapharmonikusának kezdő fázisszöge.</t>
        </r>
        <r>
          <rPr>
            <sz val="9"/>
            <color indexed="81"/>
            <rFont val="Tahoma"/>
            <charset val="1"/>
          </rPr>
          <t xml:space="preserve">
Lásd a P31 cella megjegyzését is.</t>
        </r>
      </text>
    </comment>
    <comment ref="AO31" authorId="0" shapeId="0" xr:uid="{00000000-0006-0000-0500-000058000000}">
      <text>
        <r>
          <rPr>
            <b/>
            <sz val="9"/>
            <color indexed="81"/>
            <rFont val="Tahoma"/>
            <charset val="1"/>
          </rPr>
          <t>B-fi</t>
        </r>
      </text>
    </comment>
    <comment ref="AQ31" authorId="0" shapeId="0" xr:uid="{00000000-0006-0000-0500-000059000000}">
      <text>
        <r>
          <rPr>
            <b/>
            <sz val="9"/>
            <color indexed="81"/>
            <rFont val="Tahoma"/>
            <charset val="1"/>
          </rPr>
          <t>C-fi</t>
        </r>
      </text>
    </comment>
    <comment ref="AS31" authorId="0" shapeId="0" xr:uid="{00000000-0006-0000-0500-00005A000000}">
      <text>
        <r>
          <rPr>
            <b/>
            <sz val="9"/>
            <color indexed="81"/>
            <rFont val="Tahoma"/>
            <charset val="1"/>
          </rPr>
          <t>Az alapharmonikus nagysága.</t>
        </r>
      </text>
    </comment>
    <comment ref="AT31" authorId="0" shapeId="0" xr:uid="{00000000-0006-0000-0500-00005B000000}">
      <text>
        <r>
          <rPr>
            <b/>
            <sz val="9"/>
            <color indexed="81"/>
            <rFont val="Tahoma"/>
            <charset val="1"/>
          </rPr>
          <t>Az alapharmonikius kezdőszöge.
Lásd a P31 cella megjegyzését.</t>
        </r>
      </text>
    </comment>
    <comment ref="J32" authorId="0" shapeId="0" xr:uid="{00000000-0006-0000-0500-00005C000000}">
      <text>
        <r>
          <rPr>
            <b/>
            <sz val="9"/>
            <color indexed="81"/>
            <rFont val="Tahoma"/>
            <charset val="1"/>
          </rPr>
          <t>Nem használja az a program (csak kijelzi).
Ha a Rét1=Rét2, akkor réteg=1 (akkor is, ha a Layout munkalapon kétréteges átmérős tekercselést terveztünk).</t>
        </r>
      </text>
    </comment>
    <comment ref="L32" authorId="0" shapeId="0" xr:uid="{00000000-0006-0000-0500-00005D000000}">
      <text>
        <r>
          <rPr>
            <b/>
            <sz val="9"/>
            <color indexed="81"/>
            <rFont val="Tahoma"/>
            <charset val="1"/>
          </rPr>
          <t>Horonyszög.
Két horony közötti villamos szög az adott harmonikus  (Harm.2p) pólusszámával számolva.</t>
        </r>
      </text>
    </comment>
    <comment ref="O32" authorId="0" shapeId="0" xr:uid="{00000000-0006-0000-0500-00005E000000}">
      <text>
        <r>
          <rPr>
            <b/>
            <sz val="9"/>
            <color indexed="81"/>
            <rFont val="Tahoma"/>
            <charset val="1"/>
          </rPr>
          <t>34-145 sorok összegzése.
A gerjesztési görbe területének az abszcissza tengely fölött és alatt egyformának kell lennie.
Ehhez kell ez a korrekció, melyet le kell vonni a "Görbe" feliratú értékekből, hogy a helyes "lécsős" gerjesztési görbét kapjuk.</t>
        </r>
      </text>
    </comment>
    <comment ref="P32" authorId="0" shapeId="0" xr:uid="{00000000-0006-0000-0500-00005F000000}">
      <text>
        <r>
          <rPr>
            <b/>
            <sz val="9"/>
            <color indexed="81"/>
            <rFont val="Tahoma"/>
            <charset val="1"/>
          </rPr>
          <t>Koszinuszok összege</t>
        </r>
      </text>
    </comment>
    <comment ref="Q32" authorId="0" shapeId="0" xr:uid="{00000000-0006-0000-0500-000060000000}">
      <text>
        <r>
          <rPr>
            <b/>
            <sz val="9"/>
            <color indexed="81"/>
            <rFont val="Tahoma"/>
            <charset val="1"/>
          </rPr>
          <t>Szinuszok összege</t>
        </r>
      </text>
    </comment>
    <comment ref="R32" authorId="0" shapeId="0" xr:uid="{00000000-0006-0000-0500-000061000000}">
      <text>
        <r>
          <rPr>
            <b/>
            <sz val="9"/>
            <color indexed="81"/>
            <rFont val="Tahoma"/>
            <charset val="1"/>
          </rPr>
          <t>A gerjesztési görbe megfelelő harmonikusát rajzoljuk vele rá az MMF diagramra.
Hornyonként csak egy pontból áll a görbe, a simítás pedig az Excel-re van bízva (így ez elég dúrva görbét ad).
Szép szinusz görbe rajzolásához legalább lépcsőnként 10 érték kellene.
Ilyen esetben a lépcsők is 10 egyforma pontból állnának.</t>
        </r>
      </text>
    </comment>
    <comment ref="S32" authorId="0" shapeId="0" xr:uid="{00000000-0006-0000-0500-000062000000}">
      <text>
        <r>
          <rPr>
            <b/>
            <sz val="9"/>
            <color indexed="81"/>
            <rFont val="Tahoma"/>
            <charset val="1"/>
          </rPr>
          <t>A tekercsoldalak száma ebben a rétegben.
Vez.1 és Vez.2 közömbös.
Csak a kétfázisú tekercselések felismerése miatt maradt benne.</t>
        </r>
      </text>
    </comment>
    <comment ref="AM32" authorId="0" shapeId="0" xr:uid="{00000000-0006-0000-0500-000063000000}">
      <text>
        <r>
          <rPr>
            <b/>
            <sz val="9"/>
            <color indexed="81"/>
            <rFont val="Tahoma"/>
            <charset val="1"/>
          </rPr>
          <t>Koszinuszok összege</t>
        </r>
      </text>
    </comment>
    <comment ref="AN32" authorId="0" shapeId="0" xr:uid="{00000000-0006-0000-0500-000064000000}">
      <text>
        <r>
          <rPr>
            <b/>
            <sz val="9"/>
            <color indexed="81"/>
            <rFont val="Tahoma"/>
            <charset val="1"/>
          </rPr>
          <t>Szinuszok összege</t>
        </r>
      </text>
    </comment>
    <comment ref="AS32" authorId="0" shapeId="0" xr:uid="{00000000-0006-0000-0500-000065000000}">
      <text>
        <r>
          <rPr>
            <b/>
            <sz val="9"/>
            <color indexed="81"/>
            <rFont val="Tahoma"/>
            <charset val="1"/>
          </rPr>
          <t>Koszinuszok összege</t>
        </r>
      </text>
    </comment>
    <comment ref="AT32" authorId="0" shapeId="0" xr:uid="{00000000-0006-0000-0500-000066000000}">
      <text>
        <r>
          <rPr>
            <b/>
            <sz val="9"/>
            <color indexed="81"/>
            <rFont val="Tahoma"/>
            <charset val="1"/>
          </rPr>
          <t>Szinuszok összege</t>
        </r>
      </text>
    </comment>
    <comment ref="B33" authorId="0" shapeId="0" xr:uid="{00000000-0006-0000-0500-000067000000}">
      <text>
        <r>
          <rPr>
            <b/>
            <sz val="9"/>
            <color indexed="81"/>
            <rFont val="Tahoma"/>
            <charset val="1"/>
          </rPr>
          <t>A Layout munkalapról vett tekercselés első rétege.</t>
        </r>
      </text>
    </comment>
    <comment ref="C33" authorId="0" shapeId="0" xr:uid="{00000000-0006-0000-0500-000068000000}">
      <text>
        <r>
          <rPr>
            <b/>
            <sz val="9"/>
            <color indexed="81"/>
            <rFont val="Tahoma"/>
            <charset val="1"/>
          </rPr>
          <t>A Layout munkalapról vett tekercselés második rétege.</t>
        </r>
      </text>
    </comment>
    <comment ref="D33" authorId="0" shapeId="0" xr:uid="{00000000-0006-0000-0500-000069000000}">
      <text>
        <r>
          <rPr>
            <b/>
            <sz val="9"/>
            <color indexed="81"/>
            <rFont val="Tahoma"/>
            <charset val="1"/>
          </rPr>
          <t>Az E27 cellában kiválasztott példa tekercselés első rétege.</t>
        </r>
      </text>
    </comment>
    <comment ref="E33" authorId="0" shapeId="0" xr:uid="{00000000-0006-0000-0500-00006A000000}">
      <text>
        <r>
          <rPr>
            <b/>
            <sz val="9"/>
            <color indexed="81"/>
            <rFont val="Tahoma"/>
            <charset val="1"/>
          </rPr>
          <t>Az E27 cellában kiválasztott példa tekercselés második rétege.</t>
        </r>
      </text>
    </comment>
    <comment ref="G33" authorId="0" shapeId="0" xr:uid="{00000000-0006-0000-0500-00006B000000}">
      <text>
        <r>
          <rPr>
            <b/>
            <sz val="9"/>
            <color indexed="81"/>
            <rFont val="Tahoma"/>
            <charset val="1"/>
          </rPr>
          <t>Lehetőségek:
1. Layout munkalapról választott tekercselés
2. A példákból választott tekercselés.</t>
        </r>
      </text>
    </comment>
    <comment ref="H33" authorId="0" shapeId="0" xr:uid="{00000000-0006-0000-0500-00006C000000}">
      <text>
        <r>
          <rPr>
            <b/>
            <sz val="9"/>
            <color indexed="81"/>
            <rFont val="Tahoma"/>
            <charset val="1"/>
          </rPr>
          <t>A lehetőségeket lásd a Rét.1 cella megjegyzésében.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I33" authorId="0" shapeId="0" xr:uid="{00000000-0006-0000-0500-00006D000000}">
      <text>
        <r>
          <rPr>
            <b/>
            <sz val="9"/>
            <color indexed="81"/>
            <rFont val="Tahoma"/>
            <charset val="1"/>
          </rPr>
          <t>Az adatbázisban van hely a vezetőszámok részére.
Ha ott nem töltjük ki a cellákat, akkor a vezetőszám mindkét rétegben 1 lesz.
Ha az "1.Layout-ból" menüpontot választjuk, akkor a vezetőszám mindkét rétegben 1 lesz.</t>
        </r>
      </text>
    </comment>
    <comment ref="O33" authorId="0" shapeId="0" xr:uid="{00000000-0006-0000-0500-00006E000000}">
      <text>
        <r>
          <rPr>
            <b/>
            <sz val="9"/>
            <color indexed="81"/>
            <rFont val="Tahoma"/>
            <charset val="1"/>
          </rPr>
          <t xml:space="preserve">Ebből van felrajzolva az MMF diagram.
</t>
        </r>
      </text>
    </comment>
    <comment ref="R33" authorId="0" shapeId="0" xr:uid="{00000000-0006-0000-0500-00006F000000}">
      <text>
        <r>
          <rPr>
            <b/>
            <sz val="9"/>
            <color indexed="81"/>
            <rFont val="Tahoma"/>
            <charset val="1"/>
          </rPr>
          <t>Ennek az első cellának a képlete más mint a többi:
'=VÉL()*0+(SIN((360/$N$98*L100/2*$P$99+$V$98)*PI()/180)*$T$98)
Fontos, hogy először az SinMMF tartománynevet kell létrehozni, csak utána kell ebbe a cellába a VÉL()*0 függvényt beírni (előtte a VÉL nélküli rész legyen csak benne).
Ez a tartomány SinMMF névvel van definiálva:
'=OFSZET(Tek!$X$100;0;0;DARAB2(Tek!$X$100:$X$212)-0)</t>
        </r>
      </text>
    </comment>
    <comment ref="S33" authorId="0" shapeId="0" xr:uid="{00000000-0006-0000-0500-000070000000}">
      <text>
        <r>
          <rPr>
            <b/>
            <sz val="9"/>
            <color indexed="81"/>
            <rFont val="Tahoma"/>
            <charset val="1"/>
          </rPr>
          <t>Az "A" fázis hornyainak első rétegéban (Rét.1) indukált feszültség nagysága és előjele.
Vezetőnként 1 Voltot számolunk, tehát:
A jelű tekercsoldalnál A1=Vez.1*1
A' jelű tekercsoldalnál A1=Vez.1*-1</t>
        </r>
      </text>
    </comment>
    <comment ref="T33" authorId="0" shapeId="0" xr:uid="{00000000-0006-0000-0500-000071000000}">
      <text>
        <r>
          <rPr>
            <b/>
            <sz val="9"/>
            <color indexed="81"/>
            <rFont val="Tahoma"/>
            <charset val="1"/>
          </rPr>
          <t>Ugyanaz mint A1, de a második rétegre.</t>
        </r>
      </text>
    </comment>
    <comment ref="Y33" authorId="0" shapeId="0" xr:uid="{00000000-0006-0000-0500-000072000000}">
      <text>
        <r>
          <rPr>
            <b/>
            <sz val="9"/>
            <color indexed="81"/>
            <rFont val="Tahoma"/>
            <charset val="1"/>
          </rPr>
          <t>Az "A" fázis hornyonkénti indukált feszültségének nagysága és előjele.
Afesz=A1+A2</t>
        </r>
      </text>
    </comment>
    <comment ref="AB33" authorId="0" shapeId="0" xr:uid="{00000000-0006-0000-0500-000073000000}">
      <text>
        <r>
          <rPr>
            <b/>
            <sz val="9"/>
            <color indexed="81"/>
            <rFont val="Tahoma"/>
            <charset val="1"/>
          </rPr>
          <t>Az "A" fázis horonyfeszültség vektorának a Valós része.
Re(A)=Afesz*cos(alfa*horony)</t>
        </r>
      </text>
    </comment>
    <comment ref="AC33" authorId="0" shapeId="0" xr:uid="{00000000-0006-0000-0500-000074000000}">
      <text>
        <r>
          <rPr>
            <b/>
            <sz val="9"/>
            <color indexed="81"/>
            <rFont val="Tahoma"/>
            <charset val="1"/>
          </rPr>
          <t>Az "A" fázis horonyfeszültség vektorának a Képzetes része.
Im(A)=Afesz*sin(alfa*horony)</t>
        </r>
      </text>
    </comment>
    <comment ref="AK33" authorId="0" shapeId="0" xr:uid="{00000000-0006-0000-0500-000075000000}">
      <text>
        <r>
          <rPr>
            <b/>
            <sz val="9"/>
            <color indexed="81"/>
            <rFont val="Tahoma"/>
            <charset val="1"/>
          </rPr>
          <t xml:space="preserve">Négyzet-összeg
</t>
        </r>
      </text>
    </comment>
    <comment ref="AW33" authorId="0" shapeId="0" xr:uid="{00000000-0006-0000-0500-000076000000}">
      <text>
        <r>
          <rPr>
            <b/>
            <sz val="9"/>
            <color indexed="81"/>
            <rFont val="Tahoma"/>
            <charset val="1"/>
          </rPr>
          <t>Váltott menetszám esetén a Vez.1&gt;0.
Ilyenkor az adatbázisból veszi a vezetőszámokat.</t>
        </r>
      </text>
    </comment>
    <comment ref="O34" authorId="0" shapeId="0" xr:uid="{00000000-0006-0000-0500-000077000000}">
      <text>
        <r>
          <rPr>
            <b/>
            <sz val="9"/>
            <color indexed="81"/>
            <rFont val="Tahoma"/>
            <charset val="1"/>
          </rPr>
          <t>Csak ennek az első cellának a képlete más:
=VÉL()*0+(N34-$O$32)
Fontos, hogy először az MMF tartománynevet kell létrehozni, csak utána kell ebbe a cellába a VÉL()*0 függvényt beírni (előtte csak a VÉL nélküli résznek kell benne lennie.
Ez a tartomány MMF névvel van definiálva:
=OFSZET(Analysis2!$O$34;0;0;DARAB2(Analysis2!$O$34:$O$145)-0)</t>
        </r>
      </text>
    </comment>
  </commentList>
</comments>
</file>

<file path=xl/sharedStrings.xml><?xml version="1.0" encoding="utf-8"?>
<sst xmlns="http://schemas.openxmlformats.org/spreadsheetml/2006/main" count="3701" uniqueCount="949">
  <si>
    <r>
      <t>Fázisonkénti és pólusonkénti horonyszám tizedestört alakban.</t>
    </r>
    <r>
      <rPr>
        <sz val="10"/>
        <color indexed="12"/>
        <rFont val="Arial"/>
        <charset val="238"/>
      </rPr>
      <t xml:space="preserve"> </t>
    </r>
    <r>
      <rPr>
        <i/>
        <sz val="10"/>
        <color indexed="12"/>
        <rFont val="Arial"/>
        <charset val="238"/>
      </rPr>
      <t>q=Z/(m*2p)=b+c/d=(b*d+c)/d=N/d</t>
    </r>
  </si>
  <si>
    <r>
      <t xml:space="preserve">Fázisonkénti és pólusonkénti horonyszám tovább nem egyszerüsíthető tört alakban. </t>
    </r>
    <r>
      <rPr>
        <i/>
        <sz val="10"/>
        <color indexed="12"/>
        <rFont val="Arial"/>
        <charset val="238"/>
      </rPr>
      <t>q=b+c/d=(b*d+c)/d=N/d</t>
    </r>
  </si>
  <si>
    <r>
      <t xml:space="preserve">A tekercselésben egymás mellett lévő elemi tekercsek száma, amelyek Z/N -szer ismétlődnek (legnagyobb csoport). </t>
    </r>
    <r>
      <rPr>
        <i/>
        <sz val="10"/>
        <color indexed="12"/>
        <rFont val="Arial"/>
        <charset val="238"/>
      </rPr>
      <t>N=(Z/m)/GCD</t>
    </r>
  </si>
  <si>
    <t>U2</t>
  </si>
  <si>
    <t>W2</t>
  </si>
  <si>
    <r>
      <t xml:space="preserve">Az N legnagyobb csopotban lévő kis- és nagy csoportok száma összesen. Ha d osztható m -el, akkor nem szimmetrikus a tekercselés. </t>
    </r>
    <r>
      <rPr>
        <i/>
        <sz val="10"/>
        <color indexed="12"/>
        <rFont val="Arial"/>
        <charset val="238"/>
      </rPr>
      <t>d=2p/GCD</t>
    </r>
  </si>
  <si>
    <r>
      <t xml:space="preserve">A b tekercsből álló kis csoportok száma a legnyobb (N) csoportban. </t>
    </r>
    <r>
      <rPr>
        <i/>
        <sz val="10"/>
        <color indexed="12"/>
        <rFont val="Arial"/>
        <charset val="238"/>
      </rPr>
      <t>N=x*b+y*(b+1)=(d-c)*b+c*(b+1)=b*d+c</t>
    </r>
  </si>
  <si>
    <r>
      <t xml:space="preserve">A b+1 tekercsből álló nagy csoportok száma a legnyobb (N) csoportban.  </t>
    </r>
    <r>
      <rPr>
        <i/>
        <sz val="10"/>
        <color indexed="12"/>
        <rFont val="Arial"/>
        <charset val="238"/>
      </rPr>
      <t>N=x*b+y*(b+1)=(d-c)*b+c*(b+1)=b*d+c</t>
    </r>
  </si>
  <si>
    <r>
      <t>Bemenő adatok (piros színű betűkkel jelölve):</t>
    </r>
    <r>
      <rPr>
        <b/>
        <sz val="10"/>
        <color indexed="10"/>
        <rFont val="Arial"/>
        <family val="2"/>
        <charset val="238"/>
      </rPr>
      <t xml:space="preserve"> m, Z, 2p</t>
    </r>
    <r>
      <rPr>
        <sz val="10"/>
        <rFont val="Arial"/>
        <charset val="238"/>
      </rPr>
      <t>.</t>
    </r>
  </si>
  <si>
    <r>
      <t xml:space="preserve">Alap adatok        </t>
    </r>
    <r>
      <rPr>
        <sz val="10"/>
        <rFont val="Arial"/>
        <family val="2"/>
        <charset val="238"/>
      </rPr>
      <t>(példa q=egész horonyra)</t>
    </r>
  </si>
  <si>
    <r>
      <t>a</t>
    </r>
    <r>
      <rPr>
        <sz val="10"/>
        <rFont val="Arial"/>
        <family val="2"/>
        <charset val="238"/>
      </rPr>
      <t>=</t>
    </r>
  </si>
  <si>
    <r>
      <t>a</t>
    </r>
    <r>
      <rPr>
        <sz val="10"/>
        <rFont val="Arial"/>
        <family val="2"/>
        <charset val="238"/>
      </rPr>
      <t>=180*2p/Z</t>
    </r>
  </si>
  <si>
    <r>
      <t>q*</t>
    </r>
    <r>
      <rPr>
        <sz val="10"/>
        <rFont val="Symbol"/>
        <family val="1"/>
        <charset val="2"/>
      </rPr>
      <t>a</t>
    </r>
    <r>
      <rPr>
        <sz val="10"/>
        <rFont val="Arial"/>
        <family val="2"/>
        <charset val="238"/>
      </rPr>
      <t>=</t>
    </r>
  </si>
  <si>
    <r>
      <t>2*q*</t>
    </r>
    <r>
      <rPr>
        <sz val="10"/>
        <rFont val="Symbol"/>
        <family val="1"/>
        <charset val="2"/>
      </rPr>
      <t>a</t>
    </r>
    <r>
      <rPr>
        <sz val="10"/>
        <rFont val="Arial"/>
        <family val="2"/>
        <charset val="238"/>
      </rPr>
      <t>=</t>
    </r>
  </si>
  <si>
    <r>
      <t xml:space="preserve">colortolayer.lsp </t>
    </r>
    <r>
      <rPr>
        <sz val="10"/>
        <rFont val="Arial"/>
        <family val="2"/>
        <charset val="238"/>
      </rPr>
      <t>fájl tartalma:</t>
    </r>
  </si>
  <si>
    <r>
      <t xml:space="preserve">A </t>
    </r>
    <r>
      <rPr>
        <b/>
        <sz val="10"/>
        <rFont val="Arial"/>
        <family val="2"/>
        <charset val="238"/>
      </rPr>
      <t>Schema</t>
    </r>
    <r>
      <rPr>
        <sz val="10"/>
        <rFont val="Arial"/>
        <charset val="238"/>
      </rPr>
      <t xml:space="preserve"> munkalapon kijelöljük a rajzot és a vágólapra másoljuk (Ctrl+C).</t>
    </r>
  </si>
  <si>
    <r>
      <t xml:space="preserve">A másolást elvégezhetjük a </t>
    </r>
    <r>
      <rPr>
        <b/>
        <sz val="10"/>
        <rFont val="Arial"/>
        <family val="2"/>
        <charset val="238"/>
      </rPr>
      <t>Schema</t>
    </r>
    <r>
      <rPr>
        <sz val="10"/>
        <rFont val="Arial"/>
        <charset val="238"/>
      </rPr>
      <t xml:space="preserve"> munkalapon lévő </t>
    </r>
    <r>
      <rPr>
        <b/>
        <sz val="10"/>
        <rFont val="Arial"/>
        <family val="2"/>
        <charset val="238"/>
      </rPr>
      <t>Copy</t>
    </r>
    <r>
      <rPr>
        <sz val="10"/>
        <rFont val="Arial"/>
        <charset val="238"/>
      </rPr>
      <t xml:space="preserve"> gombbal is.</t>
    </r>
  </si>
  <si>
    <r>
      <t xml:space="preserve">Megnyitjuk a </t>
    </r>
    <r>
      <rPr>
        <b/>
        <sz val="10"/>
        <rFont val="Arial"/>
        <family val="2"/>
        <charset val="238"/>
      </rPr>
      <t>W-design-Template.dwg</t>
    </r>
    <r>
      <rPr>
        <sz val="10"/>
        <rFont val="Arial"/>
        <charset val="238"/>
      </rPr>
      <t xml:space="preserve"> fájlt és </t>
    </r>
  </si>
  <si>
    <r>
      <t xml:space="preserve">az </t>
    </r>
    <r>
      <rPr>
        <b/>
        <sz val="10"/>
        <rFont val="Arial"/>
        <family val="2"/>
        <charset val="238"/>
      </rPr>
      <t>Edit/Paste Special/AutoCad Entities</t>
    </r>
    <r>
      <rPr>
        <sz val="10"/>
        <rFont val="Arial"/>
        <charset val="238"/>
      </rPr>
      <t xml:space="preserve"> menüt választjuk.</t>
    </r>
  </si>
  <si>
    <r>
      <t>x</t>
    </r>
    <r>
      <rPr>
        <b/>
        <vertAlign val="subscript"/>
        <sz val="10"/>
        <rFont val="Arial"/>
        <family val="2"/>
        <charset val="238"/>
      </rPr>
      <t>a</t>
    </r>
  </si>
  <si>
    <r>
      <t>x</t>
    </r>
    <r>
      <rPr>
        <b/>
        <vertAlign val="subscript"/>
        <sz val="10"/>
        <rFont val="Arial"/>
        <family val="2"/>
        <charset val="238"/>
      </rPr>
      <t>b</t>
    </r>
  </si>
  <si>
    <r>
      <t>x</t>
    </r>
    <r>
      <rPr>
        <b/>
        <vertAlign val="subscript"/>
        <sz val="10"/>
        <rFont val="Arial"/>
        <family val="2"/>
        <charset val="238"/>
      </rPr>
      <t>c</t>
    </r>
  </si>
  <si>
    <r>
      <t>s</t>
    </r>
    <r>
      <rPr>
        <b/>
        <vertAlign val="subscript"/>
        <sz val="10"/>
        <rFont val="Symbol"/>
        <family val="1"/>
        <charset val="2"/>
      </rPr>
      <t>d</t>
    </r>
  </si>
  <si>
    <r>
      <t>a</t>
    </r>
    <r>
      <rPr>
        <b/>
        <vertAlign val="subscript"/>
        <sz val="10"/>
        <rFont val="Arial"/>
        <family val="2"/>
        <charset val="238"/>
      </rPr>
      <t>a-c</t>
    </r>
  </si>
  <si>
    <r>
      <t>a</t>
    </r>
    <r>
      <rPr>
        <b/>
        <vertAlign val="subscript"/>
        <sz val="10"/>
        <rFont val="Arial"/>
        <family val="2"/>
        <charset val="238"/>
      </rPr>
      <t>b-a</t>
    </r>
  </si>
  <si>
    <r>
      <t>a</t>
    </r>
    <r>
      <rPr>
        <b/>
        <vertAlign val="subscript"/>
        <sz val="10"/>
        <rFont val="Arial"/>
        <family val="2"/>
        <charset val="238"/>
      </rPr>
      <t>c-b</t>
    </r>
  </si>
  <si>
    <r>
      <t>a</t>
    </r>
    <r>
      <rPr>
        <vertAlign val="superscript"/>
        <sz val="10"/>
        <rFont val="Arial"/>
        <family val="2"/>
        <charset val="238"/>
      </rPr>
      <t>2</t>
    </r>
    <r>
      <rPr>
        <sz val="10"/>
        <rFont val="Arial"/>
        <charset val="238"/>
      </rPr>
      <t>=</t>
    </r>
  </si>
  <si>
    <r>
      <t>x</t>
    </r>
    <r>
      <rPr>
        <vertAlign val="subscript"/>
        <sz val="10"/>
        <rFont val="Arial"/>
        <family val="2"/>
        <charset val="238"/>
      </rPr>
      <t>a</t>
    </r>
  </si>
  <si>
    <r>
      <t>Fi=Fa+a*Fb+a</t>
    </r>
    <r>
      <rPr>
        <vertAlign val="superscript"/>
        <sz val="10"/>
        <rFont val="Arial"/>
        <family val="2"/>
        <charset val="238"/>
      </rPr>
      <t>2</t>
    </r>
    <r>
      <rPr>
        <sz val="10"/>
        <rFont val="Arial"/>
        <charset val="238"/>
      </rPr>
      <t>*Fc=</t>
    </r>
  </si>
  <si>
    <r>
      <t>x</t>
    </r>
    <r>
      <rPr>
        <vertAlign val="subscript"/>
        <sz val="10"/>
        <rFont val="Arial"/>
        <family val="2"/>
        <charset val="238"/>
      </rPr>
      <t>b</t>
    </r>
  </si>
  <si>
    <r>
      <t>Fd=Fa+a</t>
    </r>
    <r>
      <rPr>
        <vertAlign val="superscript"/>
        <sz val="10"/>
        <rFont val="Arial"/>
        <family val="2"/>
        <charset val="238"/>
      </rPr>
      <t>2</t>
    </r>
    <r>
      <rPr>
        <sz val="10"/>
        <rFont val="Arial"/>
        <charset val="238"/>
      </rPr>
      <t>*Fb+a*Fc=</t>
    </r>
  </si>
  <si>
    <r>
      <t>x</t>
    </r>
    <r>
      <rPr>
        <vertAlign val="subscript"/>
        <sz val="10"/>
        <rFont val="Arial"/>
        <family val="2"/>
        <charset val="238"/>
      </rPr>
      <t>c</t>
    </r>
  </si>
  <si>
    <r>
      <t>a</t>
    </r>
    <r>
      <rPr>
        <sz val="10"/>
        <rFont val="Arial"/>
        <charset val="238"/>
      </rPr>
      <t xml:space="preserve"> rad=</t>
    </r>
  </si>
  <si>
    <r>
      <t>a</t>
    </r>
    <r>
      <rPr>
        <sz val="10"/>
        <rFont val="Arial"/>
        <charset val="238"/>
      </rPr>
      <t xml:space="preserve"> deg=</t>
    </r>
  </si>
  <si>
    <t>Fi%</t>
  </si>
  <si>
    <t>Fd%</t>
  </si>
  <si>
    <t>Kör Fi%</t>
  </si>
  <si>
    <t>Kör Fd%</t>
  </si>
  <si>
    <t>No</t>
  </si>
  <si>
    <t>Cos</t>
  </si>
  <si>
    <t>PF=</t>
  </si>
  <si>
    <t>A</t>
  </si>
  <si>
    <t>U1</t>
  </si>
  <si>
    <t>Im(A)</t>
  </si>
  <si>
    <t>X</t>
  </si>
  <si>
    <t>Z</t>
  </si>
  <si>
    <t>B</t>
  </si>
  <si>
    <t>20.P-h36p6y6</t>
  </si>
  <si>
    <t>21.p-h36p4y6</t>
  </si>
  <si>
    <t>20. Z=36, 2p=6, Y=6 PAM 6/4 pólus 14 tekercs</t>
  </si>
  <si>
    <t>21. Z=36, 2p=4, Y=6 PAM 6/4 pólus 14 tekercs</t>
  </si>
  <si>
    <t>Teszt=</t>
  </si>
  <si>
    <t>Alkalmas</t>
  </si>
  <si>
    <t>Teszt adatok</t>
  </si>
  <si>
    <t>XM=</t>
  </si>
  <si>
    <t>132M16-Liker.ald</t>
  </si>
  <si>
    <t>A tesztmotor:</t>
  </si>
  <si>
    <r>
      <t>Az áram Park vektor (</t>
    </r>
    <r>
      <rPr>
        <sz val="10"/>
        <rFont val="Times New Roman"/>
        <family val="1"/>
        <charset val="238"/>
      </rPr>
      <t>Is</t>
    </r>
    <r>
      <rPr>
        <sz val="10"/>
        <rFont val="Arial"/>
        <charset val="238"/>
      </rPr>
      <t>) szöge</t>
    </r>
  </si>
  <si>
    <t>If=</t>
  </si>
  <si>
    <t>Ifc=</t>
  </si>
  <si>
    <t>Iv=</t>
  </si>
  <si>
    <t>Zr=</t>
  </si>
  <si>
    <t>Re(Zn)</t>
  </si>
  <si>
    <t>Áram és nyomaték (Varga módszer)</t>
  </si>
  <si>
    <t>Mn</t>
  </si>
  <si>
    <t>C</t>
  </si>
  <si>
    <t>A1</t>
  </si>
  <si>
    <t>b</t>
  </si>
  <si>
    <t>Z1</t>
  </si>
  <si>
    <t>2p</t>
  </si>
  <si>
    <t>q</t>
  </si>
  <si>
    <t>d</t>
  </si>
  <si>
    <t>c</t>
  </si>
  <si>
    <t>a</t>
  </si>
  <si>
    <t>Vez.1 (váltott menetszámnál)</t>
  </si>
  <si>
    <t>Vez.2 (váltott menetszámnál)</t>
  </si>
  <si>
    <t>19.h12p2y5z120</t>
  </si>
  <si>
    <t>19. Z=12, 2p=2, Y=6, 120 fokos fázis-zóna</t>
  </si>
  <si>
    <t>1.Mentett</t>
  </si>
  <si>
    <t>1.Mentett tekercselés</t>
  </si>
  <si>
    <t>q=</t>
  </si>
  <si>
    <t>Im(Zn)</t>
  </si>
  <si>
    <t>Számláló</t>
  </si>
  <si>
    <t>m=</t>
  </si>
  <si>
    <t>Z=</t>
  </si>
  <si>
    <t>2p=</t>
  </si>
  <si>
    <t>Y=</t>
  </si>
  <si>
    <t>Yd=</t>
  </si>
  <si>
    <t>t=</t>
  </si>
  <si>
    <t>α=</t>
  </si>
  <si>
    <t>α(radián)=</t>
  </si>
  <si>
    <t>α'=</t>
  </si>
  <si>
    <t>Z/t=</t>
  </si>
  <si>
    <t>Z/(t*m)=</t>
  </si>
  <si>
    <t>Z/m=</t>
  </si>
  <si>
    <t>GCD=</t>
  </si>
  <si>
    <t>q=Z/(m*2p)=</t>
  </si>
  <si>
    <t>q=b+c/d=</t>
  </si>
  <si>
    <t>q=N/d=</t>
  </si>
  <si>
    <t>N=b*d+c=</t>
  </si>
  <si>
    <t>b=</t>
  </si>
  <si>
    <t>c=</t>
  </si>
  <si>
    <t>d=</t>
  </si>
  <si>
    <t>x=d-c=</t>
  </si>
  <si>
    <t>y=c=</t>
  </si>
  <si>
    <t>Z/N=</t>
  </si>
  <si>
    <t>360/α=</t>
  </si>
  <si>
    <t>Tek.tényező=</t>
  </si>
  <si>
    <t>Sávtényező=</t>
  </si>
  <si>
    <t>Szigma=</t>
  </si>
  <si>
    <t>Gerj.ampl.=</t>
  </si>
  <si>
    <t>Gerj.szög=</t>
  </si>
  <si>
    <t>Gerj.szög(rad)</t>
  </si>
  <si>
    <t>Ger.szög(hor)</t>
  </si>
  <si>
    <t>// ágak (max)</t>
  </si>
  <si>
    <t>láb</t>
  </si>
  <si>
    <t>A'</t>
  </si>
  <si>
    <t>B'</t>
  </si>
  <si>
    <t>Сергеев П.С. и др., Проектирование электрических машин. 1969</t>
  </si>
  <si>
    <t>Y</t>
  </si>
  <si>
    <t>C'</t>
  </si>
  <si>
    <t>N</t>
  </si>
  <si>
    <t>Tengely</t>
  </si>
  <si>
    <t>U</t>
  </si>
  <si>
    <t>F1</t>
  </si>
  <si>
    <t>s</t>
  </si>
  <si>
    <t>A séma kirajzolásához kattints a "Schema" fülre, vagy ide:</t>
  </si>
  <si>
    <t>Ret1</t>
  </si>
  <si>
    <t>3/48/4/1</t>
  </si>
  <si>
    <t>Ret2</t>
  </si>
  <si>
    <t>Vekt</t>
  </si>
  <si>
    <t>V1</t>
  </si>
  <si>
    <t>W1</t>
  </si>
  <si>
    <t>F2</t>
  </si>
  <si>
    <t>F3</t>
  </si>
  <si>
    <t>db</t>
  </si>
  <si>
    <t>d,No</t>
  </si>
  <si>
    <t>ca(d),sor</t>
  </si>
  <si>
    <t>i,No</t>
  </si>
  <si>
    <t>z(Z/N*d),láb</t>
  </si>
  <si>
    <t>pa(Z/N*d),PH</t>
  </si>
  <si>
    <t>i,Z</t>
  </si>
  <si>
    <t>zh(z1),Re1</t>
  </si>
  <si>
    <t>Alfa</t>
  </si>
  <si>
    <t>sx</t>
  </si>
  <si>
    <t>sy</t>
  </si>
  <si>
    <t>ex</t>
  </si>
  <si>
    <t>ey</t>
  </si>
  <si>
    <t>color</t>
  </si>
  <si>
    <t>style</t>
  </si>
  <si>
    <t>sfx</t>
  </si>
  <si>
    <t>sfy</t>
  </si>
  <si>
    <t>efx</t>
  </si>
  <si>
    <t>efy</t>
  </si>
  <si>
    <t>+/-</t>
  </si>
  <si>
    <t>idáig töröl</t>
  </si>
  <si>
    <t>Módszer</t>
  </si>
  <si>
    <t>Szin</t>
  </si>
  <si>
    <t>Stilus</t>
  </si>
  <si>
    <t>Schemecolors</t>
  </si>
  <si>
    <t>Név</t>
  </si>
  <si>
    <t>m</t>
  </si>
  <si>
    <t>Fazis</t>
  </si>
  <si>
    <t>Start</t>
  </si>
  <si>
    <t>End</t>
  </si>
  <si>
    <t>Ua=</t>
  </si>
  <si>
    <t>Ub=</t>
  </si>
  <si>
    <t>Uc=</t>
  </si>
  <si>
    <t>+</t>
  </si>
  <si>
    <t>Alap</t>
  </si>
  <si>
    <t>Horonyfeszültség csillag</t>
  </si>
  <si>
    <t>Könyv</t>
  </si>
  <si>
    <t>-</t>
  </si>
  <si>
    <t>Liska</t>
  </si>
  <si>
    <t>t=1,0</t>
  </si>
  <si>
    <t>Egész q</t>
  </si>
  <si>
    <t>Szimmetrikus q&lt;0.5</t>
  </si>
  <si>
    <t>F1,2,3</t>
  </si>
  <si>
    <t>Vegyes szimmetrikus</t>
  </si>
  <si>
    <t>Tekt. Kt(A)=</t>
  </si>
  <si>
    <t>Sávt. Ke(A)=</t>
  </si>
  <si>
    <t>Aszimmetrikus (spec módszer)</t>
  </si>
  <si>
    <t>Aszimmetrikus</t>
  </si>
  <si>
    <t>3/27/24/1</t>
  </si>
  <si>
    <t>5/40/4/1</t>
  </si>
  <si>
    <t>5-fázisú Schrage (Likernél ez 1-réteges)</t>
  </si>
  <si>
    <t>Az utolsó horony feszültségének fázisszöge = 0°.</t>
  </si>
  <si>
    <t>Az ábrán csak az első tekercsréteg (Ret1) van ábrázolva.</t>
  </si>
  <si>
    <t>Vegyes szimmetrikus (4/6 két független esetén 2// 4 pólusnál csak 1-3;2-4 jó)</t>
  </si>
  <si>
    <t>Nyíl nagyság</t>
  </si>
  <si>
    <t>Tekt. Kt(B)=</t>
  </si>
  <si>
    <t>Gerjesztési görbe</t>
  </si>
  <si>
    <t>Tekt. Kt(C)=</t>
  </si>
  <si>
    <t>z</t>
  </si>
  <si>
    <t>A-B fázis</t>
  </si>
  <si>
    <t>A-C fázis</t>
  </si>
  <si>
    <t>Fázisszög</t>
  </si>
  <si>
    <t>z*α</t>
  </si>
  <si>
    <t>Uv/Uf</t>
  </si>
  <si>
    <t>Pólus</t>
  </si>
  <si>
    <t>Harmonik.</t>
  </si>
  <si>
    <t>Lépés</t>
  </si>
  <si>
    <t>Phase MMF -&gt;</t>
  </si>
  <si>
    <t>A vektorcsillag tetszőleges vektorainak összegzése (három összeg állítható elő)</t>
  </si>
  <si>
    <t>V</t>
  </si>
  <si>
    <t>E1x</t>
  </si>
  <si>
    <t>E1y</t>
  </si>
  <si>
    <t>E2x</t>
  </si>
  <si>
    <t>E2y</t>
  </si>
  <si>
    <t>E3x</t>
  </si>
  <si>
    <t>E3y</t>
  </si>
  <si>
    <t>V2</t>
  </si>
  <si>
    <t>V3</t>
  </si>
  <si>
    <t>Max. V</t>
  </si>
  <si>
    <t>Tekt. V1</t>
  </si>
  <si>
    <t>Tekt. V2</t>
  </si>
  <si>
    <t>Tekt. V3</t>
  </si>
  <si>
    <r>
      <t>b</t>
    </r>
    <r>
      <rPr>
        <sz val="10"/>
        <rFont val="Symbol"/>
        <family val="1"/>
        <charset val="2"/>
      </rPr>
      <t>-</t>
    </r>
    <r>
      <rPr>
        <sz val="10"/>
        <color indexed="10"/>
        <rFont val="Symbol"/>
        <family val="1"/>
        <charset val="2"/>
      </rPr>
      <t>a</t>
    </r>
    <r>
      <rPr>
        <sz val="10"/>
        <rFont val="Arial"/>
        <charset val="238"/>
      </rPr>
      <t>=</t>
    </r>
  </si>
  <si>
    <r>
      <t>g</t>
    </r>
    <r>
      <rPr>
        <sz val="10"/>
        <rFont val="Symbol"/>
        <family val="1"/>
        <charset val="2"/>
      </rPr>
      <t>-</t>
    </r>
    <r>
      <rPr>
        <sz val="10"/>
        <color indexed="12"/>
        <rFont val="Symbol"/>
        <family val="1"/>
        <charset val="2"/>
      </rPr>
      <t>b</t>
    </r>
    <r>
      <rPr>
        <sz val="10"/>
        <rFont val="Arial"/>
        <charset val="238"/>
      </rPr>
      <t>=</t>
    </r>
  </si>
  <si>
    <r>
      <t>a</t>
    </r>
    <r>
      <rPr>
        <sz val="10"/>
        <rFont val="Symbol"/>
        <family val="1"/>
        <charset val="2"/>
      </rPr>
      <t>-</t>
    </r>
    <r>
      <rPr>
        <sz val="10"/>
        <color indexed="17"/>
        <rFont val="Symbol"/>
        <family val="1"/>
        <charset val="2"/>
      </rPr>
      <t>g</t>
    </r>
    <r>
      <rPr>
        <sz val="10"/>
        <rFont val="Arial"/>
        <charset val="238"/>
      </rPr>
      <t>=</t>
    </r>
  </si>
  <si>
    <r>
      <t>a</t>
    </r>
    <r>
      <rPr>
        <sz val="10"/>
        <color indexed="10"/>
        <rFont val="Arial"/>
        <charset val="238"/>
      </rPr>
      <t>=</t>
    </r>
  </si>
  <si>
    <r>
      <t>b</t>
    </r>
    <r>
      <rPr>
        <sz val="10"/>
        <color indexed="12"/>
        <rFont val="Arial"/>
        <charset val="238"/>
      </rPr>
      <t>=</t>
    </r>
  </si>
  <si>
    <r>
      <t>g</t>
    </r>
    <r>
      <rPr>
        <sz val="10"/>
        <color indexed="17"/>
        <rFont val="Arial"/>
        <charset val="238"/>
      </rPr>
      <t>=</t>
    </r>
  </si>
  <si>
    <r>
      <t>A</t>
    </r>
    <r>
      <rPr>
        <sz val="10"/>
        <rFont val="Arial"/>
        <charset val="238"/>
      </rPr>
      <t xml:space="preserve"> (piros), </t>
    </r>
    <r>
      <rPr>
        <sz val="10"/>
        <color indexed="12"/>
        <rFont val="Arial"/>
        <family val="2"/>
        <charset val="238"/>
      </rPr>
      <t>B</t>
    </r>
    <r>
      <rPr>
        <sz val="10"/>
        <rFont val="Arial"/>
        <charset val="238"/>
      </rPr>
      <t xml:space="preserve"> (kék), </t>
    </r>
    <r>
      <rPr>
        <sz val="10"/>
        <color indexed="17"/>
        <rFont val="Arial"/>
        <family val="2"/>
        <charset val="238"/>
      </rPr>
      <t>C</t>
    </r>
    <r>
      <rPr>
        <sz val="10"/>
        <rFont val="Arial"/>
        <charset val="238"/>
      </rPr>
      <t xml:space="preserve"> (zöld) fázisok feszültségei</t>
    </r>
  </si>
  <si>
    <t>Választás adatbázisból:</t>
  </si>
  <si>
    <t>Fázisszám.</t>
  </si>
  <si>
    <t>Horonyszám.</t>
  </si>
  <si>
    <t>Pólusok száma (Pólusszám).</t>
  </si>
  <si>
    <t>alfa=</t>
  </si>
  <si>
    <t>Z és p legnagyobb közös osztója. Az azonos vektorok száma a vektorcsillag egy vektorában.</t>
  </si>
  <si>
    <t>A szimmetrikus m fázisú tekercselés kialakításának szükséges és elégséges feltétele, hogy ez a szám egész legyen. Ha ez a feltétel nem teljesűl, akkor az első cellában N betű látható.</t>
  </si>
  <si>
    <t>Fázisonkénti horonyszám.</t>
  </si>
  <si>
    <t>Fázisonkénti és pólusonkénti horonyszám tovább nem egyszerüsíthető tört alakban.</t>
  </si>
  <si>
    <t>A kis csoportokban lévő elemi tekercsek száma (a nagy csoportban b+1 tekercs van).</t>
  </si>
  <si>
    <t>c=N-b*d (c=y)</t>
  </si>
  <si>
    <t>A legnagyobb csoport (N) ismétlődéseinek száma.</t>
  </si>
  <si>
    <t>&lt;-H.ampl.</t>
  </si>
  <si>
    <t>&lt;-Y tengely skála</t>
  </si>
  <si>
    <t>A kis- és nagy tekercs-csoportok kiosztási sorrendjének itt leírt módszre is a horonyfeszültség-csillag alkalmazásán alapszik [2].</t>
  </si>
  <si>
    <t>A nagy és kis tekercs-csoportok cserélődésének sorrendjét a következőképpen lehet megállapítani:</t>
  </si>
  <si>
    <t>a) Felírjuk a következő számsort: 1*q, 2*q, 3*q, …d*q.</t>
  </si>
  <si>
    <t>b) Hagyjuk el a kapott számok tört részét és az egész részekhez az utolsó szám kivételével adjunk hozzá egyet.  Az első szám elé még írjunk fel egy nullát is.</t>
  </si>
  <si>
    <t>c) Írjuk fel a szomszédos számok különbségét.</t>
  </si>
  <si>
    <t>A c) pontban jelölt számsor adja a nagy- és kis csoportok sorrendjét. Az itt lévő számok összege=N.</t>
  </si>
  <si>
    <t>Könyv [1]</t>
  </si>
  <si>
    <t>Sorszám</t>
  </si>
  <si>
    <t>a) 1q,2q,...</t>
  </si>
  <si>
    <t>b) INT(q)+1</t>
  </si>
  <si>
    <t>c) b+1, b</t>
  </si>
  <si>
    <t>Fázisok</t>
  </si>
  <si>
    <t>Csoport</t>
  </si>
  <si>
    <t>A táblázatnak csak a bekeretezett cellái érvényesek (a táblázat csak akkor működik, ha d&lt;=42).</t>
  </si>
  <si>
    <t>A módszer akkor is működik, ha q egészszám (ilyenkor csak egyféle csoport van).</t>
  </si>
  <si>
    <t>IRODALOMJEGYZÉK</t>
  </si>
  <si>
    <t>Лившиц М., Обмотки машин переменного тока, сб. Электросила 1951 № 8. (hivatkozás az [1] -ben)</t>
  </si>
  <si>
    <t>HÁROMFÁZISÚ KÉTRÉTEGES TEKERCSELÉS</t>
  </si>
  <si>
    <t>Beállítások:</t>
  </si>
  <si>
    <t>A V1 kivezetés az U1 -től, valamint a W1 a V1 -től alapesetben (automatikus elrendezés) villamos 120 fokra, vagy a 120 fok többszörösére lesz elhelyezve.</t>
  </si>
  <si>
    <t>A program alkalmas az úgynevezett "fogkoncentrált" tekercselések rajzolására is, amelyeknél a q&lt;=0.5 (ezeket gyakran alkalmazzák állandó mágneses szinkron motorokban).</t>
  </si>
  <si>
    <t>Angol és orosz nyelvű Excelben is futtatható a program.</t>
  </si>
  <si>
    <t>A tervezési Excel munkalapon a bemenő adatok beírása után a Start gombra kattintva a tekercselés következő főbb jellemzőit számítja és rajzolja ki a program:</t>
  </si>
  <si>
    <t>- Légrésszórási tényező</t>
  </si>
  <si>
    <t>- Horonykiosztás</t>
  </si>
  <si>
    <t>- Horonyfeszültség csillag</t>
  </si>
  <si>
    <t>A tekercselési vázlat rajzolásához a Schema nevű munkalapra kell áttérni.</t>
  </si>
  <si>
    <t>Ha több kapcsolási fajtát szeretnénk kipróbálni, akkor egyszerüen csak rá kell kattintani a Start -ra a Schema munkalapon és újra felajánlja a program a kapcsolásokat.</t>
  </si>
  <si>
    <t>Az Excel -ben engedélyezni kell a Makrók futtatását (Excel-2003 -ban: Eszközök/Makró/Biztonság/Közepes), de más megkötés (pl. bővítmény/Add-On) nem szükséges hozzá.</t>
  </si>
  <si>
    <t>Szerző: Laczkó István</t>
  </si>
  <si>
    <t>A cellákhoz írt megjegyzések bővebb tájékoztatást adnak a különféle adatokról (ehhez csak rá kell vinni a kurzort a megfelelő cellára).</t>
  </si>
  <si>
    <t>Ha a soros kapcsoláson kívül egy- vagy többfajta párhuzamos kapcsolás is lehetséges, akkor ezeket a program felajánlja és ki kell választani a megfelelőt.</t>
  </si>
  <si>
    <t>s_dir</t>
  </si>
  <si>
    <t>s_inv</t>
  </si>
  <si>
    <t>Ennek az az előnye, hogy a V fázis és a W fázis esetén is ugyanaz a kötési rendszer használható, ezért a V és W fázisok kötései nincsenek is megrajzolva.</t>
  </si>
  <si>
    <t>A kivezetéseket nagyon sokféleképpen el lehetne még helyezni, de a program csak a fentiekre van felkészítve (más esetekben mindhárom fázisban eltérő is lehetne a kapcsolás).</t>
  </si>
  <si>
    <t>- Gerjesztési görbe (lépcsős görbe, MMF diagram) és annak alapharmonikusa 1 menet/tekercs esetén a következő fázisáramokra: Iu=1 A, Iv=-0.5 A, Iw=-0.5 A.</t>
  </si>
  <si>
    <t>Tört horonyszámú többfázisú kétréteges tekercselések tervezése (horonykiosztás/tekercskiosztás).</t>
  </si>
  <si>
    <t>Ha ugyanazon // ág esetén többfajta párhuzamos kapcsolás is lehetséges, akkor a két legfontosabbnak ítélt változatot ajánlja fel a program.</t>
  </si>
  <si>
    <t>1.</t>
  </si>
  <si>
    <t>2.</t>
  </si>
  <si>
    <t>3.</t>
  </si>
  <si>
    <t>4.</t>
  </si>
  <si>
    <t>5.</t>
  </si>
  <si>
    <t xml:space="preserve">Ha egy tekercs-csoportban egynél több tekecs van (vagyis a tekercs "többlábas"), ezeket mindig sorba kell kapcsolni (általában ez már a tekercs-gombolyításnál megtörténik).  </t>
  </si>
  <si>
    <t>Zn</t>
  </si>
  <si>
    <t>Z1=</t>
  </si>
  <si>
    <t>R1=</t>
  </si>
  <si>
    <t>X1=</t>
  </si>
  <si>
    <t>U=</t>
  </si>
  <si>
    <t>Nevező</t>
  </si>
  <si>
    <t>M=</t>
  </si>
  <si>
    <t>Minden tekecsoldal menetiránya nyíllal van jelölve. Az U fázishoz tartozó  tekercs-csoportok sorszámát a csoportok fölötti számok jelzik.</t>
  </si>
  <si>
    <t>Az U fázishoz tartozó tekercs-csoportok egyes elemeinek a menetirányát a tekercs fölé írt "+" és "-" jelek is jelölik.</t>
  </si>
  <si>
    <t>Op</t>
  </si>
  <si>
    <t>Ág</t>
  </si>
  <si>
    <t>Kapcsolás</t>
  </si>
  <si>
    <t>Soros</t>
  </si>
  <si>
    <t>Amennyiben a tervezés sikeresen lefutott, a Start gombra kattintva kirajzolódik a tekercselés, és ha csak soros kapcsolás lehetséges, akkor a kapcsolás is.</t>
  </si>
  <si>
    <t>Ha biztosak vagyunk a dolgunkban, akkor magunk is kijelölhetjük a V1 kivezetés helyét a Settings munkalapon. Ebben az esetben újra rá kell kattintani a start gombra a Schema munkalapon.</t>
  </si>
  <si>
    <t>A Settings munkalapon a rajzoláshoz több paraméter is beadható, amelyekkel módosíthatjuk a séma alakját, a horonyszámok és kivezetések elhelyezését stb.</t>
  </si>
  <si>
    <t>Ezt a sorosítást a program vékony vonalakkal jelöli (Sorosítás=1). Különleges esetekben a sorosítandó szomszédos tekercsek menetiránya eltérő is lehet. Példa: 48 horony, 44 pólus.</t>
  </si>
  <si>
    <t>A háromfázisú tört horonyszámú (pl. q tört része = 1/3, 2/3) közelitőleg szimmetrikus (kvázi-szimmetrikus) tekercselések (pl. 48 horony 6 pólus) tervezése is lehetséges.</t>
  </si>
  <si>
    <t>spec</t>
  </si>
  <si>
    <t>A program többfázisú kétréteges szimmetrikus tekercselések tervezésére és rajzolására alkalmas, bármely (tört vagy egész)  q (pólusonkénti és fázisonkénti horonyszám) esetén.</t>
  </si>
  <si>
    <t>- Tekercselési tényező (háromfázisú, nem teljesen szimmetrikus esetek matt mindhárom fázisra külön is)</t>
  </si>
  <si>
    <t>- A fázisfeszültség vektor összetevői a horonyfeszültség-csillag alapján (csak az egyik rétegre). Az eredő vektorok nagysága, szöge, és a szögek közötti különbség (fázis-szögek).</t>
  </si>
  <si>
    <t>Vannak a szakirodalomból kevéssé ismert, de a gyakorlatban előforduló kissé aszimmetrikus esetek, amelyre a fenti két módszer nem ad eléggé szimmetrikus tekercselést.</t>
  </si>
  <si>
    <t>Ilyen eset az a tört horonyszámú eset, amikor q tört részének a nevezője osztható a fázisszámmal (pl. m=3, z=48, 2p=6).</t>
  </si>
  <si>
    <t>A tekercselés tervezése</t>
  </si>
  <si>
    <t>22.P-h36p8y5Liker1r</t>
  </si>
  <si>
    <t>22.Z=36, 2p=8, Y=5 PAM 6/8 pólus, Liker, 1 réteges</t>
  </si>
  <si>
    <t>23.Z=36, 2p=6, Y=5 PAM 6/8 pólus, Liker, 1 réteges</t>
  </si>
  <si>
    <t>23.p-h36p6y5Liker1r</t>
  </si>
  <si>
    <t>A tervezésre ez a "W-Design-hu.xls" Excel fájl szolgál, amely a megfelelő  VBA programot is tartalmazza, és Microsoft Office 2000 vagy ennél magasabb verziójú rendszerek alatt futtatható.</t>
  </si>
  <si>
    <t>A program a megtervezett kétréteges tekercseléshez a tekercselési vázlatot is képes megrajzolni, de csak 3 fázisú tekercselésekhez.</t>
  </si>
  <si>
    <t>A 3-fázisú kvázi szimmetrikus tekercseléseknél (pl. m=3, Z=48, 2p=6) a V és W fázis kivezetéseit nem rajzolja ki a program, és a párhuzamos kapcsolást ilyenkor érdemes manuálisan is ellenőrizni.</t>
  </si>
  <si>
    <t>Tekercselési séma (vázlat) rajzolása 3-fázisú tekercselésekhez</t>
  </si>
  <si>
    <t>Csak az U fázis kapcsolásai lesznek teljesen kirajzolva, a V és W fázisoknál csak a kivezetéseket rajzolja ki a program (szimmetrikus tekercselésnél ez elég is lehet).</t>
  </si>
  <si>
    <t>Fmin%</t>
  </si>
  <si>
    <t>Fmax%</t>
  </si>
  <si>
    <t>Fmin</t>
  </si>
  <si>
    <t>Fmax</t>
  </si>
  <si>
    <t>F%Varga=Tekt*2p_alap/(Tekt_alap*2p_harm)*100</t>
  </si>
  <si>
    <t>F%Varga</t>
  </si>
  <si>
    <t>Varga teszt</t>
  </si>
  <si>
    <t>A "Layout" munkalap A4 cellájára kattintva 4. pontban lévő példákat listából is kiválaszthatjuk. (a lista bővítéséhez az "adatok/érvényesítés Excel menüpont használható) .</t>
  </si>
  <si>
    <t xml:space="preserve">Háromfázisú tekercselésnél ilyenkor nem csak a beállított 1. vagy 2. módszereket választhatjuk. Ilyenkor futás közben egy speciális módszert ajánl fel a program. </t>
  </si>
  <si>
    <t>Ha a feltett kérdésre nemmel válaszolunk, akkor marad az 1. vagy 2. módszer (ezeket egyébként listából egérrel is beállíthatjuk, csak rá kell kattintani az A5 cellára).</t>
  </si>
  <si>
    <t>http://dmcritchie.mvps.org/excel/colors.htm</t>
  </si>
  <si>
    <t>Default</t>
  </si>
  <si>
    <t>AutoCad</t>
  </si>
  <si>
    <t>Interior</t>
  </si>
  <si>
    <t>Font</t>
  </si>
  <si>
    <t>[Color 1]</t>
  </si>
  <si>
    <t>[Color 2]</t>
  </si>
  <si>
    <t>[Color 3]</t>
  </si>
  <si>
    <t>[Color 4]</t>
  </si>
  <si>
    <t>[Color 5]</t>
  </si>
  <si>
    <t>[Color 6]</t>
  </si>
  <si>
    <t>[Color 7]</t>
  </si>
  <si>
    <t>[Color 8]</t>
  </si>
  <si>
    <t>[Color 9]</t>
  </si>
  <si>
    <t>[Color 10]</t>
  </si>
  <si>
    <t>[Color 11]</t>
  </si>
  <si>
    <t>[Color 12]</t>
  </si>
  <si>
    <t>[Color 13]</t>
  </si>
  <si>
    <t>[Color 14]</t>
  </si>
  <si>
    <t>[Color 15]</t>
  </si>
  <si>
    <t>[Color 16]</t>
  </si>
  <si>
    <t>[Color 17]</t>
  </si>
  <si>
    <t>[Color 18]</t>
  </si>
  <si>
    <t>[Color 19]</t>
  </si>
  <si>
    <t>[Color 20]</t>
  </si>
  <si>
    <t>[Color 21]</t>
  </si>
  <si>
    <t>[Color 22]</t>
  </si>
  <si>
    <t>[Color 23]</t>
  </si>
  <si>
    <t>[Color 24]</t>
  </si>
  <si>
    <t>[Color 25]</t>
  </si>
  <si>
    <t>[Color 26]</t>
  </si>
  <si>
    <t>[Color 27]</t>
  </si>
  <si>
    <t>[Color 28]</t>
  </si>
  <si>
    <t>[Color 29]</t>
  </si>
  <si>
    <t>[Color 30]</t>
  </si>
  <si>
    <t>[Color 31]</t>
  </si>
  <si>
    <t>[Color 32]</t>
  </si>
  <si>
    <t>[Color 33]</t>
  </si>
  <si>
    <t>[Color 34]</t>
  </si>
  <si>
    <t>[Color 35]</t>
  </si>
  <si>
    <t>[Color 36]</t>
  </si>
  <si>
    <t>[Color 37]</t>
  </si>
  <si>
    <t>[Color 38]</t>
  </si>
  <si>
    <t>[Color 39]</t>
  </si>
  <si>
    <t>[Color 40]</t>
  </si>
  <si>
    <t>[Color 41]</t>
  </si>
  <si>
    <t>[Color 42]</t>
  </si>
  <si>
    <t>[Color 43]</t>
  </si>
  <si>
    <t>[Color 44]</t>
  </si>
  <si>
    <t>[Color 45]</t>
  </si>
  <si>
    <t>[Color 46]</t>
  </si>
  <si>
    <t>[Color 47]</t>
  </si>
  <si>
    <t>[Color 48]</t>
  </si>
  <si>
    <t>[Color 49]</t>
  </si>
  <si>
    <t>[Color 50]</t>
  </si>
  <si>
    <t>[Color 51]</t>
  </si>
  <si>
    <t>[Color 52]</t>
  </si>
  <si>
    <t>[Color 53]</t>
  </si>
  <si>
    <t>[Color 54]</t>
  </si>
  <si>
    <t>[Color 55]</t>
  </si>
  <si>
    <t>[Color 56]</t>
  </si>
  <si>
    <t>Red</t>
  </si>
  <si>
    <t>Green</t>
  </si>
  <si>
    <t>Blue</t>
  </si>
  <si>
    <t>Color</t>
  </si>
  <si>
    <t>Name</t>
  </si>
  <si>
    <t>[Color 1)</t>
  </si>
  <si>
    <t>[Black]</t>
  </si>
  <si>
    <t>[Color 2)</t>
  </si>
  <si>
    <t>[White]</t>
  </si>
  <si>
    <t>[Color 3)</t>
  </si>
  <si>
    <t>[Red]</t>
  </si>
  <si>
    <t>[Color 4)</t>
  </si>
  <si>
    <t>[Green]</t>
  </si>
  <si>
    <t>[Color 5)</t>
  </si>
  <si>
    <t>[Blue]</t>
  </si>
  <si>
    <t>[Color 6)</t>
  </si>
  <si>
    <t>[Yellow]</t>
  </si>
  <si>
    <t>[Color 7)</t>
  </si>
  <si>
    <t>[Magenta]</t>
  </si>
  <si>
    <t>[Color 8)</t>
  </si>
  <si>
    <t>[Cyan]</t>
  </si>
  <si>
    <t>[Color 9)</t>
  </si>
  <si>
    <t>[Color 10)</t>
  </si>
  <si>
    <t>[Color 11)</t>
  </si>
  <si>
    <t>[Color 12)</t>
  </si>
  <si>
    <t>15.p-h36p6y6Varga</t>
  </si>
  <si>
    <t>15.Z=36, 2p=6, Y=6 PAM 6/8 pólus, Varga</t>
  </si>
  <si>
    <t>16.h30p2y13</t>
  </si>
  <si>
    <t>16. Z=60, 2p=4, Y=13/15, átlagosan 4.4 menet/tekercs</t>
  </si>
  <si>
    <t>17.P-h36p6y6</t>
  </si>
  <si>
    <t>17. Z=36, 2p=6, Y=6 PAM 6/4 pólus AOS</t>
  </si>
  <si>
    <t>18. Z=36, 2p=4, Y=6 PAM 6/4 pólus AOS 206-9042</t>
  </si>
  <si>
    <t>18.p-h36p4y6</t>
  </si>
  <si>
    <t>[Color 13)</t>
  </si>
  <si>
    <t>[Color 14)</t>
  </si>
  <si>
    <t>[Color 15)</t>
  </si>
  <si>
    <t>[Color 16)</t>
  </si>
  <si>
    <t>[Color 17)</t>
  </si>
  <si>
    <t>[Color 18)</t>
  </si>
  <si>
    <t>[Color 19)</t>
  </si>
  <si>
    <t>[Color 20)</t>
  </si>
  <si>
    <t>[Color 21)</t>
  </si>
  <si>
    <t>[Color 22)</t>
  </si>
  <si>
    <t>[Color 23)</t>
  </si>
  <si>
    <t>[Color 24)</t>
  </si>
  <si>
    <t>[Color 25)</t>
  </si>
  <si>
    <t>[Color 26)</t>
  </si>
  <si>
    <t>[Color 27)</t>
  </si>
  <si>
    <t>[Color 28)</t>
  </si>
  <si>
    <t>[Color 29)</t>
  </si>
  <si>
    <t>[Color 30)</t>
  </si>
  <si>
    <t>[Color 31)</t>
  </si>
  <si>
    <t>[Color 32)</t>
  </si>
  <si>
    <t>[Color 33)</t>
  </si>
  <si>
    <t>[Color 34)</t>
  </si>
  <si>
    <t>[Color 35)</t>
  </si>
  <si>
    <t>[Color 36)</t>
  </si>
  <si>
    <t>[Color 37)</t>
  </si>
  <si>
    <t>[Color 38)</t>
  </si>
  <si>
    <t>[Color 39)</t>
  </si>
  <si>
    <t>[Color 40)</t>
  </si>
  <si>
    <t>[Color 41)</t>
  </si>
  <si>
    <t>[Color 42)</t>
  </si>
  <si>
    <t>[Color 43)</t>
  </si>
  <si>
    <t>[Color 44)</t>
  </si>
  <si>
    <t>[Color 45)</t>
  </si>
  <si>
    <t>[Color 46)</t>
  </si>
  <si>
    <t>[Color 47)</t>
  </si>
  <si>
    <t>[Color 48)</t>
  </si>
  <si>
    <t>[Color 49)</t>
  </si>
  <si>
    <t>[Color 50)</t>
  </si>
  <si>
    <t>[Color 51)</t>
  </si>
  <si>
    <t>[Color 52)</t>
  </si>
  <si>
    <t>[Color 53)</t>
  </si>
  <si>
    <t>[Color 54)</t>
  </si>
  <si>
    <t>[Color 55)</t>
  </si>
  <si>
    <t>[Color 56)</t>
  </si>
  <si>
    <t>Alap Fd+Fi=</t>
  </si>
  <si>
    <t>Autocad</t>
  </si>
  <si>
    <t>Lista:</t>
  </si>
  <si>
    <t>x0</t>
  </si>
  <si>
    <t>y0</t>
  </si>
  <si>
    <t>e</t>
  </si>
  <si>
    <t>A-vastag</t>
  </si>
  <si>
    <t>B-vastag</t>
  </si>
  <si>
    <t>C-vastag</t>
  </si>
  <si>
    <t>A-szin</t>
  </si>
  <si>
    <t>B-szin</t>
  </si>
  <si>
    <t>C-szin</t>
  </si>
  <si>
    <t>A-stilus</t>
  </si>
  <si>
    <t>B-stilus</t>
  </si>
  <si>
    <t>C-stilus</t>
  </si>
  <si>
    <t>Széles</t>
  </si>
  <si>
    <t>Kivezetés</t>
  </si>
  <si>
    <t>Tekercsek</t>
  </si>
  <si>
    <t>Hornyok</t>
  </si>
  <si>
    <t>Kivez.táv</t>
  </si>
  <si>
    <t>Sorosítás</t>
  </si>
  <si>
    <t>SorosMód</t>
  </si>
  <si>
    <t>Hvastag</t>
  </si>
  <si>
    <t>Hszin</t>
  </si>
  <si>
    <t>Hstilus</t>
  </si>
  <si>
    <t>MMF</t>
  </si>
  <si>
    <t>MMF%</t>
  </si>
  <si>
    <t>http://sub-atomic.com/~moses/acadcolors.html</t>
  </si>
  <si>
    <t>Excel</t>
  </si>
  <si>
    <t>ForeColor</t>
  </si>
  <si>
    <t>Layer</t>
  </si>
  <si>
    <t>W</t>
  </si>
  <si>
    <t>SZOVEG</t>
  </si>
  <si>
    <t>(defun c:colortolayer ()</t>
  </si>
  <si>
    <t>(setq orgcolor (ssget "x" '((62 . 1))))</t>
  </si>
  <si>
    <t>(command "change" orgcolor "" "p" "la" "W" "")</t>
  </si>
  <si>
    <t>(command "change" orgcolor "" "p" "c" "bylayer" "")</t>
  </si>
  <si>
    <t>(setq orgcolor (ssget "x" '((62 . 2))))</t>
  </si>
  <si>
    <t>(command "change" orgcolor "" "p" "la" "V" "")</t>
  </si>
  <si>
    <t>(setq orgcolor (ssget "x" '((62 . 3))))</t>
  </si>
  <si>
    <t>(command "change" orgcolor "" "p" "la" "U" "")</t>
  </si>
  <si>
    <t>(setq orgcolor (ssget "x" '((62 . 6))))</t>
  </si>
  <si>
    <t>(command "change" orgcolor "" "p" "la" "SZOVEG" "")</t>
  </si>
  <si>
    <t>(princ)</t>
  </si>
  <si>
    <t>)</t>
  </si>
  <si>
    <t>Használat:</t>
  </si>
  <si>
    <t>A colortolayer.lsp fájlnak ugyanabban a mappában kell lennie,</t>
  </si>
  <si>
    <t>ahol a W-design-Template.dwg fájl is van.</t>
  </si>
  <si>
    <t>colortolayer</t>
  </si>
  <si>
    <t>Enter után ezt a parancsot írjuk be (vagy innen kimásoljuk):</t>
  </si>
  <si>
    <t>6.</t>
  </si>
  <si>
    <t>Implementáció munkalapfüggvényekkel</t>
  </si>
  <si>
    <t xml:space="preserve">Az alábbi két táblázat a fenti (Szergejev féle) módszer implementációja (m, Z és 2p kitöltendő) </t>
  </si>
  <si>
    <t>7.</t>
  </si>
  <si>
    <t>8.</t>
  </si>
  <si>
    <t>Példák</t>
  </si>
  <si>
    <t>Re(I)</t>
  </si>
  <si>
    <t>Im(I)</t>
  </si>
  <si>
    <t>A feszültségcsillag vektorok kézileges összegzése (pl. egymásba indukálás vizsgálatához)</t>
  </si>
  <si>
    <t>Ezzel a módszerrel három feszültségvektort állíthatunk össze. Az összegzés a "Vektorok" mezőre kattintva indítható. Az eredményt a negyedik (legalsó) diagramon láthatjuk.</t>
  </si>
  <si>
    <t>A vektorok eredője és szöge számszerüleg is ki van írva. Mindhárom vektor a 0 pontban kezdődik. A tervezettől eltérő pólusszámú mező is beadható, így ezzel az esetleges egymásba indukálás is vizsgálható.</t>
  </si>
  <si>
    <t>Példa: Z=48, 2p=4, Y=10 tekercselést kétféleképpen köthetünk 2// ágba: 1-2;3-4 és 1-3; 2-4. Ha azonban a 4 pólusú tekercselés mellett egy független 6 pólusú tekercselés is van a hornyokban,</t>
  </si>
  <si>
    <t>akkor a 6 pólusú mező az 1-2 és a 3-4 ágakban azonos nagyságú, de ellentétes előjelű feszültséget indukál, így ezeket nem köthetjük párhuzamosan. Az 1-3;2-4 jellegű párhuzamosítás esetén a két ágban</t>
  </si>
  <si>
    <t>az indukát feszültség nulla, így ezeket az ágakat párhuzamosan köthetjük akkor is, ha a 6 pólusú tekercselés be van kapcsolva. A vizsgált (bekapcsolt) mező pólusszámát a B61 mezőbe kell beírni.</t>
  </si>
  <si>
    <t>A Layout munkalapon a fázisvektorok diagramja mellett jobbra találhatók az F1, F2, F3 jelű oszlopok, amelyekbe az összegzendő vektorok sorszámait rákattintással (3 és 4 sor), vagy akár kézileg is beírhatjuk.</t>
  </si>
  <si>
    <t>Ha a diagramon nem látszik az összes vektor, akkor növeljük meg a diagram skáláját (C70 cella).</t>
  </si>
  <si>
    <t>A Settings munkalapon azt is beállíthatjuk, hogy a séma vonalainak a szinezése és vastagsága "Default" vagy "AutoCad" jellegű legyen.</t>
  </si>
  <si>
    <t>"AutoCad" esetén a séma fekete hátterű AutoCad képernyőhöz lesz optimalizálva. A sémát a Copy gombbal a vágólapra, majd onnan az AutoCad-be másolhatjuk (bővebb leírása a Settings munkalapon).</t>
  </si>
  <si>
    <t>(load "colortolayer")</t>
  </si>
  <si>
    <t>Ez egy eléggé általános módszer, amely Szergejev könyv [1] 66-67 oldalán leírt eljárással azonos, és egész horonyszámnál is érvényes. Ilyenkor az A5 cellába "1" írandó.</t>
  </si>
  <si>
    <t>Ezt a módszert kissé módosítva bizonyos esetekben (pl. m=2, z=18, 2p=4) javítható a fázisok szimmetriája. Ilyenkor az A5 cellába "2" írandó.</t>
  </si>
  <si>
    <t>- Gerjesztési görbe (lépcsős görbe, MMF diagram) és annak alapharmonikusa 1 menet/tekercs esetén beadható villamos szöggel eltolt . Fázisáramokra (Animáció).</t>
  </si>
  <si>
    <t>2// 1-2;3-4 Egymás melletti csoportok sorosítva (pl. 1-4 és 7-10)</t>
  </si>
  <si>
    <t>2// 1-3;2-4 A csoportok vegyesen sorosítva (pl. 1-7;4-10 vagy 1-10;4;13;7-16)</t>
  </si>
  <si>
    <t>4//</t>
  </si>
  <si>
    <t>Ugrás a gerjesztési görbéhez.</t>
  </si>
  <si>
    <t>Fázisok száma</t>
  </si>
  <si>
    <t>A fázisokhoz tartozó tekercsoldalak jelölése A B C (pozitív irányú vagy elmenő) és A' B' C' (negatív irányú vagy visszatérő tekercsoldal).</t>
  </si>
  <si>
    <t>Horonyszám</t>
  </si>
  <si>
    <t>Minden fázisra azonos horonyszámnak kell jutnia, hogy a fázisok egyensúlyban legyenek (szimmetrikus tekercselés).</t>
  </si>
  <si>
    <t>Pólusok száma</t>
  </si>
  <si>
    <t>Nem kell minden pólusra egyforma horonyszának esnie (q=tört szám is lehet).</t>
  </si>
  <si>
    <t>Tekercslépés</t>
  </si>
  <si>
    <t>Egy tekercsnek két oldala van, melyek között ennyi a távolság. A tekercsfej segítségével ezeket egymással szembe kapcsoljuk (vég a véggel).</t>
  </si>
  <si>
    <t>Ya=</t>
  </si>
  <si>
    <t>Ya=Z/2p</t>
  </si>
  <si>
    <t>Átmérős (optimális) lépésnek nevezik. Ez adja a legnagyobb indukált feszültséget.</t>
  </si>
  <si>
    <t>q=Z/2p/m</t>
  </si>
  <si>
    <t>Fázisonként egy pólusra ennyi horony jut (pólusonkéti és fázisonkénti horonyszám). Lehet tört is, ha a fázisokban így is azonos feszültség indukálódik.</t>
  </si>
  <si>
    <t>Két szomszédos horony fáziskülönbsége (a köztük lévő villamos szög) "horonyszög".</t>
  </si>
  <si>
    <t>A pólusok villamos értelemben egymástól 180 fokra vannak és a teljes 360 fokos geometriai síkot elfoglalják. Ezért 1 villamos fok = p * geometriai fok.</t>
  </si>
  <si>
    <t>180/m</t>
  </si>
  <si>
    <t>3ph*=</t>
  </si>
  <si>
    <t>Annak illusztrálása, hogy az egymás melett lévő q csoport (q darab horony) 60 villamos fokot foglal el.</t>
  </si>
  <si>
    <t>360/m</t>
  </si>
  <si>
    <t>A fázisok közötti villamos szöghöz (120 fok) tehát 2q horonyszám kell. Ennyi hornyot egymás mellet is elhelyezhetünk (120 fokos fáziszóna).</t>
  </si>
  <si>
    <t>Fázis-zóna</t>
  </si>
  <si>
    <t>A fent említett 120 fokos fázis-zónánál előnyösebb elrendezést is találhatunk (60 fokos fáziszóna, aminek a magyarázata a következő sorokban található).</t>
  </si>
  <si>
    <t>Két különböző pólusra jutó hornyok (q csoportok) vezetőiben az indukált feszültség ellentétes fázisú, ezért 2 ellentétes pólust egymással szembe kapcsolhatunk.</t>
  </si>
  <si>
    <t>Ebből az következik, hogy elegendő az egy q -csoportba tartozó hornyokat egymás mellet elhelyezni, így az azonos fázishoz tartozó q csoportok között 180 villamos fok lesz.</t>
  </si>
  <si>
    <t>Ezt az elrendezést "60 fokos fázis-zónának nevezik. Ennek az előnye abban áll, hogy csak fele annyi horony feszültségét kell vektorosan összeadni a 120 fokos fáziszónához képest.</t>
  </si>
  <si>
    <t>Tervezési szempontok</t>
  </si>
  <si>
    <t>Az 1. pontban említett A B C és A' B' C' tekercs oldalakat elhelyezhetjük úgy is, hogy egy tekercs oldal az egész hornyot elfoglalja (telehornyos vag egyréteges).</t>
  </si>
  <si>
    <t>Ilyenkor a tekercs másik oldala is elfoglal egy másik hornyot, így a tekercsek száma a hornyszám fele, a tekercslépés pedig csak átmérős lehet.</t>
  </si>
  <si>
    <t>Ha viszont egy tekercsoldal csak a horony felét tölti ki, akkor a két tekercs oldal egymáshoz közelebb is lehet (lépésrövidítés).</t>
  </si>
  <si>
    <t>A tekercselés tervezésekor néhányt, egymásnak ellentmondó követelményt igyekszünk teljesíteni, például:</t>
  </si>
  <si>
    <t>a) A lehető legnagyobb feszültség indukálódjon a tekercselésben.</t>
  </si>
  <si>
    <t>b) A gerjesztési görbének ne legyen sok felharmonikusa (5 és 7 a legveszélyesebb).</t>
  </si>
  <si>
    <t>Az kis horonyszámú átmérős tekercselésben indukálódik a lagnagyobb feszültség, így ez adja a legjobb kihasználást, de ennek a gerjesztési görbéjében van a legtöbb felharmonikus.</t>
  </si>
  <si>
    <t>A lépésrövidítéssel, vagy a horonyszám növelésével az indukát feszültség és így a kihasználtság is csökken, de a gerjestési görbéből kiszürhetjük a legkárosabb (5, 7) harmonikusokat.</t>
  </si>
  <si>
    <t>A tekercselés tervezése abból áll, hogy az A B C és A' B' C' tekercs oldalakat optimálisan osszuk el a hornyokban (nevezik ezt tekercs kiosztásnak is).</t>
  </si>
  <si>
    <t>Ha 2*q tekercsoldalt helyezünk egymás mellé (120 fokos fázis-zóna), akkor a tekercsoldalak sorrendje A B C, 60 fokos fázis-zóna esetén pedig A C' B A' C B' lesz.</t>
  </si>
  <si>
    <t>EMF=Indukált feszültség</t>
  </si>
  <si>
    <t>Példák a tekercskiosztásokra</t>
  </si>
  <si>
    <t>Harmonikus=</t>
  </si>
  <si>
    <t>Választék</t>
  </si>
  <si>
    <t>Azonosító</t>
  </si>
  <si>
    <t>Vége</t>
  </si>
  <si>
    <t>Szorzó=</t>
  </si>
  <si>
    <t>MMF=Gerjesztés</t>
  </si>
  <si>
    <t>Fázis</t>
  </si>
  <si>
    <t>Áram</t>
  </si>
  <si>
    <t>Inv.Fázis</t>
  </si>
  <si>
    <t>Harm.</t>
  </si>
  <si>
    <t>arctan2(x;y)</t>
  </si>
  <si>
    <t>Az EMF diagram vektorainak számítása</t>
  </si>
  <si>
    <t>EMF szög:</t>
  </si>
  <si>
    <t>Xa</t>
  </si>
  <si>
    <t>Ya</t>
  </si>
  <si>
    <t>Xb</t>
  </si>
  <si>
    <t>Yb</t>
  </si>
  <si>
    <t>Xc</t>
  </si>
  <si>
    <t>Yc</t>
  </si>
  <si>
    <t>MMF kezdőszög:</t>
  </si>
  <si>
    <t>EMF amplitúdó:</t>
  </si>
  <si>
    <t>Alapharmonikus pólusszáma 2p=</t>
  </si>
  <si>
    <t>deg</t>
  </si>
  <si>
    <t>Ugrás a példákhoz.</t>
  </si>
  <si>
    <t>EMF amplitúdó a diagramhoz:</t>
  </si>
  <si>
    <t>Amplitúdó:</t>
  </si>
  <si>
    <t>A fázisok térbeli szögei:</t>
  </si>
  <si>
    <t>Gerj^2</t>
  </si>
  <si>
    <t>alapharmonikusa</t>
  </si>
  <si>
    <t>Alap 2p=</t>
  </si>
  <si>
    <t>Kezdőszög=</t>
  </si>
  <si>
    <t>Sum:</t>
  </si>
  <si>
    <t>Légrés</t>
  </si>
  <si>
    <t>arctan2:</t>
  </si>
  <si>
    <t>Horony</t>
  </si>
  <si>
    <t>Harm. 2p=</t>
  </si>
  <si>
    <t>Lépcsők</t>
  </si>
  <si>
    <t>Korrekció=</t>
  </si>
  <si>
    <t>szóráshoz</t>
  </si>
  <si>
    <t>Rét.1</t>
  </si>
  <si>
    <t>Rét.2</t>
  </si>
  <si>
    <t>Vez.1</t>
  </si>
  <si>
    <t>Vez.2</t>
  </si>
  <si>
    <t>Gerj.Rét.1</t>
  </si>
  <si>
    <t>Gerj.Rét.2</t>
  </si>
  <si>
    <t>Görbe</t>
  </si>
  <si>
    <t>Görbe-korr.</t>
  </si>
  <si>
    <t>Sin</t>
  </si>
  <si>
    <t>A2</t>
  </si>
  <si>
    <t>B1</t>
  </si>
  <si>
    <t>B2</t>
  </si>
  <si>
    <t>C1</t>
  </si>
  <si>
    <t>C2</t>
  </si>
  <si>
    <t>Afesz</t>
  </si>
  <si>
    <t>Bfesz</t>
  </si>
  <si>
    <t>Cfesz</t>
  </si>
  <si>
    <t>Re(A)</t>
  </si>
  <si>
    <t>Re(B)</t>
  </si>
  <si>
    <t>Im(B)</t>
  </si>
  <si>
    <t>Re(C)</t>
  </si>
  <si>
    <t>Im(C)</t>
  </si>
  <si>
    <t>Avez</t>
  </si>
  <si>
    <t>Bvez</t>
  </si>
  <si>
    <t>Cvez</t>
  </si>
  <si>
    <t>Acos</t>
  </si>
  <si>
    <t>Asin</t>
  </si>
  <si>
    <t>Bcos</t>
  </si>
  <si>
    <t>Bsin</t>
  </si>
  <si>
    <t>Ccos</t>
  </si>
  <si>
    <t>Csin</t>
  </si>
  <si>
    <t>29.h</t>
  </si>
  <si>
    <t>30.h</t>
  </si>
  <si>
    <t>31.h</t>
  </si>
  <si>
    <t>32.h</t>
  </si>
  <si>
    <t>33.h</t>
  </si>
  <si>
    <t>34.h</t>
  </si>
  <si>
    <t>35.h</t>
  </si>
  <si>
    <t>36.h</t>
  </si>
  <si>
    <t>37.h</t>
  </si>
  <si>
    <t>38.h</t>
  </si>
  <si>
    <t>39.h</t>
  </si>
  <si>
    <t>40.h</t>
  </si>
  <si>
    <t>9.</t>
  </si>
  <si>
    <t>A váltakozóáramú tekercselések tervezéséről</t>
  </si>
  <si>
    <t>Budapest, 2012-2013-2017</t>
  </si>
  <si>
    <t>Automata</t>
  </si>
  <si>
    <t>Kézi</t>
  </si>
  <si>
    <t>1. Layout-ból</t>
  </si>
  <si>
    <t xml:space="preserve">  2. Adatbázisból</t>
  </si>
  <si>
    <t>Help</t>
  </si>
  <si>
    <t>A-tengely</t>
  </si>
  <si>
    <t>B-tengely</t>
  </si>
  <si>
    <t>C-tengely</t>
  </si>
  <si>
    <t>Is=</t>
  </si>
  <si>
    <t>Ia</t>
  </si>
  <si>
    <t>Ib</t>
  </si>
  <si>
    <t>Ic</t>
  </si>
  <si>
    <t>a-vetület</t>
  </si>
  <si>
    <t>b-vetület</t>
  </si>
  <si>
    <t>c-vetület</t>
  </si>
  <si>
    <t>Is_pont</t>
  </si>
  <si>
    <t>Park vektor feltétel:</t>
  </si>
  <si>
    <t>Is_vonal</t>
  </si>
  <si>
    <t>Feltételes Is</t>
  </si>
  <si>
    <t>Az Autocad parancssorába beirjuk (vagy innen kimásoljuk):</t>
  </si>
  <si>
    <t>Légrésszórási tény.:</t>
  </si>
  <si>
    <t>A fázisok közötti szögek:</t>
  </si>
  <si>
    <t>A-C</t>
  </si>
  <si>
    <t>B-A</t>
  </si>
  <si>
    <t>A fázisok közötti szögek pozitív értelemben:</t>
  </si>
  <si>
    <t>Szög</t>
  </si>
  <si>
    <t>EMF-max=</t>
  </si>
  <si>
    <t>A gerjesztési görbe</t>
  </si>
  <si>
    <t>A fázis</t>
  </si>
  <si>
    <t>B fázis</t>
  </si>
  <si>
    <t>C fázis</t>
  </si>
  <si>
    <t>B-A fázis</t>
  </si>
  <si>
    <t>C-B fázis</t>
  </si>
  <si>
    <t>Fázis-zóna=</t>
  </si>
  <si>
    <t>Vonali feszültségek:</t>
  </si>
  <si>
    <t>Vonali</t>
  </si>
  <si>
    <t>C-B</t>
  </si>
  <si>
    <t>Ua</t>
  </si>
  <si>
    <t>Ub</t>
  </si>
  <si>
    <t>Uc</t>
  </si>
  <si>
    <t>Ua-c</t>
  </si>
  <si>
    <t>Ub-a</t>
  </si>
  <si>
    <t>Uc-b</t>
  </si>
  <si>
    <t>4. Harmónikus analízis</t>
  </si>
  <si>
    <t>Max.2p=</t>
  </si>
  <si>
    <t>Alapharm:</t>
  </si>
  <si>
    <t>Az A fázist 0 szögbe forgatva:</t>
  </si>
  <si>
    <t>Forgási sebesség:</t>
  </si>
  <si>
    <t>Arányos</t>
  </si>
  <si>
    <t>Választási listák</t>
  </si>
  <si>
    <t>&gt;10</t>
  </si>
  <si>
    <t>R2=</t>
  </si>
  <si>
    <t>X2=</t>
  </si>
  <si>
    <t>Xm=</t>
  </si>
  <si>
    <t>Cst=</t>
  </si>
  <si>
    <t>R2n</t>
  </si>
  <si>
    <t>X2n</t>
  </si>
  <si>
    <t>Xmn</t>
  </si>
  <si>
    <t>Za</t>
  </si>
  <si>
    <t>Xma</t>
  </si>
  <si>
    <t>Ef</t>
  </si>
  <si>
    <t>Ed</t>
  </si>
  <si>
    <t>Harmonikus analízis az Analysis2 munkalapon kiválasztott tekercseléshez.</t>
  </si>
  <si>
    <t>Forrás:</t>
  </si>
  <si>
    <t>ReZ</t>
  </si>
  <si>
    <t>ImZ</t>
  </si>
  <si>
    <t>41.h</t>
  </si>
  <si>
    <t>42.h</t>
  </si>
  <si>
    <t>43.h</t>
  </si>
  <si>
    <t>44.h</t>
  </si>
  <si>
    <t>45.h</t>
  </si>
  <si>
    <t>46.h</t>
  </si>
  <si>
    <t>47.h</t>
  </si>
  <si>
    <t>48.h</t>
  </si>
  <si>
    <t>49.h</t>
  </si>
  <si>
    <t>A fázisokszögek pozitív értelemben:</t>
  </si>
  <si>
    <t>Fb-vissz</t>
  </si>
  <si>
    <t>F0=</t>
  </si>
  <si>
    <t>Fa-vissz,Fb-vissz,Fc-vissz, F0.-ből:</t>
  </si>
  <si>
    <t>Fa-vissz</t>
  </si>
  <si>
    <t>Fc-vissz</t>
  </si>
  <si>
    <t>50.h</t>
  </si>
  <si>
    <t>Az alapharmónikus fázisonkénti gerjesztési görbéi a fázisok térbeli szögeihez.</t>
  </si>
  <si>
    <t>Szinuszgörbe kirajzolva:</t>
  </si>
  <si>
    <t>Szin. g.</t>
  </si>
  <si>
    <t>Sebesség=</t>
  </si>
  <si>
    <t>x</t>
  </si>
  <si>
    <t>Fia3-c=</t>
  </si>
  <si>
    <t>Fda3-c=</t>
  </si>
  <si>
    <t>Fia3=</t>
  </si>
  <si>
    <t>Fda3=</t>
  </si>
  <si>
    <t>Fia2-c=</t>
  </si>
  <si>
    <t>Fda2-c=</t>
  </si>
  <si>
    <t>Fia2=</t>
  </si>
  <si>
    <t>Fda2=</t>
  </si>
  <si>
    <t>Fia+Fda=</t>
  </si>
  <si>
    <t>Fi+Fd(3a)=</t>
  </si>
  <si>
    <t>Fi+Fd(2a)=</t>
  </si>
  <si>
    <t>Alapharmonikus Fi és Fd</t>
  </si>
  <si>
    <t>Az esetleges üres tekercsoldalak helyére "x" írandó.</t>
  </si>
  <si>
    <t>Fázis szögek pozitív értelemben:</t>
  </si>
  <si>
    <t>a=</t>
  </si>
  <si>
    <t>Fi+Fd=Fmax</t>
  </si>
  <si>
    <t>Fi-Fd=Fmin</t>
  </si>
  <si>
    <t>Harmonikus amplitúdó=</t>
  </si>
  <si>
    <t>Irány=</t>
  </si>
  <si>
    <t>Forgásirány</t>
  </si>
  <si>
    <t>Finv%</t>
  </si>
  <si>
    <t>Fdir%</t>
  </si>
  <si>
    <t>5. EMF, Fd, Fi, tekercselési tényező és légrésszórási tényező</t>
  </si>
  <si>
    <t>Fd, Fi képletekhez:</t>
  </si>
  <si>
    <t>Re(Fa)</t>
  </si>
  <si>
    <t>Im(Fa)</t>
  </si>
  <si>
    <t>Re(Fb)</t>
  </si>
  <si>
    <t>Im(Fb)</t>
  </si>
  <si>
    <t>Re(Fc)</t>
  </si>
  <si>
    <t>Im(Fc)</t>
  </si>
  <si>
    <t>&lt;-nincs használva</t>
  </si>
  <si>
    <t>&lt;-Kezdőszög pozitív értelemben</t>
  </si>
  <si>
    <t>Fi=</t>
  </si>
  <si>
    <t>Fd=</t>
  </si>
  <si>
    <t>Fmin=</t>
  </si>
  <si>
    <t>Fmax=</t>
  </si>
  <si>
    <t>Vonali feszültségek Re, Im:</t>
  </si>
  <si>
    <t xml:space="preserve">Az EMF diagram "órája" </t>
  </si>
  <si>
    <t>3. Érvényes kiosztás:</t>
  </si>
  <si>
    <t>Fi2=</t>
  </si>
  <si>
    <t>Fd2=</t>
  </si>
  <si>
    <t>Fmin2=</t>
  </si>
  <si>
    <t>Fmax2=</t>
  </si>
  <si>
    <t>Kis elforgatási szög (2-5):</t>
  </si>
  <si>
    <t>Háromfázisú szimmetrikus összetevők</t>
  </si>
  <si>
    <t>Fi2=Fa+b*Fb=</t>
  </si>
  <si>
    <t>Fd2=b*Fa+Fb=</t>
  </si>
  <si>
    <t>Kétfázisú szimmetrikus összetevők</t>
  </si>
  <si>
    <t>Irány 3ph=</t>
  </si>
  <si>
    <t>Irány 2ph=</t>
  </si>
  <si>
    <t>Pozitív értelemben (VBA):</t>
  </si>
  <si>
    <t>Az aktuális harmónikus fázisonkénti gerjesztési görbéi.</t>
  </si>
  <si>
    <t>MMF_max</t>
  </si>
  <si>
    <t>.</t>
  </si>
  <si>
    <t>MMF amplitúdó:</t>
  </si>
  <si>
    <t>Kétfázis menetszám szorzó:</t>
  </si>
  <si>
    <t>Alfa2_i=</t>
  </si>
  <si>
    <t>Alfa2_d=</t>
  </si>
  <si>
    <t>Alfa_i=</t>
  </si>
  <si>
    <t>Alfa_d=</t>
  </si>
  <si>
    <t>MMF alak diagramhoz</t>
  </si>
  <si>
    <t>Xd</t>
  </si>
  <si>
    <t>Yd</t>
  </si>
  <si>
    <t>Xi</t>
  </si>
  <si>
    <t>Yi</t>
  </si>
  <si>
    <t>Ellipszis</t>
  </si>
  <si>
    <t>Kör_d</t>
  </si>
  <si>
    <t>Kör_i</t>
  </si>
  <si>
    <t>Alfa3i=</t>
  </si>
  <si>
    <t>Alfa3d=</t>
  </si>
  <si>
    <t>Fi_akt=</t>
  </si>
  <si>
    <t>Fd_akt=</t>
  </si>
  <si>
    <t>Fmax3ph</t>
  </si>
  <si>
    <t>Fmax2ph</t>
  </si>
  <si>
    <t>Horonyharmónikusok</t>
  </si>
  <si>
    <t>Harm1</t>
  </si>
  <si>
    <t>Harm2</t>
  </si>
  <si>
    <t>2p1</t>
  </si>
  <si>
    <t>2p2</t>
  </si>
  <si>
    <t>Stator</t>
  </si>
  <si>
    <t>Rotor</t>
  </si>
  <si>
    <t>2.h12p2y4ph2</t>
  </si>
  <si>
    <t>2.Z=12, 2p=4, Y=5 2-fázis 2/3+1/3 elliptikus mező.</t>
  </si>
  <si>
    <t>3.h18p4y4</t>
  </si>
  <si>
    <t>3.Z=18, 2p=4, Y=5 Egy 36 hornyos 8 pólusú tekercselés fele.</t>
  </si>
  <si>
    <t>4.h18p4y4ph2</t>
  </si>
  <si>
    <t>4.Z=18, 2p=4, Y=5 2-fázis 2/3+1/3 Elliptikus mező</t>
  </si>
  <si>
    <t>5.D-h18p8y3-9047</t>
  </si>
  <si>
    <t>6.d-h18p4y3-9047</t>
  </si>
  <si>
    <t>7.P-h36p10y3Kuti</t>
  </si>
  <si>
    <t>7.PAM Z=36, 2p=10, Y=3 PAM 8/10 pólus, Kuti 9.ábra</t>
  </si>
  <si>
    <t>8.p-h36p8y3Kuti</t>
  </si>
  <si>
    <t>8.PAM Z=36, 2p=8, Y=3 PAM 8/10 pólus, Kuti 9.ábra</t>
  </si>
  <si>
    <t>9.h36p16y2Liker</t>
  </si>
  <si>
    <t>9.Z=36, 2p=16, Y=2 Egyréteges Liker/Leroy féle</t>
  </si>
  <si>
    <t>10.k24p6y4r1</t>
  </si>
  <si>
    <t>10.Z=24, 2p=6, Y=4, Egyréteges kvázi szimmetrikus 9101</t>
  </si>
  <si>
    <t>11.P-h36p8y4Varga</t>
  </si>
  <si>
    <t>11.Z=36, 2p=8, Y=4 PAM 6/8 pólus, Varga</t>
  </si>
  <si>
    <t>12.p-h36p6y4Varga</t>
  </si>
  <si>
    <t>12.Z=36, 2p=6, Y=4 PAM 6/8 pólus, Varga</t>
  </si>
  <si>
    <t>13.h16p2y8r1Czebe</t>
  </si>
  <si>
    <t>13.Z=16 2p=2 Y=8 1réteges Czebe (4 üres horonnyal)</t>
  </si>
  <si>
    <t>14.P-h36p8y6Varga</t>
  </si>
  <si>
    <t>14.Z=36, 2p=8, Y=6 PAM 6/8 pólus, Varga</t>
  </si>
  <si>
    <t>24.h</t>
  </si>
  <si>
    <t>24h</t>
  </si>
  <si>
    <t>25.h</t>
  </si>
  <si>
    <t>25h</t>
  </si>
  <si>
    <t>26.h</t>
  </si>
  <si>
    <t>26h</t>
  </si>
  <si>
    <t>27.h</t>
  </si>
  <si>
    <t>27h</t>
  </si>
  <si>
    <t>28.h</t>
  </si>
  <si>
    <t>28h</t>
  </si>
  <si>
    <t>29h</t>
  </si>
  <si>
    <t>30h</t>
  </si>
  <si>
    <t>31h</t>
  </si>
  <si>
    <t>32h</t>
  </si>
  <si>
    <t>33h</t>
  </si>
  <si>
    <t>34h</t>
  </si>
  <si>
    <t>35h</t>
  </si>
  <si>
    <t>37h</t>
  </si>
  <si>
    <t>38h</t>
  </si>
  <si>
    <t>39h</t>
  </si>
  <si>
    <t>40h</t>
  </si>
  <si>
    <t>41h</t>
  </si>
  <si>
    <t>42h</t>
  </si>
  <si>
    <t>43h</t>
  </si>
  <si>
    <t>44h</t>
  </si>
  <si>
    <t>45h</t>
  </si>
  <si>
    <t>46h</t>
  </si>
  <si>
    <t>47h</t>
  </si>
  <si>
    <t>48h</t>
  </si>
  <si>
    <t>49h</t>
  </si>
  <si>
    <t>50h</t>
  </si>
  <si>
    <t>36h</t>
  </si>
  <si>
    <t>6.Z=18, 2p=4, Y=3 Dahlander 8/4 pólus. 4 pólusú rész 60 fokos fáziszóna. 36h16/8p 8p 9047</t>
  </si>
  <si>
    <t>5.Z=18, 2p=8, Y=3 Dahlander 8/4 pólus. 8 pólusú rész 120 fokos fáziszóna. 36h16p 16p=9047</t>
  </si>
  <si>
    <t>Zónák sz.</t>
  </si>
  <si>
    <t>Váltott menetszám</t>
  </si>
  <si>
    <t>Vez.1 (csak váltott menetszámnál kell kitölteni)</t>
  </si>
  <si>
    <t>Vez.2 (csak váltott menetszámnál kell kitölteni)</t>
  </si>
  <si>
    <t>Layout munkalap</t>
  </si>
  <si>
    <t>legutóbbi futtatásából</t>
  </si>
  <si>
    <t>Ebben olyan hornyok is vannak, amelyekben két ellentétes fázisú tekercsoldal van.</t>
  </si>
  <si>
    <t>Tek.t.:</t>
  </si>
  <si>
    <t>Tek.t. alap:</t>
  </si>
  <si>
    <t>Ugrás az adatbázis végére.</t>
  </si>
  <si>
    <t>Ugrás a táblázat elejére.</t>
  </si>
  <si>
    <t>Az adatbázis bővítéshez módosítani kell az E27 cellához tartozó "Adatok érvényessége" listát és az "AZ" oszlop képleteit tovább kell másolni.</t>
  </si>
  <si>
    <t>A bővítéshez még a G27, E31 cellákban, valamint a D, E oszlopokban is módosítani kell a képleteket a 34. sortól lefelé.</t>
  </si>
  <si>
    <t>A VBA program "analizis2be" eljárásában pedig módosítani kell a 4328, 4329, 4330,4333, 4337, 4338 sorokat.</t>
  </si>
  <si>
    <t>A tekercslépés könnyebb megállapítására közvetlenül a tekercslépés alatti cellába ki van írva az átmérős tekercslépés (általában lépésrövidítés szokásos).</t>
  </si>
  <si>
    <t>7.1.</t>
  </si>
  <si>
    <t>7.2.</t>
  </si>
  <si>
    <t>7.3.</t>
  </si>
  <si>
    <t>Harmónikus analízis</t>
  </si>
  <si>
    <t>Harmónikus analízis az alapharmónikusra és egy-egy ettől,eltérő harmónikusra (Analysis2 munkalap)</t>
  </si>
  <si>
    <t>Az Analysis2 munkalapon bármely pólus-számra kiszámoltathatjuk a tekercselési tényezőt, légrésszórási tényezőt, gerjesztési amplitúdót és annak szimmetrikus összetevőit.</t>
  </si>
  <si>
    <t>A munkalap csaknem kizárólag Excel munkalapfüggvényekkel működik, így a fontos értékeket tartalmazó cellálhoz megjegyzések is tartoznak, amelyeket érdemes elolvasni.</t>
  </si>
  <si>
    <t>Van egy "Help" feliratú cella is, amely röviden tartalmazza a "használazi utasítást".</t>
  </si>
  <si>
    <t>A Layout munkalap tekercskiosztását két helyre is átmásolja a program rögtön azután, hogy a Layout munkalapon megnyomtuk a Start gombot.</t>
  </si>
  <si>
    <t>Egyrészt A B34 és C34 celláktól lefelé függüleges irányban másolja be a tekercsoldalakat, másrészt pedig az "adatbázis" végére a 210-211 sorokba.</t>
  </si>
  <si>
    <t>Az adatbázisban ezt két sort tetszőleges helyre átmásolhatjuk, majd átalakíthatjuk, vagy különböző vezetőszámokat rendelhetünk a tekercsoldalakhoz.</t>
  </si>
  <si>
    <t>f</t>
  </si>
  <si>
    <t>ns</t>
  </si>
  <si>
    <t>A váltott menetszámú tekercselések elemzésének a megkönnyítésére az adatbázisban minden tekercselés részére két "plusz" sor áll rendelkezésre a vezetőszámok részére.</t>
  </si>
  <si>
    <t xml:space="preserve">Ha szimplán csak a frissen megtervezett tekercselést kívánjuk elemezni az "1.Layout-ból" opcióra kattintva, akkor a vezetőszámokat 1 -nek veszi a program. </t>
  </si>
  <si>
    <t>Harmónikus analízis sok harmónikusra (Analysis1 munkalap)</t>
  </si>
  <si>
    <t>Az Analysis2 munkalapon nagy hangsúllyal szerepelnek dinamikus Excel diagramok, melyeknél a független változót csúszkával irányíthatjuk, vagyis animációt szimulálhatunk.</t>
  </si>
  <si>
    <t>Ilyen diagramok: Park vektor (csak szimmetrikus 3-fázis esetén), Gerjesztési görbe (lépcsős görbe és harmónikus szinusz görbe), A gerjesztés szimmetrikus összetevői, Indukált feszültség.</t>
  </si>
  <si>
    <t>Ezen a munkalapon az Analysis1 munkalap módszerével minden kívánt pólusra kiszámíttathatjuk a tekercselési tényezőket, légrésszórási tényezőt és a gerjesztési amplitúdókat.</t>
  </si>
  <si>
    <t>F.i.vált:</t>
  </si>
  <si>
    <t>Könnyen kiszürhetjük (Szűrő BE feliratra kattintva) azokat a pólus-számokat, amelyek nem indukálnak feszültséget a tekercselésben.</t>
  </si>
  <si>
    <t>A munkalap jobb oldaláv van egy különálló számítás az aszinkron motorok kalicka csillapítási tényezőjére, amely az irodalomban nem található különleges esetekre is alkalmas.</t>
  </si>
  <si>
    <t>A módszer Dr. Varga Józseftől származik és a leírását a programhoz készült W-Design-Doc fájl tartalmazza.</t>
  </si>
  <si>
    <t>A program részletes leírása a W-Design-Doc.pdf fájlban található.</t>
  </si>
  <si>
    <t>8.1.</t>
  </si>
  <si>
    <t>8.2.</t>
  </si>
  <si>
    <t>Dr. Liska József, Villamos gépek III. Szinkron gépek. 1966</t>
  </si>
  <si>
    <t>Dr. Varga József, Villamos gépek I. Transzformátorok és Szinkron gépek. 2007</t>
  </si>
  <si>
    <t>Lengyel Zoltán, Villamosgépek számítógépes tervezésének egyes kérdései. 1975</t>
  </si>
  <si>
    <r>
      <t xml:space="preserve">A tervezés a lentebb leírt módszerre épül és csak három bemenő adatot igényel: </t>
    </r>
    <r>
      <rPr>
        <b/>
        <sz val="10"/>
        <rFont val="Arial"/>
        <family val="2"/>
        <charset val="238"/>
      </rPr>
      <t>horonyszám, pólusszám</t>
    </r>
    <r>
      <rPr>
        <sz val="10"/>
        <rFont val="Arial"/>
        <charset val="238"/>
      </rPr>
      <t xml:space="preserve"> (nem póluspár) és </t>
    </r>
    <r>
      <rPr>
        <b/>
        <sz val="10"/>
        <rFont val="Arial"/>
        <family val="2"/>
        <charset val="238"/>
      </rPr>
      <t>tekercslépés</t>
    </r>
    <r>
      <rPr>
        <sz val="10"/>
        <rFont val="Arial"/>
        <charset val="238"/>
      </rPr>
      <t>.</t>
    </r>
  </si>
  <si>
    <r>
      <t xml:space="preserve">Két szomszédos horony közötti villamos szög a horonyfeszültség-csillag diagramon. </t>
    </r>
    <r>
      <rPr>
        <i/>
        <sz val="10"/>
        <color indexed="12"/>
        <rFont val="Arial"/>
        <charset val="238"/>
      </rPr>
      <t>alfa=2p*180/Z</t>
    </r>
  </si>
  <si>
    <r>
      <t xml:space="preserve">A fázisonkénti horonyszám és a pólusszám legnagyobb közös osztója. </t>
    </r>
    <r>
      <rPr>
        <i/>
        <sz val="10"/>
        <color indexed="12"/>
        <rFont val="Arial"/>
        <charset val="238"/>
      </rPr>
      <t>GCD=GCD(Z/m;2p)</t>
    </r>
  </si>
  <si>
    <t>Layout</t>
  </si>
  <si>
    <t>Választási lista</t>
  </si>
  <si>
    <t>1reteg</t>
  </si>
  <si>
    <t>Réteg=</t>
  </si>
  <si>
    <t>Réteg:</t>
  </si>
  <si>
    <r>
      <t xml:space="preserve">Három- és kétfázisú tekercselések elemzése és animációja       </t>
    </r>
    <r>
      <rPr>
        <i/>
        <sz val="12"/>
        <rFont val="Arial"/>
        <family val="2"/>
        <charset val="238"/>
      </rPr>
      <t xml:space="preserve"> Laczkó István  2017.09.28</t>
    </r>
  </si>
  <si>
    <t>Lépés(tartalék)=</t>
  </si>
  <si>
    <t>Többfázisú  elosztott és fogkoncentrált tekercselések.  Laczkó István</t>
  </si>
  <si>
    <t>W-Design-hu.xls. Többfázisú váltakozóáramú tekercselések tervezése, elemzése, tekercselési vázlatok rajzolása.</t>
  </si>
  <si>
    <t>Szűrő Kikapcsolva</t>
  </si>
  <si>
    <t>Z =12;   2p =8;  Y =1(1-2);   Tekt=0.86603;   Légrsz =0.46216361;   q =0.5;   Kapcsolás: Soros</t>
  </si>
  <si>
    <t>3/12/10/1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</si>
</sst>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0000"/>
  </numFmts>
  <fonts count="103" x14ac:knownFonts="1">
    <font>
      <sz val="10"/>
      <name val="Arial CE"/>
      <charset val="238"/>
    </font>
    <font>
      <b/>
      <sz val="14"/>
      <name val="Arial"/>
      <family val="2"/>
      <charset val="238"/>
    </font>
    <font>
      <b/>
      <sz val="12"/>
      <name val="Arial"/>
      <family val="2"/>
      <charset val="238"/>
    </font>
    <font>
      <sz val="10"/>
      <name val="Symbol"/>
      <family val="1"/>
      <charset val="2"/>
    </font>
    <font>
      <i/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charset val="238"/>
    </font>
    <font>
      <b/>
      <sz val="10"/>
      <name val="Arial"/>
      <family val="2"/>
      <charset val="238"/>
    </font>
    <font>
      <vertAlign val="subscript"/>
      <sz val="10"/>
      <name val="Arial"/>
      <family val="2"/>
      <charset val="238"/>
    </font>
    <font>
      <sz val="10"/>
      <color indexed="10"/>
      <name val="Arial"/>
      <charset val="238"/>
    </font>
    <font>
      <sz val="10"/>
      <color indexed="12"/>
      <name val="Arial"/>
      <charset val="238"/>
    </font>
    <font>
      <b/>
      <sz val="10"/>
      <color indexed="10"/>
      <name val="Arial"/>
      <family val="2"/>
      <charset val="238"/>
    </font>
    <font>
      <sz val="10"/>
      <color indexed="12"/>
      <name val="Arial"/>
      <family val="2"/>
      <charset val="238"/>
    </font>
    <font>
      <b/>
      <sz val="10"/>
      <color indexed="12"/>
      <name val="Arial"/>
      <family val="2"/>
      <charset val="238"/>
    </font>
    <font>
      <sz val="10"/>
      <color indexed="12"/>
      <name val="Symbol"/>
      <family val="1"/>
      <charset val="2"/>
    </font>
    <font>
      <b/>
      <sz val="8"/>
      <color indexed="81"/>
      <name val="Tahoma"/>
      <charset val="238"/>
    </font>
    <font>
      <b/>
      <sz val="9"/>
      <color indexed="81"/>
      <name val="Tahoma"/>
      <charset val="1"/>
    </font>
    <font>
      <u/>
      <sz val="10"/>
      <color indexed="12"/>
      <name val="Arial"/>
      <charset val="238"/>
    </font>
    <font>
      <sz val="8"/>
      <name val="Arial"/>
      <charset val="238"/>
    </font>
    <font>
      <sz val="10"/>
      <color indexed="10"/>
      <name val="Symbol"/>
      <family val="1"/>
      <charset val="2"/>
    </font>
    <font>
      <sz val="10"/>
      <color indexed="17"/>
      <name val="Symbol"/>
      <family val="1"/>
      <charset val="2"/>
    </font>
    <font>
      <sz val="10"/>
      <color indexed="17"/>
      <name val="Arial"/>
      <charset val="238"/>
    </font>
    <font>
      <sz val="10"/>
      <color indexed="17"/>
      <name val="Arial"/>
      <family val="2"/>
      <charset val="238"/>
    </font>
    <font>
      <sz val="10"/>
      <color indexed="10"/>
      <name val="Arial"/>
      <family val="2"/>
      <charset val="238"/>
    </font>
    <font>
      <b/>
      <sz val="9"/>
      <color indexed="81"/>
      <name val="Tahoma"/>
      <family val="2"/>
      <charset val="238"/>
    </font>
    <font>
      <sz val="9"/>
      <color indexed="81"/>
      <name val="Tahoma"/>
      <charset val="1"/>
    </font>
    <font>
      <b/>
      <sz val="9"/>
      <color indexed="10"/>
      <name val="Tahoma"/>
      <family val="2"/>
      <charset val="238"/>
    </font>
    <font>
      <b/>
      <sz val="8"/>
      <color indexed="10"/>
      <name val="Tahoma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charset val="238"/>
    </font>
    <font>
      <b/>
      <sz val="12"/>
      <color indexed="10"/>
      <name val="Arial"/>
      <charset val="238"/>
    </font>
    <font>
      <b/>
      <sz val="12"/>
      <name val="Arial"/>
      <charset val="238"/>
    </font>
    <font>
      <sz val="12"/>
      <name val="Arial"/>
      <charset val="238"/>
    </font>
    <font>
      <b/>
      <sz val="10"/>
      <color indexed="10"/>
      <name val="Arial"/>
      <charset val="238"/>
    </font>
    <font>
      <i/>
      <sz val="10"/>
      <color indexed="12"/>
      <name val="Arial"/>
      <charset val="238"/>
    </font>
    <font>
      <sz val="10"/>
      <color indexed="53"/>
      <name val="Arial"/>
      <charset val="238"/>
    </font>
    <font>
      <i/>
      <sz val="11"/>
      <name val="Arial"/>
      <family val="2"/>
      <charset val="238"/>
    </font>
    <font>
      <sz val="10"/>
      <color indexed="8"/>
      <name val="Arial"/>
      <charset val="238"/>
    </font>
    <font>
      <sz val="10"/>
      <color indexed="9"/>
      <name val="Arial"/>
      <charset val="238"/>
    </font>
    <font>
      <sz val="10"/>
      <color indexed="11"/>
      <name val="Arial"/>
      <charset val="238"/>
    </font>
    <font>
      <sz val="10"/>
      <color indexed="13"/>
      <name val="Arial"/>
      <charset val="238"/>
    </font>
    <font>
      <sz val="10"/>
      <color indexed="14"/>
      <name val="Arial"/>
      <charset val="238"/>
    </font>
    <font>
      <sz val="10"/>
      <color indexed="15"/>
      <name val="Arial"/>
      <charset val="238"/>
    </font>
    <font>
      <sz val="10"/>
      <color indexed="16"/>
      <name val="Arial"/>
      <charset val="238"/>
    </font>
    <font>
      <sz val="10"/>
      <color indexed="18"/>
      <name val="Arial"/>
      <charset val="238"/>
    </font>
    <font>
      <sz val="10"/>
      <color indexed="19"/>
      <name val="Arial"/>
      <charset val="238"/>
    </font>
    <font>
      <sz val="10"/>
      <color indexed="20"/>
      <name val="Arial"/>
      <charset val="238"/>
    </font>
    <font>
      <sz val="10"/>
      <color indexed="21"/>
      <name val="Arial"/>
      <charset val="238"/>
    </font>
    <font>
      <sz val="10"/>
      <color indexed="22"/>
      <name val="Arial"/>
      <charset val="238"/>
    </font>
    <font>
      <sz val="10"/>
      <color indexed="23"/>
      <name val="Arial"/>
      <charset val="238"/>
    </font>
    <font>
      <sz val="10"/>
      <color indexed="24"/>
      <name val="Arial"/>
      <charset val="238"/>
    </font>
    <font>
      <sz val="10"/>
      <color indexed="25"/>
      <name val="Arial"/>
      <charset val="238"/>
    </font>
    <font>
      <sz val="10"/>
      <color indexed="26"/>
      <name val="Arial"/>
      <charset val="238"/>
    </font>
    <font>
      <sz val="10"/>
      <color indexed="27"/>
      <name val="Arial"/>
      <charset val="238"/>
    </font>
    <font>
      <sz val="10"/>
      <color indexed="28"/>
      <name val="Arial"/>
      <charset val="238"/>
    </font>
    <font>
      <sz val="10"/>
      <color indexed="29"/>
      <name val="Arial"/>
      <charset val="238"/>
    </font>
    <font>
      <sz val="10"/>
      <color indexed="30"/>
      <name val="Arial"/>
      <charset val="238"/>
    </font>
    <font>
      <sz val="10"/>
      <color indexed="31"/>
      <name val="Arial"/>
      <charset val="238"/>
    </font>
    <font>
      <sz val="10"/>
      <color indexed="32"/>
      <name val="Arial"/>
      <charset val="238"/>
    </font>
    <font>
      <sz val="10"/>
      <color indexed="33"/>
      <name val="Arial"/>
      <charset val="238"/>
    </font>
    <font>
      <sz val="10"/>
      <color indexed="34"/>
      <name val="Arial"/>
      <charset val="238"/>
    </font>
    <font>
      <sz val="10"/>
      <color indexed="35"/>
      <name val="Arial"/>
      <charset val="238"/>
    </font>
    <font>
      <sz val="10"/>
      <color indexed="36"/>
      <name val="Arial"/>
      <charset val="238"/>
    </font>
    <font>
      <sz val="10"/>
      <color indexed="37"/>
      <name val="Arial"/>
      <charset val="238"/>
    </font>
    <font>
      <sz val="10"/>
      <color indexed="38"/>
      <name val="Arial"/>
      <charset val="238"/>
    </font>
    <font>
      <sz val="10"/>
      <color indexed="39"/>
      <name val="Arial"/>
      <charset val="238"/>
    </font>
    <font>
      <sz val="10"/>
      <color indexed="40"/>
      <name val="Arial"/>
      <charset val="238"/>
    </font>
    <font>
      <sz val="10"/>
      <color indexed="41"/>
      <name val="Arial"/>
      <charset val="238"/>
    </font>
    <font>
      <sz val="10"/>
      <color indexed="42"/>
      <name val="Arial"/>
      <charset val="238"/>
    </font>
    <font>
      <sz val="10"/>
      <color indexed="43"/>
      <name val="Arial"/>
      <charset val="238"/>
    </font>
    <font>
      <sz val="10"/>
      <color indexed="44"/>
      <name val="Arial"/>
      <charset val="238"/>
    </font>
    <font>
      <sz val="10"/>
      <color indexed="45"/>
      <name val="Arial"/>
      <charset val="238"/>
    </font>
    <font>
      <sz val="10"/>
      <color indexed="46"/>
      <name val="Arial"/>
      <charset val="238"/>
    </font>
    <font>
      <sz val="10"/>
      <color indexed="47"/>
      <name val="Arial"/>
      <charset val="238"/>
    </font>
    <font>
      <sz val="10"/>
      <color indexed="48"/>
      <name val="Arial"/>
      <charset val="238"/>
    </font>
    <font>
      <sz val="10"/>
      <color indexed="49"/>
      <name val="Arial"/>
      <charset val="238"/>
    </font>
    <font>
      <sz val="10"/>
      <color indexed="50"/>
      <name val="Arial"/>
      <charset val="238"/>
    </font>
    <font>
      <sz val="10"/>
      <color indexed="51"/>
      <name val="Arial"/>
      <charset val="238"/>
    </font>
    <font>
      <sz val="10"/>
      <color indexed="52"/>
      <name val="Arial"/>
      <charset val="238"/>
    </font>
    <font>
      <sz val="10"/>
      <color indexed="54"/>
      <name val="Arial"/>
      <charset val="238"/>
    </font>
    <font>
      <sz val="10"/>
      <color indexed="55"/>
      <name val="Arial"/>
      <charset val="238"/>
    </font>
    <font>
      <sz val="10"/>
      <color indexed="56"/>
      <name val="Arial"/>
      <charset val="238"/>
    </font>
    <font>
      <sz val="10"/>
      <color indexed="57"/>
      <name val="Arial"/>
      <charset val="238"/>
    </font>
    <font>
      <sz val="10"/>
      <color indexed="58"/>
      <name val="Arial"/>
      <charset val="238"/>
    </font>
    <font>
      <sz val="10"/>
      <color indexed="59"/>
      <name val="Arial"/>
      <charset val="238"/>
    </font>
    <font>
      <sz val="10"/>
      <color indexed="60"/>
      <name val="Arial"/>
      <charset val="238"/>
    </font>
    <font>
      <sz val="10"/>
      <color indexed="61"/>
      <name val="Arial"/>
      <charset val="238"/>
    </font>
    <font>
      <sz val="10"/>
      <color indexed="62"/>
      <name val="Arial"/>
      <charset val="238"/>
    </font>
    <font>
      <sz val="10"/>
      <color indexed="63"/>
      <name val="Arial"/>
      <charset val="238"/>
    </font>
    <font>
      <b/>
      <sz val="10"/>
      <name val="Symbol"/>
      <family val="1"/>
      <charset val="2"/>
    </font>
    <font>
      <sz val="9"/>
      <name val="Arial"/>
      <charset val="238"/>
    </font>
    <font>
      <b/>
      <sz val="10"/>
      <name val="Arial"/>
      <charset val="238"/>
    </font>
    <font>
      <b/>
      <vertAlign val="subscript"/>
      <sz val="10"/>
      <name val="Arial"/>
      <family val="2"/>
      <charset val="238"/>
    </font>
    <font>
      <b/>
      <vertAlign val="subscript"/>
      <sz val="10"/>
      <name val="Symbol"/>
      <family val="1"/>
      <charset val="2"/>
    </font>
    <font>
      <i/>
      <sz val="12"/>
      <name val="Arial"/>
      <family val="2"/>
      <charset val="238"/>
    </font>
    <font>
      <sz val="10"/>
      <color indexed="10"/>
      <name val="Times New Roman"/>
      <family val="1"/>
      <charset val="238"/>
    </font>
    <font>
      <sz val="10"/>
      <name val="Times New Roman"/>
      <family val="1"/>
      <charset val="238"/>
    </font>
    <font>
      <sz val="10"/>
      <color indexed="12"/>
      <name val="Times New Roman"/>
      <family val="1"/>
      <charset val="238"/>
    </font>
    <font>
      <sz val="11"/>
      <name val="Times New Roman"/>
      <family val="1"/>
      <charset val="238"/>
    </font>
    <font>
      <vertAlign val="superscript"/>
      <sz val="10"/>
      <name val="Arial"/>
      <family val="2"/>
      <charset val="238"/>
    </font>
    <font>
      <i/>
      <sz val="11"/>
      <name val="Times New Roman"/>
      <family val="1"/>
      <charset val="238"/>
    </font>
    <font>
      <sz val="11"/>
      <name val="Symbol"/>
      <family val="1"/>
      <charset val="2"/>
    </font>
    <font>
      <sz val="9"/>
      <color indexed="12"/>
      <name val="Arial"/>
      <charset val="238"/>
    </font>
  </fonts>
  <fills count="58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273">
    <xf numFmtId="0" fontId="0" fillId="0" borderId="0" xfId="0"/>
    <xf numFmtId="0" fontId="7" fillId="0" borderId="0" xfId="2" applyFont="1"/>
    <xf numFmtId="0" fontId="5" fillId="0" borderId="0" xfId="2" applyFont="1"/>
    <xf numFmtId="0" fontId="6" fillId="0" borderId="0" xfId="2"/>
    <xf numFmtId="0" fontId="6" fillId="0" borderId="0" xfId="2" applyAlignment="1">
      <alignment horizontal="center"/>
    </xf>
    <xf numFmtId="0" fontId="5" fillId="0" borderId="0" xfId="2" applyFont="1" applyAlignment="1">
      <alignment horizontal="center"/>
    </xf>
    <xf numFmtId="0" fontId="5" fillId="0" borderId="1" xfId="2" applyFont="1" applyBorder="1"/>
    <xf numFmtId="0" fontId="5" fillId="0" borderId="2" xfId="2" applyFont="1" applyBorder="1" applyAlignment="1">
      <alignment horizontal="right"/>
    </xf>
    <xf numFmtId="0" fontId="11" fillId="0" borderId="3" xfId="2" applyFont="1" applyBorder="1" applyAlignment="1" applyProtection="1">
      <alignment horizontal="center"/>
      <protection locked="0"/>
    </xf>
    <xf numFmtId="0" fontId="11" fillId="0" borderId="4" xfId="2" applyFont="1" applyBorder="1" applyAlignment="1">
      <alignment horizontal="center" shrinkToFit="1"/>
    </xf>
    <xf numFmtId="0" fontId="5" fillId="0" borderId="5" xfId="2" applyFont="1" applyBorder="1" applyAlignment="1">
      <alignment horizontal="right"/>
    </xf>
    <xf numFmtId="0" fontId="6" fillId="2" borderId="0" xfId="2" applyFill="1" applyAlignment="1">
      <alignment horizontal="center"/>
    </xf>
    <xf numFmtId="0" fontId="6" fillId="3" borderId="0" xfId="2" applyFill="1" applyAlignment="1">
      <alignment horizontal="center"/>
    </xf>
    <xf numFmtId="0" fontId="11" fillId="4" borderId="3" xfId="2" applyFont="1" applyFill="1" applyBorder="1" applyProtection="1">
      <protection locked="0"/>
    </xf>
    <xf numFmtId="0" fontId="5" fillId="0" borderId="6" xfId="2" applyFont="1" applyBorder="1" applyAlignment="1">
      <alignment horizontal="right"/>
    </xf>
    <xf numFmtId="0" fontId="11" fillId="4" borderId="3" xfId="2" applyFont="1" applyFill="1" applyBorder="1" applyAlignment="1" applyProtection="1">
      <alignment horizontal="center"/>
      <protection locked="0"/>
    </xf>
    <xf numFmtId="0" fontId="5" fillId="0" borderId="4" xfId="2" applyFont="1" applyBorder="1"/>
    <xf numFmtId="0" fontId="12" fillId="0" borderId="3" xfId="2" applyFont="1" applyBorder="1" applyAlignment="1">
      <alignment horizontal="center"/>
    </xf>
    <xf numFmtId="0" fontId="6" fillId="0" borderId="0" xfId="2" applyAlignment="1">
      <alignment horizontal="center" shrinkToFit="1"/>
    </xf>
    <xf numFmtId="0" fontId="5" fillId="0" borderId="0" xfId="2" applyFont="1" applyAlignment="1">
      <alignment horizontal="center" shrinkToFit="1"/>
    </xf>
    <xf numFmtId="0" fontId="14" fillId="0" borderId="0" xfId="2" applyFont="1" applyAlignment="1">
      <alignment horizontal="center"/>
    </xf>
    <xf numFmtId="0" fontId="20" fillId="0" borderId="0" xfId="2" applyFont="1" applyAlignment="1">
      <alignment horizontal="center"/>
    </xf>
    <xf numFmtId="0" fontId="19" fillId="0" borderId="0" xfId="2" applyFont="1" applyAlignment="1">
      <alignment horizontal="center"/>
    </xf>
    <xf numFmtId="0" fontId="6" fillId="0" borderId="3" xfId="2" applyBorder="1" applyAlignment="1">
      <alignment horizontal="center"/>
    </xf>
    <xf numFmtId="0" fontId="6" fillId="5" borderId="0" xfId="2" applyFill="1" applyAlignment="1">
      <alignment horizontal="center" shrinkToFit="1"/>
    </xf>
    <xf numFmtId="0" fontId="9" fillId="0" borderId="7" xfId="2" applyFont="1" applyBorder="1" applyAlignment="1" applyProtection="1">
      <alignment horizontal="center"/>
      <protection locked="0"/>
    </xf>
    <xf numFmtId="0" fontId="6" fillId="0" borderId="7" xfId="2" applyBorder="1" applyAlignment="1">
      <alignment horizontal="center"/>
    </xf>
    <xf numFmtId="0" fontId="9" fillId="0" borderId="0" xfId="2" applyFont="1" applyAlignment="1">
      <alignment horizontal="center"/>
    </xf>
    <xf numFmtId="0" fontId="10" fillId="0" borderId="0" xfId="2" applyFont="1" applyAlignment="1">
      <alignment horizontal="center"/>
    </xf>
    <xf numFmtId="0" fontId="21" fillId="0" borderId="0" xfId="2" applyFont="1" applyAlignment="1">
      <alignment horizontal="center"/>
    </xf>
    <xf numFmtId="0" fontId="6" fillId="0" borderId="8" xfId="2" applyBorder="1" applyAlignment="1" applyProtection="1">
      <alignment horizontal="center"/>
      <protection locked="0"/>
    </xf>
    <xf numFmtId="0" fontId="5" fillId="0" borderId="4" xfId="2" applyFont="1" applyBorder="1" applyAlignment="1">
      <alignment horizontal="center"/>
    </xf>
    <xf numFmtId="0" fontId="23" fillId="0" borderId="0" xfId="2" applyFont="1" applyAlignment="1">
      <alignment horizontal="center"/>
    </xf>
    <xf numFmtId="0" fontId="6" fillId="0" borderId="3" xfId="2" applyBorder="1" applyAlignment="1" applyProtection="1">
      <alignment horizontal="center"/>
      <protection locked="0"/>
    </xf>
    <xf numFmtId="0" fontId="5" fillId="0" borderId="3" xfId="2" applyFont="1" applyBorder="1" applyAlignment="1">
      <alignment horizontal="center"/>
    </xf>
    <xf numFmtId="0" fontId="13" fillId="0" borderId="3" xfId="2" applyFont="1" applyBorder="1" applyAlignment="1">
      <alignment horizontal="center"/>
    </xf>
    <xf numFmtId="0" fontId="7" fillId="0" borderId="3" xfId="2" applyFont="1" applyBorder="1" applyAlignment="1">
      <alignment horizontal="center"/>
    </xf>
    <xf numFmtId="0" fontId="6" fillId="0" borderId="4" xfId="2" applyBorder="1"/>
    <xf numFmtId="0" fontId="17" fillId="0" borderId="0" xfId="1" applyAlignment="1" applyProtection="1"/>
    <xf numFmtId="0" fontId="6" fillId="0" borderId="3" xfId="2" applyBorder="1"/>
    <xf numFmtId="0" fontId="5" fillId="0" borderId="3" xfId="2" applyFont="1" applyBorder="1" applyAlignment="1">
      <alignment horizontal="right"/>
    </xf>
    <xf numFmtId="0" fontId="7" fillId="0" borderId="0" xfId="2" applyFont="1" applyAlignment="1">
      <alignment horizontal="center"/>
    </xf>
    <xf numFmtId="0" fontId="5" fillId="0" borderId="0" xfId="2" applyFont="1" applyAlignment="1">
      <alignment horizontal="right"/>
    </xf>
    <xf numFmtId="0" fontId="6" fillId="0" borderId="1" xfId="2" applyBorder="1"/>
    <xf numFmtId="0" fontId="6" fillId="0" borderId="9" xfId="2" applyBorder="1" applyAlignment="1">
      <alignment horizontal="right"/>
    </xf>
    <xf numFmtId="0" fontId="6" fillId="0" borderId="2" xfId="2" applyBorder="1"/>
    <xf numFmtId="0" fontId="6" fillId="0" borderId="10" xfId="2" applyBorder="1"/>
    <xf numFmtId="0" fontId="6" fillId="0" borderId="0" xfId="2" applyAlignment="1">
      <alignment horizontal="right"/>
    </xf>
    <xf numFmtId="0" fontId="6" fillId="0" borderId="11" xfId="2" applyBorder="1"/>
    <xf numFmtId="0" fontId="6" fillId="0" borderId="12" xfId="2" applyBorder="1"/>
    <xf numFmtId="0" fontId="6" fillId="0" borderId="13" xfId="2" applyBorder="1" applyAlignment="1">
      <alignment horizontal="right"/>
    </xf>
    <xf numFmtId="0" fontId="6" fillId="0" borderId="6" xfId="2" applyBorder="1"/>
    <xf numFmtId="0" fontId="6" fillId="0" borderId="14" xfId="2" applyBorder="1" applyAlignment="1">
      <alignment horizontal="right"/>
    </xf>
    <xf numFmtId="0" fontId="6" fillId="0" borderId="5" xfId="2" applyBorder="1"/>
    <xf numFmtId="0" fontId="9" fillId="0" borderId="0" xfId="2" applyFont="1" applyAlignment="1" applyProtection="1">
      <alignment horizontal="center"/>
      <protection locked="0"/>
    </xf>
    <xf numFmtId="1" fontId="10" fillId="0" borderId="0" xfId="2" applyNumberFormat="1" applyFont="1" applyAlignment="1">
      <alignment horizontal="center"/>
    </xf>
    <xf numFmtId="2" fontId="6" fillId="0" borderId="0" xfId="2" applyNumberFormat="1"/>
    <xf numFmtId="0" fontId="23" fillId="0" borderId="0" xfId="2" applyFont="1" applyAlignment="1" applyProtection="1">
      <alignment horizontal="center"/>
      <protection locked="0"/>
    </xf>
    <xf numFmtId="164" fontId="6" fillId="0" borderId="0" xfId="2" applyNumberFormat="1" applyAlignment="1">
      <alignment horizontal="center"/>
    </xf>
    <xf numFmtId="0" fontId="11" fillId="0" borderId="0" xfId="2" applyFont="1" applyAlignment="1" applyProtection="1">
      <alignment horizontal="center"/>
      <protection locked="0"/>
    </xf>
    <xf numFmtId="0" fontId="6" fillId="0" borderId="0" xfId="2" applyAlignment="1" applyProtection="1">
      <alignment horizontal="center"/>
      <protection locked="0"/>
    </xf>
    <xf numFmtId="0" fontId="30" fillId="0" borderId="0" xfId="2" applyFont="1"/>
    <xf numFmtId="0" fontId="4" fillId="0" borderId="0" xfId="2" applyFont="1"/>
    <xf numFmtId="0" fontId="2" fillId="0" borderId="0" xfId="2" quotePrefix="1" applyFont="1" applyAlignment="1">
      <alignment horizontal="center"/>
    </xf>
    <xf numFmtId="0" fontId="2" fillId="0" borderId="0" xfId="2" applyFont="1"/>
    <xf numFmtId="0" fontId="6" fillId="0" borderId="0" xfId="2" quotePrefix="1"/>
    <xf numFmtId="0" fontId="31" fillId="0" borderId="0" xfId="2" applyFont="1"/>
    <xf numFmtId="0" fontId="32" fillId="0" borderId="0" xfId="2" applyFont="1"/>
    <xf numFmtId="0" fontId="9" fillId="0" borderId="0" xfId="2" applyFont="1"/>
    <xf numFmtId="0" fontId="6" fillId="0" borderId="5" xfId="2" applyBorder="1" applyAlignment="1">
      <alignment horizontal="right"/>
    </xf>
    <xf numFmtId="0" fontId="33" fillId="0" borderId="3" xfId="2" applyFont="1" applyBorder="1" applyAlignment="1" applyProtection="1">
      <alignment horizontal="center"/>
      <protection locked="0"/>
    </xf>
    <xf numFmtId="0" fontId="10" fillId="0" borderId="3" xfId="2" applyFont="1" applyBorder="1" applyAlignment="1">
      <alignment horizontal="center"/>
    </xf>
    <xf numFmtId="0" fontId="6" fillId="0" borderId="4" xfId="2" applyBorder="1" applyAlignment="1">
      <alignment horizontal="center"/>
    </xf>
    <xf numFmtId="0" fontId="34" fillId="0" borderId="0" xfId="2" applyFont="1"/>
    <xf numFmtId="0" fontId="6" fillId="0" borderId="0" xfId="2" applyAlignment="1">
      <alignment horizontal="left"/>
    </xf>
    <xf numFmtId="0" fontId="6" fillId="0" borderId="3" xfId="2" applyBorder="1" applyAlignment="1">
      <alignment horizontal="right"/>
    </xf>
    <xf numFmtId="0" fontId="7" fillId="0" borderId="0" xfId="2" quotePrefix="1" applyFont="1" applyAlignment="1">
      <alignment horizontal="center"/>
    </xf>
    <xf numFmtId="0" fontId="35" fillId="0" borderId="0" xfId="2" applyFont="1"/>
    <xf numFmtId="0" fontId="3" fillId="0" borderId="0" xfId="2" applyFont="1" applyAlignment="1">
      <alignment horizontal="right"/>
    </xf>
    <xf numFmtId="0" fontId="3" fillId="0" borderId="0" xfId="2" applyFont="1" applyAlignment="1">
      <alignment horizontal="left"/>
    </xf>
    <xf numFmtId="0" fontId="6" fillId="0" borderId="0" xfId="2" quotePrefix="1" applyAlignment="1">
      <alignment horizontal="center"/>
    </xf>
    <xf numFmtId="0" fontId="36" fillId="0" borderId="0" xfId="2" applyFont="1"/>
    <xf numFmtId="0" fontId="6" fillId="0" borderId="0" xfId="2" quotePrefix="1" applyAlignment="1">
      <alignment horizontal="right"/>
    </xf>
    <xf numFmtId="0" fontId="6" fillId="6" borderId="0" xfId="2" applyFill="1"/>
    <xf numFmtId="0" fontId="7" fillId="0" borderId="0" xfId="2" applyFont="1" applyAlignment="1">
      <alignment horizontal="left"/>
    </xf>
    <xf numFmtId="0" fontId="9" fillId="0" borderId="0" xfId="2" applyFont="1" applyProtection="1">
      <protection locked="0"/>
    </xf>
    <xf numFmtId="49" fontId="6" fillId="0" borderId="0" xfId="2" applyNumberFormat="1" applyAlignment="1">
      <alignment horizontal="center"/>
    </xf>
    <xf numFmtId="49" fontId="6" fillId="0" borderId="0" xfId="2" applyNumberFormat="1" applyAlignment="1">
      <alignment horizontal="left"/>
    </xf>
    <xf numFmtId="0" fontId="7" fillId="4" borderId="3" xfId="2" applyFont="1" applyFill="1" applyBorder="1" applyProtection="1">
      <protection locked="0"/>
    </xf>
    <xf numFmtId="0" fontId="7" fillId="0" borderId="15" xfId="2" applyFont="1" applyBorder="1"/>
    <xf numFmtId="0" fontId="10" fillId="0" borderId="0" xfId="2" applyFont="1"/>
    <xf numFmtId="0" fontId="5" fillId="0" borderId="16" xfId="2" applyFont="1" applyBorder="1"/>
    <xf numFmtId="0" fontId="6" fillId="7" borderId="0" xfId="2" applyFill="1"/>
    <xf numFmtId="0" fontId="37" fillId="0" borderId="0" xfId="2" applyFont="1"/>
    <xf numFmtId="0" fontId="5" fillId="0" borderId="8" xfId="2" applyFont="1" applyBorder="1"/>
    <xf numFmtId="0" fontId="6" fillId="8" borderId="0" xfId="2" applyFill="1"/>
    <xf numFmtId="0" fontId="38" fillId="0" borderId="0" xfId="2" applyFont="1"/>
    <xf numFmtId="0" fontId="6" fillId="9" borderId="0" xfId="2" applyFill="1"/>
    <xf numFmtId="0" fontId="39" fillId="0" borderId="0" xfId="2" applyFont="1"/>
    <xf numFmtId="0" fontId="6" fillId="10" borderId="0" xfId="2" applyFill="1"/>
    <xf numFmtId="0" fontId="6" fillId="5" borderId="0" xfId="2" applyFill="1"/>
    <xf numFmtId="0" fontId="40" fillId="0" borderId="0" xfId="2" applyFont="1"/>
    <xf numFmtId="0" fontId="6" fillId="11" borderId="0" xfId="2" applyFill="1"/>
    <xf numFmtId="0" fontId="41" fillId="0" borderId="0" xfId="2" applyFont="1"/>
    <xf numFmtId="0" fontId="6" fillId="12" borderId="0" xfId="2" applyFill="1"/>
    <xf numFmtId="0" fontId="42" fillId="0" borderId="0" xfId="2" applyFont="1"/>
    <xf numFmtId="0" fontId="6" fillId="13" borderId="0" xfId="2" applyFill="1"/>
    <xf numFmtId="0" fontId="43" fillId="0" borderId="0" xfId="2" applyFont="1"/>
    <xf numFmtId="0" fontId="6" fillId="14" borderId="0" xfId="2" applyFill="1"/>
    <xf numFmtId="0" fontId="21" fillId="0" borderId="0" xfId="2" applyFont="1"/>
    <xf numFmtId="0" fontId="6" fillId="15" borderId="0" xfId="2" applyFill="1"/>
    <xf numFmtId="0" fontId="44" fillId="0" borderId="0" xfId="2" applyFont="1"/>
    <xf numFmtId="0" fontId="6" fillId="16" borderId="0" xfId="2" applyFill="1"/>
    <xf numFmtId="0" fontId="45" fillId="0" borderId="0" xfId="2" applyFont="1"/>
    <xf numFmtId="0" fontId="6" fillId="17" borderId="0" xfId="2" applyFill="1"/>
    <xf numFmtId="0" fontId="46" fillId="0" borderId="0" xfId="2" applyFont="1"/>
    <xf numFmtId="0" fontId="6" fillId="18" borderId="0" xfId="2" applyFill="1"/>
    <xf numFmtId="0" fontId="47" fillId="0" borderId="0" xfId="2" applyFont="1"/>
    <xf numFmtId="0" fontId="6" fillId="19" borderId="0" xfId="2" applyFill="1"/>
    <xf numFmtId="0" fontId="48" fillId="0" borderId="0" xfId="2" applyFont="1"/>
    <xf numFmtId="0" fontId="6" fillId="20" borderId="0" xfId="2" applyFill="1"/>
    <xf numFmtId="0" fontId="49" fillId="0" borderId="0" xfId="2" applyFont="1"/>
    <xf numFmtId="0" fontId="6" fillId="21" borderId="0" xfId="2" applyFill="1"/>
    <xf numFmtId="0" fontId="50" fillId="0" borderId="0" xfId="2" applyFont="1"/>
    <xf numFmtId="0" fontId="6" fillId="22" borderId="0" xfId="2" applyFill="1"/>
    <xf numFmtId="0" fontId="51" fillId="0" borderId="0" xfId="2" applyFont="1"/>
    <xf numFmtId="0" fontId="6" fillId="23" borderId="0" xfId="2" applyFill="1"/>
    <xf numFmtId="0" fontId="52" fillId="0" borderId="0" xfId="2" applyFont="1"/>
    <xf numFmtId="0" fontId="6" fillId="24" borderId="0" xfId="2" applyFill="1"/>
    <xf numFmtId="0" fontId="53" fillId="0" borderId="0" xfId="2" applyFont="1"/>
    <xf numFmtId="0" fontId="6" fillId="25" borderId="0" xfId="2" applyFill="1"/>
    <xf numFmtId="0" fontId="54" fillId="0" borderId="0" xfId="2" applyFont="1"/>
    <xf numFmtId="0" fontId="6" fillId="26" borderId="0" xfId="2" applyFill="1"/>
    <xf numFmtId="0" fontId="55" fillId="0" borderId="0" xfId="2" applyFont="1"/>
    <xf numFmtId="0" fontId="6" fillId="27" borderId="0" xfId="2" applyFill="1"/>
    <xf numFmtId="0" fontId="56" fillId="0" borderId="0" xfId="2" applyFont="1"/>
    <xf numFmtId="0" fontId="6" fillId="28" borderId="0" xfId="2" applyFill="1"/>
    <xf numFmtId="0" fontId="57" fillId="0" borderId="0" xfId="2" applyFont="1"/>
    <xf numFmtId="0" fontId="6" fillId="29" borderId="0" xfId="2" applyFill="1"/>
    <xf numFmtId="0" fontId="58" fillId="0" borderId="0" xfId="2" applyFont="1"/>
    <xf numFmtId="0" fontId="6" fillId="30" borderId="0" xfId="2" applyFill="1"/>
    <xf numFmtId="0" fontId="59" fillId="0" borderId="0" xfId="2" applyFont="1"/>
    <xf numFmtId="0" fontId="6" fillId="31" borderId="0" xfId="2" applyFill="1"/>
    <xf numFmtId="0" fontId="60" fillId="0" borderId="0" xfId="2" applyFont="1"/>
    <xf numFmtId="0" fontId="6" fillId="32" borderId="0" xfId="2" applyFill="1"/>
    <xf numFmtId="0" fontId="61" fillId="0" borderId="0" xfId="2" applyFont="1"/>
    <xf numFmtId="0" fontId="6" fillId="33" borderId="0" xfId="2" applyFill="1"/>
    <xf numFmtId="0" fontId="62" fillId="0" borderId="0" xfId="2" applyFont="1"/>
    <xf numFmtId="0" fontId="6" fillId="34" borderId="0" xfId="2" applyFill="1"/>
    <xf numFmtId="0" fontId="63" fillId="0" borderId="0" xfId="2" applyFont="1"/>
    <xf numFmtId="0" fontId="6" fillId="35" borderId="0" xfId="2" applyFill="1"/>
    <xf numFmtId="0" fontId="64" fillId="0" borderId="0" xfId="2" applyFont="1"/>
    <xf numFmtId="0" fontId="6" fillId="36" borderId="0" xfId="2" applyFill="1"/>
    <xf numFmtId="0" fontId="65" fillId="0" borderId="0" xfId="2" applyFont="1"/>
    <xf numFmtId="0" fontId="6" fillId="37" borderId="0" xfId="2" applyFill="1"/>
    <xf numFmtId="0" fontId="66" fillId="0" borderId="0" xfId="2" applyFont="1"/>
    <xf numFmtId="0" fontId="6" fillId="4" borderId="0" xfId="2" applyFill="1"/>
    <xf numFmtId="0" fontId="67" fillId="0" borderId="0" xfId="2" applyFont="1"/>
    <xf numFmtId="0" fontId="6" fillId="3" borderId="0" xfId="2" applyFill="1"/>
    <xf numFmtId="0" fontId="68" fillId="0" borderId="0" xfId="2" applyFont="1"/>
    <xf numFmtId="0" fontId="6" fillId="38" borderId="0" xfId="2" applyFill="1"/>
    <xf numFmtId="0" fontId="69" fillId="0" borderId="0" xfId="2" applyFont="1"/>
    <xf numFmtId="0" fontId="6" fillId="39" borderId="0" xfId="2" applyFill="1"/>
    <xf numFmtId="0" fontId="70" fillId="0" borderId="0" xfId="2" applyFont="1"/>
    <xf numFmtId="0" fontId="6" fillId="2" borderId="0" xfId="2" applyFill="1"/>
    <xf numFmtId="0" fontId="71" fillId="0" borderId="0" xfId="2" applyFont="1"/>
    <xf numFmtId="0" fontId="6" fillId="40" borderId="0" xfId="2" applyFill="1"/>
    <xf numFmtId="0" fontId="72" fillId="0" borderId="0" xfId="2" applyFont="1"/>
    <xf numFmtId="0" fontId="6" fillId="41" borderId="0" xfId="2" applyFill="1"/>
    <xf numFmtId="0" fontId="73" fillId="0" borderId="0" xfId="2" applyFont="1"/>
    <xf numFmtId="0" fontId="6" fillId="42" borderId="0" xfId="2" applyFill="1"/>
    <xf numFmtId="0" fontId="74" fillId="0" borderId="0" xfId="2" applyFont="1"/>
    <xf numFmtId="0" fontId="6" fillId="43" borderId="0" xfId="2" applyFill="1"/>
    <xf numFmtId="0" fontId="75" fillId="0" borderId="0" xfId="2" applyFont="1"/>
    <xf numFmtId="0" fontId="6" fillId="44" borderId="0" xfId="2" applyFill="1"/>
    <xf numFmtId="0" fontId="76" fillId="0" borderId="0" xfId="2" applyFont="1"/>
    <xf numFmtId="0" fontId="6" fillId="45" borderId="0" xfId="2" applyFill="1"/>
    <xf numFmtId="0" fontId="77" fillId="0" borderId="0" xfId="2" applyFont="1"/>
    <xf numFmtId="0" fontId="6" fillId="46" borderId="0" xfId="2" applyFill="1"/>
    <xf numFmtId="0" fontId="78" fillId="0" borderId="0" xfId="2" applyFont="1"/>
    <xf numFmtId="0" fontId="6" fillId="47" borderId="0" xfId="2" applyFill="1"/>
    <xf numFmtId="0" fontId="6" fillId="48" borderId="0" xfId="2" applyFill="1"/>
    <xf numFmtId="0" fontId="79" fillId="0" borderId="0" xfId="2" applyFont="1"/>
    <xf numFmtId="0" fontId="6" fillId="49" borderId="0" xfId="2" applyFill="1"/>
    <xf numFmtId="0" fontId="80" fillId="0" borderId="0" xfId="2" applyFont="1"/>
    <xf numFmtId="0" fontId="6" fillId="50" borderId="0" xfId="2" applyFill="1"/>
    <xf numFmtId="0" fontId="81" fillId="0" borderId="0" xfId="2" applyFont="1"/>
    <xf numFmtId="0" fontId="6" fillId="51" borderId="0" xfId="2" applyFill="1"/>
    <xf numFmtId="0" fontId="82" fillId="0" borderId="0" xfId="2" applyFont="1"/>
    <xf numFmtId="0" fontId="6" fillId="52" borderId="0" xfId="2" applyFill="1"/>
    <xf numFmtId="0" fontId="83" fillId="0" borderId="0" xfId="2" applyFont="1"/>
    <xf numFmtId="0" fontId="6" fillId="53" borderId="0" xfId="2" applyFill="1"/>
    <xf numFmtId="0" fontId="84" fillId="0" borderId="0" xfId="2" applyFont="1"/>
    <xf numFmtId="0" fontId="6" fillId="54" borderId="0" xfId="2" applyFill="1"/>
    <xf numFmtId="0" fontId="85" fillId="0" borderId="0" xfId="2" applyFont="1"/>
    <xf numFmtId="0" fontId="6" fillId="55" borderId="0" xfId="2" applyFill="1"/>
    <xf numFmtId="0" fontId="86" fillId="0" borderId="0" xfId="2" applyFont="1"/>
    <xf numFmtId="0" fontId="6" fillId="56" borderId="0" xfId="2" applyFill="1"/>
    <xf numFmtId="0" fontId="87" fillId="0" borderId="0" xfId="2" applyFont="1"/>
    <xf numFmtId="0" fontId="6" fillId="57" borderId="0" xfId="2" applyFill="1"/>
    <xf numFmtId="0" fontId="88" fillId="0" borderId="0" xfId="2" applyFont="1"/>
    <xf numFmtId="0" fontId="89" fillId="0" borderId="0" xfId="2" applyFont="1" applyAlignment="1">
      <alignment horizontal="center"/>
    </xf>
    <xf numFmtId="0" fontId="90" fillId="0" borderId="0" xfId="2" applyFont="1" applyAlignment="1">
      <alignment horizontal="right"/>
    </xf>
    <xf numFmtId="0" fontId="90" fillId="0" borderId="0" xfId="2" applyFont="1"/>
    <xf numFmtId="0" fontId="91" fillId="0" borderId="0" xfId="2" applyFont="1" applyAlignment="1">
      <alignment horizontal="center"/>
    </xf>
    <xf numFmtId="0" fontId="91" fillId="0" borderId="0" xfId="2" applyFont="1" applyAlignment="1">
      <alignment horizontal="left"/>
    </xf>
    <xf numFmtId="0" fontId="7" fillId="0" borderId="0" xfId="2" applyFont="1" applyAlignment="1">
      <alignment horizontal="right"/>
    </xf>
    <xf numFmtId="0" fontId="7" fillId="0" borderId="0" xfId="2" applyFont="1" applyProtection="1">
      <protection locked="0"/>
    </xf>
    <xf numFmtId="166" fontId="6" fillId="0" borderId="0" xfId="2" applyNumberFormat="1"/>
    <xf numFmtId="167" fontId="6" fillId="0" borderId="0" xfId="2" applyNumberFormat="1" applyAlignment="1">
      <alignment horizontal="center"/>
    </xf>
    <xf numFmtId="165" fontId="6" fillId="0" borderId="0" xfId="2" applyNumberFormat="1"/>
    <xf numFmtId="165" fontId="6" fillId="0" borderId="0" xfId="2" applyNumberFormat="1" applyAlignment="1">
      <alignment horizontal="center"/>
    </xf>
    <xf numFmtId="0" fontId="32" fillId="0" borderId="0" xfId="2" applyFont="1" applyAlignment="1">
      <alignment horizontal="center"/>
    </xf>
    <xf numFmtId="0" fontId="95" fillId="0" borderId="0" xfId="2" applyFont="1" applyAlignment="1">
      <alignment horizontal="right"/>
    </xf>
    <xf numFmtId="0" fontId="9" fillId="4" borderId="3" xfId="2" applyFont="1" applyFill="1" applyBorder="1" applyAlignment="1" applyProtection="1">
      <alignment horizontal="center"/>
      <protection locked="0"/>
    </xf>
    <xf numFmtId="0" fontId="96" fillId="0" borderId="0" xfId="2" applyFont="1" applyAlignment="1">
      <alignment horizontal="right"/>
    </xf>
    <xf numFmtId="0" fontId="97" fillId="0" borderId="0" xfId="2" applyFont="1" applyAlignment="1">
      <alignment horizontal="right"/>
    </xf>
    <xf numFmtId="0" fontId="10" fillId="0" borderId="1" xfId="2" applyFont="1" applyBorder="1"/>
    <xf numFmtId="0" fontId="6" fillId="0" borderId="1" xfId="2" applyBorder="1" applyProtection="1">
      <protection locked="0"/>
    </xf>
    <xf numFmtId="0" fontId="6" fillId="0" borderId="9" xfId="2" applyBorder="1" applyProtection="1">
      <protection locked="0"/>
    </xf>
    <xf numFmtId="0" fontId="6" fillId="0" borderId="2" xfId="2" applyBorder="1" applyProtection="1">
      <protection locked="0"/>
    </xf>
    <xf numFmtId="0" fontId="10" fillId="0" borderId="16" xfId="2" applyFont="1" applyBorder="1"/>
    <xf numFmtId="0" fontId="6" fillId="0" borderId="10" xfId="2" applyBorder="1" applyProtection="1">
      <protection locked="0"/>
    </xf>
    <xf numFmtId="0" fontId="6" fillId="0" borderId="0" xfId="2" applyProtection="1">
      <protection locked="0"/>
    </xf>
    <xf numFmtId="0" fontId="6" fillId="0" borderId="11" xfId="2" applyBorder="1" applyProtection="1">
      <protection locked="0"/>
    </xf>
    <xf numFmtId="0" fontId="11" fillId="0" borderId="0" xfId="2" applyFont="1"/>
    <xf numFmtId="0" fontId="10" fillId="0" borderId="12" xfId="2" applyFont="1" applyBorder="1"/>
    <xf numFmtId="0" fontId="6" fillId="0" borderId="12" xfId="2" applyBorder="1" applyProtection="1">
      <protection locked="0"/>
    </xf>
    <xf numFmtId="0" fontId="6" fillId="0" borderId="13" xfId="2" applyBorder="1" applyProtection="1">
      <protection locked="0"/>
    </xf>
    <xf numFmtId="0" fontId="6" fillId="0" borderId="6" xfId="2" applyBorder="1" applyProtection="1">
      <protection locked="0"/>
    </xf>
    <xf numFmtId="1" fontId="6" fillId="0" borderId="0" xfId="2" applyNumberFormat="1"/>
    <xf numFmtId="0" fontId="6" fillId="0" borderId="9" xfId="2" applyBorder="1"/>
    <xf numFmtId="0" fontId="6" fillId="0" borderId="2" xfId="2" applyBorder="1" applyAlignment="1">
      <alignment horizontal="center"/>
    </xf>
    <xf numFmtId="0" fontId="6" fillId="0" borderId="11" xfId="2" applyBorder="1" applyAlignment="1">
      <alignment horizontal="center"/>
    </xf>
    <xf numFmtId="0" fontId="98" fillId="0" borderId="0" xfId="2" applyFont="1" applyAlignment="1">
      <alignment horizontal="right"/>
    </xf>
    <xf numFmtId="0" fontId="4" fillId="0" borderId="0" xfId="2" applyFont="1" applyAlignment="1">
      <alignment horizontal="left"/>
    </xf>
    <xf numFmtId="0" fontId="4" fillId="0" borderId="0" xfId="2" applyFont="1" applyAlignment="1">
      <alignment horizontal="right"/>
    </xf>
    <xf numFmtId="0" fontId="3" fillId="0" borderId="0" xfId="2" applyFont="1" applyAlignment="1">
      <alignment horizontal="center"/>
    </xf>
    <xf numFmtId="0" fontId="100" fillId="0" borderId="0" xfId="2" applyFont="1" applyAlignment="1">
      <alignment horizontal="left"/>
    </xf>
    <xf numFmtId="0" fontId="6" fillId="0" borderId="13" xfId="2" applyBorder="1"/>
    <xf numFmtId="0" fontId="6" fillId="0" borderId="6" xfId="2" applyBorder="1" applyAlignment="1">
      <alignment horizontal="center"/>
    </xf>
    <xf numFmtId="0" fontId="6" fillId="0" borderId="1" xfId="2" applyBorder="1" applyAlignment="1">
      <alignment horizontal="center"/>
    </xf>
    <xf numFmtId="0" fontId="6" fillId="0" borderId="9" xfId="2" applyBorder="1" applyAlignment="1">
      <alignment horizontal="center"/>
    </xf>
    <xf numFmtId="0" fontId="6" fillId="0" borderId="10" xfId="2" applyBorder="1" applyAlignment="1">
      <alignment horizontal="center"/>
    </xf>
    <xf numFmtId="0" fontId="1" fillId="0" borderId="0" xfId="2" applyFont="1" applyAlignment="1">
      <alignment horizontal="center"/>
    </xf>
    <xf numFmtId="0" fontId="101" fillId="0" borderId="0" xfId="2" applyFont="1" applyAlignment="1">
      <alignment horizontal="right"/>
    </xf>
    <xf numFmtId="0" fontId="7" fillId="4" borderId="0" xfId="2" applyFont="1" applyFill="1"/>
    <xf numFmtId="0" fontId="7" fillId="38" borderId="0" xfId="2" applyFont="1" applyFill="1"/>
    <xf numFmtId="0" fontId="6" fillId="4" borderId="0" xfId="2" applyFill="1" applyAlignment="1" applyProtection="1">
      <alignment horizontal="center"/>
      <protection locked="0"/>
    </xf>
    <xf numFmtId="0" fontId="6" fillId="0" borderId="0" xfId="2" applyAlignment="1">
      <alignment horizontal="right" shrinkToFit="1"/>
    </xf>
    <xf numFmtId="0" fontId="90" fillId="0" borderId="0" xfId="2" applyFont="1" applyAlignment="1">
      <alignment shrinkToFit="1"/>
    </xf>
    <xf numFmtId="0" fontId="17" fillId="0" borderId="0" xfId="1" applyBorder="1" applyAlignment="1" applyProtection="1"/>
    <xf numFmtId="0" fontId="10" fillId="0" borderId="0" xfId="2" applyFont="1" applyProtection="1">
      <protection locked="0"/>
    </xf>
    <xf numFmtId="0" fontId="6" fillId="0" borderId="0" xfId="2" quotePrefix="1" applyAlignment="1" applyProtection="1">
      <alignment horizontal="center"/>
      <protection locked="0"/>
    </xf>
    <xf numFmtId="0" fontId="10" fillId="0" borderId="0" xfId="2" applyFont="1" applyAlignment="1" applyProtection="1">
      <alignment horizontal="center"/>
      <protection locked="0"/>
    </xf>
    <xf numFmtId="0" fontId="102" fillId="0" borderId="0" xfId="2" applyFont="1"/>
    <xf numFmtId="0" fontId="9" fillId="0" borderId="0" xfId="2" applyFont="1" applyAlignment="1" applyProtection="1">
      <alignment horizontal="center" shrinkToFit="1"/>
      <protection locked="0"/>
    </xf>
    <xf numFmtId="0" fontId="6" fillId="38" borderId="0" xfId="2" applyFill="1" applyAlignment="1">
      <alignment horizontal="center"/>
    </xf>
    <xf numFmtId="1" fontId="9" fillId="0" borderId="0" xfId="2" applyNumberFormat="1" applyFont="1" applyAlignment="1" applyProtection="1">
      <alignment horizontal="center"/>
      <protection locked="0"/>
    </xf>
    <xf numFmtId="0" fontId="10" fillId="0" borderId="0" xfId="2" applyFont="1" applyAlignment="1">
      <alignment horizontal="right"/>
    </xf>
    <xf numFmtId="0" fontId="6" fillId="9" borderId="0" xfId="2" applyFill="1" applyAlignment="1">
      <alignment horizontal="center"/>
    </xf>
    <xf numFmtId="0" fontId="7" fillId="0" borderId="0" xfId="2" applyFont="1" applyAlignment="1" applyProtection="1">
      <alignment horizontal="center"/>
      <protection locked="0"/>
    </xf>
    <xf numFmtId="0" fontId="5" fillId="2" borderId="0" xfId="2" applyFont="1" applyFill="1" applyAlignment="1">
      <alignment horizontal="center"/>
    </xf>
    <xf numFmtId="2" fontId="6" fillId="0" borderId="0" xfId="2" applyNumberFormat="1" applyAlignment="1">
      <alignment horizontal="center"/>
    </xf>
    <xf numFmtId="2" fontId="6" fillId="0" borderId="0" xfId="2" applyNumberFormat="1" applyAlignment="1">
      <alignment horizontal="center" shrinkToFit="1"/>
    </xf>
    <xf numFmtId="0" fontId="9" fillId="4" borderId="4" xfId="2" applyFont="1" applyFill="1" applyBorder="1" applyProtection="1">
      <protection locked="0"/>
    </xf>
    <xf numFmtId="0" fontId="6" fillId="0" borderId="5" xfId="2" applyBorder="1"/>
    <xf numFmtId="0" fontId="6" fillId="0" borderId="0" xfId="2" applyFill="1" applyAlignment="1">
      <alignment horizontal="center"/>
    </xf>
    <xf numFmtId="0" fontId="5" fillId="0" borderId="0" xfId="2" applyFont="1" applyFill="1" applyAlignment="1">
      <alignment horizontal="center"/>
    </xf>
    <xf numFmtId="0" fontId="6" fillId="0" borderId="0" xfId="2" applyFill="1"/>
    <xf numFmtId="0" fontId="5" fillId="3" borderId="0" xfId="2" applyFont="1" applyFill="1" applyAlignment="1">
      <alignment horizontal="center"/>
    </xf>
    <xf numFmtId="0" fontId="5" fillId="38" borderId="0" xfId="2" applyFont="1" applyFill="1" applyAlignment="1">
      <alignment horizontal="center"/>
    </xf>
    <xf numFmtId="0" fontId="5" fillId="9" borderId="0" xfId="2" applyFont="1" applyFill="1" applyAlignment="1">
      <alignment horizontal="center"/>
    </xf>
  </cellXfs>
  <cellStyles count="3">
    <cellStyle name="Hiperhivatkozás_W-Design-hu-2017.06.09" xfId="1" xr:uid="{00000000-0005-0000-0000-000000000000}"/>
    <cellStyle name="Normal" xfId="0" builtinId="0"/>
    <cellStyle name="Normál_W-Design-hu-2017.06.09" xfId="2" xr:uid="{00000000-0005-0000-0000-000002000000}"/>
  </cellStyles>
  <dxfs count="17">
    <dxf>
      <fill>
        <patternFill>
          <bgColor indexed="43"/>
        </patternFill>
      </fill>
    </dxf>
    <dxf>
      <fill>
        <patternFill>
          <bgColor indexed="41"/>
        </patternFill>
      </fill>
    </dxf>
    <dxf>
      <fill>
        <patternFill>
          <bgColor indexed="14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>
          <bgColor indexed="14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>
          <bgColor indexed="14"/>
        </patternFill>
      </fill>
    </dxf>
    <dxf>
      <fill>
        <patternFill>
          <bgColor indexed="14"/>
        </patternFill>
      </fill>
    </dxf>
    <dxf>
      <fill>
        <patternFill>
          <bgColor indexed="14"/>
        </patternFill>
      </fill>
    </dxf>
    <dxf>
      <fill>
        <patternFill>
          <bgColor indexed="14"/>
        </patternFill>
      </fill>
    </dxf>
    <dxf>
      <fill>
        <patternFill>
          <bgColor indexed="14"/>
        </patternFill>
      </fill>
    </dxf>
    <dxf>
      <fill>
        <patternFill>
          <bgColor indexed="14"/>
        </patternFill>
      </fill>
    </dxf>
    <dxf>
      <fill>
        <patternFill>
          <bgColor indexed="14"/>
        </patternFill>
      </fill>
    </dxf>
    <dxf>
      <fill>
        <patternFill>
          <bgColor indexed="1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000054931707681E-2"/>
          <c:y val="5.5000067138753835E-2"/>
          <c:w val="0.91250111389296129"/>
          <c:h val="0.89250108947886897"/>
        </c:manualLayout>
      </c:layout>
      <c:scatterChart>
        <c:scatterStyle val="lineMarker"/>
        <c:varyColors val="0"/>
        <c:ser>
          <c:idx val="0"/>
          <c:order val="0"/>
          <c:tx>
            <c:v>S</c:v>
          </c:tx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Layout!$AV$9:$AV$20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0.86602540378443871</c:v>
                </c:pt>
                <c:pt idx="4">
                  <c:v>-0.86602540378443837</c:v>
                </c:pt>
                <c:pt idx="5">
                  <c:v>-2.4492935982947064E-16</c:v>
                </c:pt>
                <c:pt idx="6">
                  <c:v>1.7320508075688774</c:v>
                </c:pt>
                <c:pt idx="7">
                  <c:v>-1.7320508075688767</c:v>
                </c:pt>
                <c:pt idx="8">
                  <c:v>-4.8985871965894128E-16</c:v>
                </c:pt>
                <c:pt idx="9">
                  <c:v>2.598076211353316</c:v>
                </c:pt>
                <c:pt idx="10">
                  <c:v>-2.5980762113533151</c:v>
                </c:pt>
                <c:pt idx="11">
                  <c:v>-7.3478807948841188E-16</c:v>
                </c:pt>
              </c:numCache>
            </c:numRef>
          </c:xVal>
          <c:yVal>
            <c:numRef>
              <c:f>Layout!$AW$9:$AW$20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-0.49999999999999978</c:v>
                </c:pt>
                <c:pt idx="4">
                  <c:v>-0.50000000000000044</c:v>
                </c:pt>
                <c:pt idx="5">
                  <c:v>1</c:v>
                </c:pt>
                <c:pt idx="6">
                  <c:v>-0.99999999999999956</c:v>
                </c:pt>
                <c:pt idx="7">
                  <c:v>-1.0000000000000009</c:v>
                </c:pt>
                <c:pt idx="8">
                  <c:v>2</c:v>
                </c:pt>
                <c:pt idx="9">
                  <c:v>-1.4999999999999993</c:v>
                </c:pt>
                <c:pt idx="10">
                  <c:v>-1.5000000000000013</c:v>
                </c:pt>
                <c:pt idx="1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01-4C2D-A659-BC997FE13FAE}"/>
            </c:ext>
          </c:extLst>
        </c:ser>
        <c:ser>
          <c:idx val="1"/>
          <c:order val="1"/>
          <c:tx>
            <c:v>E</c:v>
          </c:tx>
          <c:spPr>
            <a:ln w="28575">
              <a:noFill/>
            </a:ln>
          </c:spPr>
          <c:marker>
            <c:symbol val="square"/>
            <c:size val="2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Layout!$AX$9:$AX$20</c:f>
              <c:numCache>
                <c:formatCode>General</c:formatCode>
                <c:ptCount val="12"/>
                <c:pt idx="0">
                  <c:v>0.86602540378443871</c:v>
                </c:pt>
                <c:pt idx="1">
                  <c:v>-0.86602540378443837</c:v>
                </c:pt>
                <c:pt idx="2">
                  <c:v>-2.4492935982947064E-16</c:v>
                </c:pt>
                <c:pt idx="3">
                  <c:v>1.7320508075688774</c:v>
                </c:pt>
                <c:pt idx="4">
                  <c:v>-1.7320508075688767</c:v>
                </c:pt>
                <c:pt idx="5">
                  <c:v>-4.8985871965894128E-16</c:v>
                </c:pt>
                <c:pt idx="6">
                  <c:v>2.598076211353316</c:v>
                </c:pt>
                <c:pt idx="7">
                  <c:v>-2.5980762113533151</c:v>
                </c:pt>
                <c:pt idx="8">
                  <c:v>-7.3478807948841188E-16</c:v>
                </c:pt>
                <c:pt idx="9">
                  <c:v>3.4641016151377548</c:v>
                </c:pt>
                <c:pt idx="10">
                  <c:v>-3.4641016151377535</c:v>
                </c:pt>
                <c:pt idx="11">
                  <c:v>-9.7971743931788257E-16</c:v>
                </c:pt>
              </c:numCache>
            </c:numRef>
          </c:xVal>
          <c:yVal>
            <c:numRef>
              <c:f>Layout!$AY$9:$AY$20</c:f>
              <c:numCache>
                <c:formatCode>General</c:formatCode>
                <c:ptCount val="12"/>
                <c:pt idx="0">
                  <c:v>-0.49999999999999978</c:v>
                </c:pt>
                <c:pt idx="1">
                  <c:v>-0.50000000000000044</c:v>
                </c:pt>
                <c:pt idx="2">
                  <c:v>1</c:v>
                </c:pt>
                <c:pt idx="3">
                  <c:v>-0.99999999999999956</c:v>
                </c:pt>
                <c:pt idx="4">
                  <c:v>-1.0000000000000009</c:v>
                </c:pt>
                <c:pt idx="5">
                  <c:v>2</c:v>
                </c:pt>
                <c:pt idx="6">
                  <c:v>-1.4999999999999993</c:v>
                </c:pt>
                <c:pt idx="7">
                  <c:v>-1.5000000000000013</c:v>
                </c:pt>
                <c:pt idx="8">
                  <c:v>3</c:v>
                </c:pt>
                <c:pt idx="9">
                  <c:v>-1.9999999999999991</c:v>
                </c:pt>
                <c:pt idx="10">
                  <c:v>-2.0000000000000018</c:v>
                </c:pt>
                <c:pt idx="1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01-4C2D-A659-BC997FE13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734952"/>
        <c:axId val="1"/>
      </c:scatterChart>
      <c:valAx>
        <c:axId val="422734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hu-H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hu-HU"/>
          </a:p>
        </c:txPr>
        <c:crossAx val="4227349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hu-HU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632911392405063E-2"/>
          <c:y val="5.5276381909547742E-2"/>
          <c:w val="0.90126582278481016"/>
          <c:h val="0.89195979899497491"/>
        </c:manualLayout>
      </c:layout>
      <c:scatterChart>
        <c:scatterStyle val="lineMarker"/>
        <c:varyColors val="0"/>
        <c:ser>
          <c:idx val="0"/>
          <c:order val="0"/>
          <c:tx>
            <c:v>S</c:v>
          </c:tx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Layout!$BD$9:$BD$20</c:f>
              <c:numCache>
                <c:formatCode>General</c:formatCode>
                <c:ptCount val="12"/>
                <c:pt idx="0">
                  <c:v>0</c:v>
                </c:pt>
                <c:pt idx="1">
                  <c:v>0.86602540378443871</c:v>
                </c:pt>
                <c:pt idx="2">
                  <c:v>1.7320508075688774</c:v>
                </c:pt>
                <c:pt idx="3">
                  <c:v>2.598076211353316</c:v>
                </c:pt>
                <c:pt idx="4">
                  <c:v>0</c:v>
                </c:pt>
                <c:pt idx="5">
                  <c:v>-0.86602540378443837</c:v>
                </c:pt>
                <c:pt idx="6">
                  <c:v>-1.7320508075688767</c:v>
                </c:pt>
                <c:pt idx="7">
                  <c:v>-2.5980762113533151</c:v>
                </c:pt>
                <c:pt idx="8">
                  <c:v>0</c:v>
                </c:pt>
                <c:pt idx="9">
                  <c:v>-2.4492935982947064E-16</c:v>
                </c:pt>
                <c:pt idx="10">
                  <c:v>-4.8985871965894128E-16</c:v>
                </c:pt>
                <c:pt idx="11">
                  <c:v>-7.3478807948841188E-16</c:v>
                </c:pt>
              </c:numCache>
            </c:numRef>
          </c:xVal>
          <c:yVal>
            <c:numRef>
              <c:f>Layout!$BE$9:$BE$20</c:f>
              <c:numCache>
                <c:formatCode>General</c:formatCode>
                <c:ptCount val="12"/>
                <c:pt idx="0">
                  <c:v>0</c:v>
                </c:pt>
                <c:pt idx="1">
                  <c:v>-0.49999999999999978</c:v>
                </c:pt>
                <c:pt idx="2">
                  <c:v>-0.99999999999999956</c:v>
                </c:pt>
                <c:pt idx="3">
                  <c:v>-1.4999999999999993</c:v>
                </c:pt>
                <c:pt idx="4">
                  <c:v>0</c:v>
                </c:pt>
                <c:pt idx="5">
                  <c:v>-0.50000000000000044</c:v>
                </c:pt>
                <c:pt idx="6">
                  <c:v>-1.0000000000000009</c:v>
                </c:pt>
                <c:pt idx="7">
                  <c:v>-1.5000000000000013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CC-46C7-9ABC-0A292169FF52}"/>
            </c:ext>
          </c:extLst>
        </c:ser>
        <c:ser>
          <c:idx val="1"/>
          <c:order val="1"/>
          <c:tx>
            <c:v>E</c:v>
          </c:tx>
          <c:spPr>
            <a:ln w="28575">
              <a:noFill/>
            </a:ln>
          </c:spPr>
          <c:marker>
            <c:symbol val="square"/>
            <c:size val="2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Layout!$BF$9:$BF$20</c:f>
              <c:numCache>
                <c:formatCode>General</c:formatCode>
                <c:ptCount val="12"/>
                <c:pt idx="0">
                  <c:v>0.86602540378443871</c:v>
                </c:pt>
                <c:pt idx="1">
                  <c:v>1.7320508075688774</c:v>
                </c:pt>
                <c:pt idx="2">
                  <c:v>2.598076211353316</c:v>
                </c:pt>
                <c:pt idx="3">
                  <c:v>3.4641016151377548</c:v>
                </c:pt>
                <c:pt idx="4">
                  <c:v>-0.86602540378443837</c:v>
                </c:pt>
                <c:pt idx="5">
                  <c:v>-1.7320508075688767</c:v>
                </c:pt>
                <c:pt idx="6">
                  <c:v>-2.5980762113533151</c:v>
                </c:pt>
                <c:pt idx="7">
                  <c:v>-3.4641016151377535</c:v>
                </c:pt>
                <c:pt idx="8">
                  <c:v>-2.4492935982947064E-16</c:v>
                </c:pt>
                <c:pt idx="9">
                  <c:v>-4.8985871965894128E-16</c:v>
                </c:pt>
                <c:pt idx="10">
                  <c:v>-7.3478807948841188E-16</c:v>
                </c:pt>
                <c:pt idx="11">
                  <c:v>-9.7971743931788257E-16</c:v>
                </c:pt>
              </c:numCache>
            </c:numRef>
          </c:xVal>
          <c:yVal>
            <c:numRef>
              <c:f>Layout!$BG$9:$BG$20</c:f>
              <c:numCache>
                <c:formatCode>General</c:formatCode>
                <c:ptCount val="12"/>
                <c:pt idx="0">
                  <c:v>-0.49999999999999978</c:v>
                </c:pt>
                <c:pt idx="1">
                  <c:v>-0.99999999999999956</c:v>
                </c:pt>
                <c:pt idx="2">
                  <c:v>-1.4999999999999993</c:v>
                </c:pt>
                <c:pt idx="3">
                  <c:v>-1.9999999999999991</c:v>
                </c:pt>
                <c:pt idx="4">
                  <c:v>-0.50000000000000044</c:v>
                </c:pt>
                <c:pt idx="5">
                  <c:v>-1.0000000000000009</c:v>
                </c:pt>
                <c:pt idx="6">
                  <c:v>-1.5000000000000013</c:v>
                </c:pt>
                <c:pt idx="7">
                  <c:v>-2.0000000000000018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CC-46C7-9ABC-0A292169F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735280"/>
        <c:axId val="1"/>
      </c:scatterChart>
      <c:valAx>
        <c:axId val="422735280"/>
        <c:scaling>
          <c:orientation val="minMax"/>
          <c:max val="4"/>
          <c:min val="-4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hu-HU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4"/>
          <c:min val="-4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hu-HU"/>
          </a:p>
        </c:txPr>
        <c:crossAx val="4227352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hu-HU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3263288009888753E-2"/>
          <c:y val="7.331378299120235E-2"/>
          <c:w val="0.93943139678615573"/>
          <c:h val="0.85630498533724342"/>
        </c:manualLayout>
      </c:layout>
      <c:barChart>
        <c:barDir val="col"/>
        <c:grouping val="clustered"/>
        <c:varyColors val="0"/>
        <c:ser>
          <c:idx val="0"/>
          <c:order val="0"/>
          <c:tx>
            <c:v>G</c:v>
          </c:tx>
          <c:spPr>
            <a:solidFill>
              <a:srgbClr val="969696"/>
            </a:solidFill>
            <a:ln w="12700">
              <a:solidFill>
                <a:srgbClr val="969696"/>
              </a:solidFill>
              <a:prstDash val="solid"/>
            </a:ln>
          </c:spPr>
          <c:invertIfNegative val="0"/>
          <c:cat>
            <c:numRef>
              <c:f>Layout!$BL$11:$BL$100</c:f>
              <c:numCache>
                <c:formatCode>General</c:formatCode>
                <c:ptCount val="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</c:numCache>
            </c:numRef>
          </c:cat>
          <c:val>
            <c:numRef>
              <c:f>Layout!$BM$11:$BM$130</c:f>
              <c:numCache>
                <c:formatCode>General</c:formatCode>
                <c:ptCount val="120"/>
                <c:pt idx="0">
                  <c:v>0.99999999999999989</c:v>
                </c:pt>
                <c:pt idx="1">
                  <c:v>0.99999999999999989</c:v>
                </c:pt>
                <c:pt idx="2">
                  <c:v>0.99999999999999989</c:v>
                </c:pt>
                <c:pt idx="3">
                  <c:v>0.99999999999999989</c:v>
                </c:pt>
                <c:pt idx="4">
                  <c:v>0.99999999999999989</c:v>
                </c:pt>
                <c:pt idx="5">
                  <c:v>0.99999999999999989</c:v>
                </c:pt>
                <c:pt idx="6">
                  <c:v>0.99999999999999989</c:v>
                </c:pt>
                <c:pt idx="7">
                  <c:v>0.99999999999999989</c:v>
                </c:pt>
                <c:pt idx="8">
                  <c:v>0.99999999999999989</c:v>
                </c:pt>
                <c:pt idx="9">
                  <c:v>0.99999999999999989</c:v>
                </c:pt>
                <c:pt idx="10">
                  <c:v>-0.49999999999999989</c:v>
                </c:pt>
                <c:pt idx="11">
                  <c:v>-0.49999999999999989</c:v>
                </c:pt>
                <c:pt idx="12">
                  <c:v>-0.49999999999999989</c:v>
                </c:pt>
                <c:pt idx="13">
                  <c:v>-0.49999999999999989</c:v>
                </c:pt>
                <c:pt idx="14">
                  <c:v>-0.49999999999999989</c:v>
                </c:pt>
                <c:pt idx="15">
                  <c:v>-0.49999999999999989</c:v>
                </c:pt>
                <c:pt idx="16">
                  <c:v>-0.49999999999999989</c:v>
                </c:pt>
                <c:pt idx="17">
                  <c:v>-0.49999999999999989</c:v>
                </c:pt>
                <c:pt idx="18">
                  <c:v>-0.49999999999999989</c:v>
                </c:pt>
                <c:pt idx="19">
                  <c:v>-0.49999999999999989</c:v>
                </c:pt>
                <c:pt idx="20">
                  <c:v>-0.50000000000000056</c:v>
                </c:pt>
                <c:pt idx="21">
                  <c:v>-0.50000000000000056</c:v>
                </c:pt>
                <c:pt idx="22">
                  <c:v>-0.50000000000000056</c:v>
                </c:pt>
                <c:pt idx="23">
                  <c:v>-0.50000000000000056</c:v>
                </c:pt>
                <c:pt idx="24">
                  <c:v>-0.50000000000000056</c:v>
                </c:pt>
                <c:pt idx="25">
                  <c:v>-0.50000000000000056</c:v>
                </c:pt>
                <c:pt idx="26">
                  <c:v>-0.50000000000000056</c:v>
                </c:pt>
                <c:pt idx="27">
                  <c:v>-0.50000000000000056</c:v>
                </c:pt>
                <c:pt idx="28">
                  <c:v>-0.50000000000000056</c:v>
                </c:pt>
                <c:pt idx="29">
                  <c:v>-0.50000000000000056</c:v>
                </c:pt>
                <c:pt idx="30">
                  <c:v>0.99999999999999989</c:v>
                </c:pt>
                <c:pt idx="31">
                  <c:v>0.99999999999999989</c:v>
                </c:pt>
                <c:pt idx="32">
                  <c:v>0.99999999999999989</c:v>
                </c:pt>
                <c:pt idx="33">
                  <c:v>0.99999999999999989</c:v>
                </c:pt>
                <c:pt idx="34">
                  <c:v>0.99999999999999989</c:v>
                </c:pt>
                <c:pt idx="35">
                  <c:v>0.99999999999999989</c:v>
                </c:pt>
                <c:pt idx="36">
                  <c:v>0.99999999999999989</c:v>
                </c:pt>
                <c:pt idx="37">
                  <c:v>0.99999999999999989</c:v>
                </c:pt>
                <c:pt idx="38">
                  <c:v>0.99999999999999989</c:v>
                </c:pt>
                <c:pt idx="39">
                  <c:v>0.99999999999999989</c:v>
                </c:pt>
                <c:pt idx="40">
                  <c:v>-0.49999999999999989</c:v>
                </c:pt>
                <c:pt idx="41">
                  <c:v>-0.49999999999999989</c:v>
                </c:pt>
                <c:pt idx="42">
                  <c:v>-0.49999999999999989</c:v>
                </c:pt>
                <c:pt idx="43">
                  <c:v>-0.49999999999999989</c:v>
                </c:pt>
                <c:pt idx="44">
                  <c:v>-0.49999999999999989</c:v>
                </c:pt>
                <c:pt idx="45">
                  <c:v>-0.49999999999999989</c:v>
                </c:pt>
                <c:pt idx="46">
                  <c:v>-0.49999999999999989</c:v>
                </c:pt>
                <c:pt idx="47">
                  <c:v>-0.49999999999999989</c:v>
                </c:pt>
                <c:pt idx="48">
                  <c:v>-0.49999999999999989</c:v>
                </c:pt>
                <c:pt idx="49">
                  <c:v>-0.49999999999999989</c:v>
                </c:pt>
                <c:pt idx="50">
                  <c:v>-0.50000000000000056</c:v>
                </c:pt>
                <c:pt idx="51">
                  <c:v>-0.50000000000000056</c:v>
                </c:pt>
                <c:pt idx="52">
                  <c:v>-0.50000000000000056</c:v>
                </c:pt>
                <c:pt idx="53">
                  <c:v>-0.50000000000000056</c:v>
                </c:pt>
                <c:pt idx="54">
                  <c:v>-0.50000000000000056</c:v>
                </c:pt>
                <c:pt idx="55">
                  <c:v>-0.50000000000000056</c:v>
                </c:pt>
                <c:pt idx="56">
                  <c:v>-0.50000000000000056</c:v>
                </c:pt>
                <c:pt idx="57">
                  <c:v>-0.50000000000000056</c:v>
                </c:pt>
                <c:pt idx="58">
                  <c:v>-0.50000000000000056</c:v>
                </c:pt>
                <c:pt idx="59">
                  <c:v>-0.50000000000000056</c:v>
                </c:pt>
                <c:pt idx="60">
                  <c:v>0.99999999999999989</c:v>
                </c:pt>
                <c:pt idx="61">
                  <c:v>0.99999999999999989</c:v>
                </c:pt>
                <c:pt idx="62">
                  <c:v>0.99999999999999989</c:v>
                </c:pt>
                <c:pt idx="63">
                  <c:v>0.99999999999999989</c:v>
                </c:pt>
                <c:pt idx="64">
                  <c:v>0.99999999999999989</c:v>
                </c:pt>
                <c:pt idx="65">
                  <c:v>0.99999999999999989</c:v>
                </c:pt>
                <c:pt idx="66">
                  <c:v>0.99999999999999989</c:v>
                </c:pt>
                <c:pt idx="67">
                  <c:v>0.99999999999999989</c:v>
                </c:pt>
                <c:pt idx="68">
                  <c:v>0.99999999999999989</c:v>
                </c:pt>
                <c:pt idx="69">
                  <c:v>0.99999999999999989</c:v>
                </c:pt>
                <c:pt idx="70">
                  <c:v>-0.49999999999999989</c:v>
                </c:pt>
                <c:pt idx="71">
                  <c:v>-0.49999999999999989</c:v>
                </c:pt>
                <c:pt idx="72">
                  <c:v>-0.49999999999999989</c:v>
                </c:pt>
                <c:pt idx="73">
                  <c:v>-0.49999999999999989</c:v>
                </c:pt>
                <c:pt idx="74">
                  <c:v>-0.49999999999999989</c:v>
                </c:pt>
                <c:pt idx="75">
                  <c:v>-0.49999999999999989</c:v>
                </c:pt>
                <c:pt idx="76">
                  <c:v>-0.49999999999999989</c:v>
                </c:pt>
                <c:pt idx="77">
                  <c:v>-0.49999999999999989</c:v>
                </c:pt>
                <c:pt idx="78">
                  <c:v>-0.49999999999999989</c:v>
                </c:pt>
                <c:pt idx="79">
                  <c:v>-0.49999999999999989</c:v>
                </c:pt>
                <c:pt idx="80">
                  <c:v>-0.50000000000000056</c:v>
                </c:pt>
                <c:pt idx="81">
                  <c:v>-0.50000000000000056</c:v>
                </c:pt>
                <c:pt idx="82">
                  <c:v>-0.50000000000000056</c:v>
                </c:pt>
                <c:pt idx="83">
                  <c:v>-0.50000000000000056</c:v>
                </c:pt>
                <c:pt idx="84">
                  <c:v>-0.50000000000000056</c:v>
                </c:pt>
                <c:pt idx="85">
                  <c:v>-0.50000000000000056</c:v>
                </c:pt>
                <c:pt idx="86">
                  <c:v>-0.50000000000000056</c:v>
                </c:pt>
                <c:pt idx="87">
                  <c:v>-0.50000000000000056</c:v>
                </c:pt>
                <c:pt idx="88">
                  <c:v>-0.50000000000000056</c:v>
                </c:pt>
                <c:pt idx="89">
                  <c:v>-0.50000000000000056</c:v>
                </c:pt>
                <c:pt idx="90">
                  <c:v>0.99999999999999989</c:v>
                </c:pt>
                <c:pt idx="91">
                  <c:v>0.99999999999999989</c:v>
                </c:pt>
                <c:pt idx="92">
                  <c:v>0.99999999999999989</c:v>
                </c:pt>
                <c:pt idx="93">
                  <c:v>0.99999999999999989</c:v>
                </c:pt>
                <c:pt idx="94">
                  <c:v>0.99999999999999989</c:v>
                </c:pt>
                <c:pt idx="95">
                  <c:v>0.99999999999999989</c:v>
                </c:pt>
                <c:pt idx="96">
                  <c:v>0.99999999999999989</c:v>
                </c:pt>
                <c:pt idx="97">
                  <c:v>0.99999999999999989</c:v>
                </c:pt>
                <c:pt idx="98">
                  <c:v>0.99999999999999989</c:v>
                </c:pt>
                <c:pt idx="99">
                  <c:v>0.99999999999999989</c:v>
                </c:pt>
                <c:pt idx="100">
                  <c:v>-0.49999999999999989</c:v>
                </c:pt>
                <c:pt idx="101">
                  <c:v>-0.49999999999999989</c:v>
                </c:pt>
                <c:pt idx="102">
                  <c:v>-0.49999999999999989</c:v>
                </c:pt>
                <c:pt idx="103">
                  <c:v>-0.49999999999999989</c:v>
                </c:pt>
                <c:pt idx="104">
                  <c:v>-0.49999999999999989</c:v>
                </c:pt>
                <c:pt idx="105">
                  <c:v>-0.49999999999999989</c:v>
                </c:pt>
                <c:pt idx="106">
                  <c:v>-0.49999999999999989</c:v>
                </c:pt>
                <c:pt idx="107">
                  <c:v>-0.49999999999999989</c:v>
                </c:pt>
                <c:pt idx="108">
                  <c:v>-0.49999999999999989</c:v>
                </c:pt>
                <c:pt idx="109">
                  <c:v>-0.49999999999999989</c:v>
                </c:pt>
                <c:pt idx="110">
                  <c:v>-0.50000000000000056</c:v>
                </c:pt>
                <c:pt idx="111">
                  <c:v>-0.50000000000000056</c:v>
                </c:pt>
                <c:pt idx="112">
                  <c:v>-0.50000000000000056</c:v>
                </c:pt>
                <c:pt idx="113">
                  <c:v>-0.50000000000000056</c:v>
                </c:pt>
                <c:pt idx="114">
                  <c:v>-0.50000000000000056</c:v>
                </c:pt>
                <c:pt idx="115">
                  <c:v>-0.50000000000000056</c:v>
                </c:pt>
                <c:pt idx="116">
                  <c:v>-0.50000000000000056</c:v>
                </c:pt>
                <c:pt idx="117">
                  <c:v>-0.50000000000000056</c:v>
                </c:pt>
                <c:pt idx="118">
                  <c:v>-0.50000000000000056</c:v>
                </c:pt>
                <c:pt idx="119">
                  <c:v>-0.50000000000000056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E-49B8-A607-8D388ABDB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22734296"/>
        <c:axId val="1"/>
      </c:barChart>
      <c:scatterChart>
        <c:scatterStyle val="lineMarker"/>
        <c:varyColors val="0"/>
        <c:ser>
          <c:idx val="1"/>
          <c:order val="1"/>
          <c:tx>
            <c:v>S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Layout!$BL$11:$BL$130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Layout!$BN$11:$BN$130</c:f>
              <c:numCache>
                <c:formatCode>General</c:formatCode>
                <c:ptCount val="120"/>
                <c:pt idx="0">
                  <c:v>0.55336655714511529</c:v>
                </c:pt>
                <c:pt idx="1">
                  <c:v>0.66905166882929723</c:v>
                </c:pt>
                <c:pt idx="2">
                  <c:v>0.75549601211953632</c:v>
                </c:pt>
                <c:pt idx="3">
                  <c:v>0.8089215544080679</c:v>
                </c:pt>
                <c:pt idx="4">
                  <c:v>0.82699334313268813</c:v>
                </c:pt>
                <c:pt idx="5">
                  <c:v>0.80892155440806757</c:v>
                </c:pt>
                <c:pt idx="6">
                  <c:v>0.75549601211953588</c:v>
                </c:pt>
                <c:pt idx="7">
                  <c:v>0.66905166882929645</c:v>
                </c:pt>
                <c:pt idx="8">
                  <c:v>0.55336655714511451</c:v>
                </c:pt>
                <c:pt idx="9">
                  <c:v>0.41349667156634368</c:v>
                </c:pt>
                <c:pt idx="10">
                  <c:v>0.25555499726295261</c:v>
                </c:pt>
                <c:pt idx="11">
                  <c:v>8.6444343290238618E-2</c:v>
                </c:pt>
                <c:pt idx="12">
                  <c:v>-8.6444343290239506E-2</c:v>
                </c:pt>
                <c:pt idx="13">
                  <c:v>-0.25555499726295311</c:v>
                </c:pt>
                <c:pt idx="14">
                  <c:v>-0.41349667156634451</c:v>
                </c:pt>
                <c:pt idx="15">
                  <c:v>-0.55336655714511518</c:v>
                </c:pt>
                <c:pt idx="16">
                  <c:v>-0.6690516688292969</c:v>
                </c:pt>
                <c:pt idx="17">
                  <c:v>-0.75549601211953643</c:v>
                </c:pt>
                <c:pt idx="18">
                  <c:v>-0.80892155440806779</c:v>
                </c:pt>
                <c:pt idx="19">
                  <c:v>-0.82699334313268813</c:v>
                </c:pt>
                <c:pt idx="20">
                  <c:v>-0.80892155440806757</c:v>
                </c:pt>
                <c:pt idx="21">
                  <c:v>-0.75549601211953599</c:v>
                </c:pt>
                <c:pt idx="22">
                  <c:v>-0.66905166882929701</c:v>
                </c:pt>
                <c:pt idx="23">
                  <c:v>-0.55336655714511429</c:v>
                </c:pt>
                <c:pt idx="24">
                  <c:v>-0.41349667156634379</c:v>
                </c:pt>
                <c:pt idx="25">
                  <c:v>-0.25555499726295305</c:v>
                </c:pt>
                <c:pt idx="26">
                  <c:v>-8.6444343290238354E-2</c:v>
                </c:pt>
                <c:pt idx="27">
                  <c:v>8.6444343290239423E-2</c:v>
                </c:pt>
                <c:pt idx="28">
                  <c:v>0.25555499726295267</c:v>
                </c:pt>
                <c:pt idx="29">
                  <c:v>0.41349667156634473</c:v>
                </c:pt>
                <c:pt idx="30">
                  <c:v>0.55336655714511507</c:v>
                </c:pt>
                <c:pt idx="31">
                  <c:v>0.66905166882929679</c:v>
                </c:pt>
                <c:pt idx="32">
                  <c:v>0.75549601211953632</c:v>
                </c:pt>
                <c:pt idx="33">
                  <c:v>0.80892155440806779</c:v>
                </c:pt>
                <c:pt idx="34">
                  <c:v>0.82699334313268813</c:v>
                </c:pt>
                <c:pt idx="35">
                  <c:v>0.80892155440806757</c:v>
                </c:pt>
                <c:pt idx="36">
                  <c:v>0.75549601211953599</c:v>
                </c:pt>
                <c:pt idx="37">
                  <c:v>0.66905166882929701</c:v>
                </c:pt>
                <c:pt idx="38">
                  <c:v>0.5533665571451144</c:v>
                </c:pt>
                <c:pt idx="39">
                  <c:v>0.4134966715663439</c:v>
                </c:pt>
                <c:pt idx="40">
                  <c:v>0.25555499726295317</c:v>
                </c:pt>
                <c:pt idx="41">
                  <c:v>8.6444343290238451E-2</c:v>
                </c:pt>
                <c:pt idx="42">
                  <c:v>-8.6444343290239312E-2</c:v>
                </c:pt>
                <c:pt idx="43">
                  <c:v>-0.25555499726295255</c:v>
                </c:pt>
                <c:pt idx="44">
                  <c:v>-0.41349667156634462</c:v>
                </c:pt>
                <c:pt idx="45">
                  <c:v>-0.55336655714511507</c:v>
                </c:pt>
                <c:pt idx="46">
                  <c:v>-0.66905166882929679</c:v>
                </c:pt>
                <c:pt idx="47">
                  <c:v>-0.75549601211953632</c:v>
                </c:pt>
                <c:pt idx="48">
                  <c:v>-0.80892155440806779</c:v>
                </c:pt>
                <c:pt idx="49">
                  <c:v>-0.82699334313268813</c:v>
                </c:pt>
                <c:pt idx="50">
                  <c:v>-0.80892155440806757</c:v>
                </c:pt>
                <c:pt idx="51">
                  <c:v>-0.75549601211953599</c:v>
                </c:pt>
                <c:pt idx="52">
                  <c:v>-0.66905166882929712</c:v>
                </c:pt>
                <c:pt idx="53">
                  <c:v>-0.55336655714511451</c:v>
                </c:pt>
                <c:pt idx="54">
                  <c:v>-0.41349667156634395</c:v>
                </c:pt>
                <c:pt idx="55">
                  <c:v>-0.25555499726295322</c:v>
                </c:pt>
                <c:pt idx="56">
                  <c:v>-8.6444343290238562E-2</c:v>
                </c:pt>
                <c:pt idx="57">
                  <c:v>8.6444343290239214E-2</c:v>
                </c:pt>
                <c:pt idx="58">
                  <c:v>0.25555499726295244</c:v>
                </c:pt>
                <c:pt idx="59">
                  <c:v>0.41349667156634451</c:v>
                </c:pt>
                <c:pt idx="60">
                  <c:v>0.55336655714511496</c:v>
                </c:pt>
                <c:pt idx="61">
                  <c:v>0.66905166882929668</c:v>
                </c:pt>
                <c:pt idx="62">
                  <c:v>0.75549601211953632</c:v>
                </c:pt>
                <c:pt idx="63">
                  <c:v>0.80892155440806779</c:v>
                </c:pt>
                <c:pt idx="64">
                  <c:v>0.82699334313268813</c:v>
                </c:pt>
                <c:pt idx="65">
                  <c:v>0.80892155440806757</c:v>
                </c:pt>
                <c:pt idx="66">
                  <c:v>0.75549601211953599</c:v>
                </c:pt>
                <c:pt idx="67">
                  <c:v>0.66905166882929723</c:v>
                </c:pt>
                <c:pt idx="68">
                  <c:v>0.55336655714511451</c:v>
                </c:pt>
                <c:pt idx="69">
                  <c:v>0.41349667156634407</c:v>
                </c:pt>
                <c:pt idx="70">
                  <c:v>0.25555499726295333</c:v>
                </c:pt>
                <c:pt idx="71">
                  <c:v>8.6444343290238659E-2</c:v>
                </c:pt>
                <c:pt idx="72">
                  <c:v>-8.6444343290239117E-2</c:v>
                </c:pt>
                <c:pt idx="73">
                  <c:v>-0.25555499726295094</c:v>
                </c:pt>
                <c:pt idx="74">
                  <c:v>-0.41349667156634318</c:v>
                </c:pt>
                <c:pt idx="75">
                  <c:v>-0.55336655714511485</c:v>
                </c:pt>
                <c:pt idx="76">
                  <c:v>-0.66905166882929579</c:v>
                </c:pt>
                <c:pt idx="77">
                  <c:v>-0.75549601211953565</c:v>
                </c:pt>
                <c:pt idx="78">
                  <c:v>-0.80892155440806712</c:v>
                </c:pt>
                <c:pt idx="79">
                  <c:v>-0.82699334313268813</c:v>
                </c:pt>
                <c:pt idx="80">
                  <c:v>-0.80892155440806801</c:v>
                </c:pt>
                <c:pt idx="81">
                  <c:v>-0.75549601211953732</c:v>
                </c:pt>
                <c:pt idx="82">
                  <c:v>-0.66905166882929812</c:v>
                </c:pt>
                <c:pt idx="83">
                  <c:v>-0.55336655714511562</c:v>
                </c:pt>
                <c:pt idx="84">
                  <c:v>-0.41349667156634673</c:v>
                </c:pt>
                <c:pt idx="85">
                  <c:v>-0.25555499726295483</c:v>
                </c:pt>
                <c:pt idx="86">
                  <c:v>-8.6444343290240228E-2</c:v>
                </c:pt>
                <c:pt idx="87">
                  <c:v>8.6444343290236092E-2</c:v>
                </c:pt>
                <c:pt idx="88">
                  <c:v>0.25555499726295083</c:v>
                </c:pt>
                <c:pt idx="89">
                  <c:v>0.41349667156634312</c:v>
                </c:pt>
                <c:pt idx="90">
                  <c:v>0.55336655714511263</c:v>
                </c:pt>
                <c:pt idx="91">
                  <c:v>0.66905166882929568</c:v>
                </c:pt>
                <c:pt idx="92">
                  <c:v>0.75549601211953554</c:v>
                </c:pt>
                <c:pt idx="93">
                  <c:v>0.80892155440806712</c:v>
                </c:pt>
                <c:pt idx="94">
                  <c:v>0.82699334313268813</c:v>
                </c:pt>
                <c:pt idx="95">
                  <c:v>0.80892155440806801</c:v>
                </c:pt>
                <c:pt idx="96">
                  <c:v>0.75549601211953732</c:v>
                </c:pt>
                <c:pt idx="97">
                  <c:v>0.66905166882929823</c:v>
                </c:pt>
                <c:pt idx="98">
                  <c:v>0.55336655714511573</c:v>
                </c:pt>
                <c:pt idx="99">
                  <c:v>0.41349667156634684</c:v>
                </c:pt>
                <c:pt idx="100">
                  <c:v>0.25555499726295489</c:v>
                </c:pt>
                <c:pt idx="101">
                  <c:v>8.6444343290240325E-2</c:v>
                </c:pt>
                <c:pt idx="102">
                  <c:v>-8.6444343290235995E-2</c:v>
                </c:pt>
                <c:pt idx="103">
                  <c:v>-0.25555499726295078</c:v>
                </c:pt>
                <c:pt idx="104">
                  <c:v>-0.41349667156634301</c:v>
                </c:pt>
                <c:pt idx="105">
                  <c:v>-0.55336655714511251</c:v>
                </c:pt>
                <c:pt idx="106">
                  <c:v>-0.66905166882929568</c:v>
                </c:pt>
                <c:pt idx="107">
                  <c:v>-0.75549601211953554</c:v>
                </c:pt>
                <c:pt idx="108">
                  <c:v>-0.80892155440806701</c:v>
                </c:pt>
                <c:pt idx="109">
                  <c:v>-0.82699334313268813</c:v>
                </c:pt>
                <c:pt idx="110">
                  <c:v>-0.80892155440806801</c:v>
                </c:pt>
                <c:pt idx="111">
                  <c:v>-0.75549601211953743</c:v>
                </c:pt>
                <c:pt idx="112">
                  <c:v>-0.66905166882929823</c:v>
                </c:pt>
                <c:pt idx="113">
                  <c:v>-0.55336655714511584</c:v>
                </c:pt>
                <c:pt idx="114">
                  <c:v>-0.4134966715663469</c:v>
                </c:pt>
                <c:pt idx="115">
                  <c:v>-0.25555499726295505</c:v>
                </c:pt>
                <c:pt idx="116">
                  <c:v>-8.6444343290240422E-2</c:v>
                </c:pt>
                <c:pt idx="117">
                  <c:v>8.6444343290235884E-2</c:v>
                </c:pt>
                <c:pt idx="118">
                  <c:v>0.25555499726295067</c:v>
                </c:pt>
                <c:pt idx="119">
                  <c:v>0.4134966715663429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3E-49B8-A607-8D388ABDB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734296"/>
        <c:axId val="1"/>
      </c:scatterChart>
      <c:catAx>
        <c:axId val="422734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hu-HU"/>
          </a:p>
        </c:txPr>
        <c:crossAx val="42273429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hu-HU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41791044776122E-2"/>
          <c:y val="5.2301308656377339E-2"/>
          <c:w val="0.80223880597014929"/>
          <c:h val="0.89749045654343507"/>
        </c:manualLayout>
      </c:layout>
      <c:scatterChart>
        <c:scatterStyle val="lineMarker"/>
        <c:varyColors val="0"/>
        <c:ser>
          <c:idx val="0"/>
          <c:order val="0"/>
          <c:tx>
            <c:v>V1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diamond"/>
            <c:size val="4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Layout!$AB$63:$AB$163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0.50000000000000022</c:v>
                </c:pt>
                <c:pt idx="3">
                  <c:v>-2.2204460492503131E-16</c:v>
                </c:pt>
                <c:pt idx="4">
                  <c:v>0.99999999999999978</c:v>
                </c:pt>
                <c:pt idx="5">
                  <c:v>1.9999999999999998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  <c:pt idx="14">
                  <c:v>11</c:v>
                </c:pt>
                <c:pt idx="15">
                  <c:v>12</c:v>
                </c:pt>
                <c:pt idx="16">
                  <c:v>13</c:v>
                </c:pt>
                <c:pt idx="17">
                  <c:v>14</c:v>
                </c:pt>
                <c:pt idx="18">
                  <c:v>15</c:v>
                </c:pt>
                <c:pt idx="19">
                  <c:v>16</c:v>
                </c:pt>
                <c:pt idx="20">
                  <c:v>17</c:v>
                </c:pt>
                <c:pt idx="21">
                  <c:v>18</c:v>
                </c:pt>
                <c:pt idx="22">
                  <c:v>19</c:v>
                </c:pt>
                <c:pt idx="23">
                  <c:v>20</c:v>
                </c:pt>
                <c:pt idx="24">
                  <c:v>21</c:v>
                </c:pt>
                <c:pt idx="25">
                  <c:v>22</c:v>
                </c:pt>
                <c:pt idx="26">
                  <c:v>23</c:v>
                </c:pt>
                <c:pt idx="27">
                  <c:v>24</c:v>
                </c:pt>
                <c:pt idx="28">
                  <c:v>25</c:v>
                </c:pt>
                <c:pt idx="29">
                  <c:v>26</c:v>
                </c:pt>
                <c:pt idx="30">
                  <c:v>27</c:v>
                </c:pt>
                <c:pt idx="31">
                  <c:v>28</c:v>
                </c:pt>
                <c:pt idx="32">
                  <c:v>29</c:v>
                </c:pt>
                <c:pt idx="33">
                  <c:v>30</c:v>
                </c:pt>
                <c:pt idx="34">
                  <c:v>31</c:v>
                </c:pt>
                <c:pt idx="35">
                  <c:v>32</c:v>
                </c:pt>
                <c:pt idx="36">
                  <c:v>33</c:v>
                </c:pt>
                <c:pt idx="37">
                  <c:v>34</c:v>
                </c:pt>
                <c:pt idx="38">
                  <c:v>35</c:v>
                </c:pt>
                <c:pt idx="39">
                  <c:v>36</c:v>
                </c:pt>
                <c:pt idx="40">
                  <c:v>35.499999999999993</c:v>
                </c:pt>
                <c:pt idx="41">
                  <c:v>36.499999999999993</c:v>
                </c:pt>
              </c:numCache>
            </c:numRef>
          </c:xVal>
          <c:yVal>
            <c:numRef>
              <c:f>Layout!$AC$63:$AC$163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0.86602540378443871</c:v>
                </c:pt>
                <c:pt idx="3">
                  <c:v>3.3306690738754696E-16</c:v>
                </c:pt>
                <c:pt idx="4">
                  <c:v>8.8137547558076321E-17</c:v>
                </c:pt>
                <c:pt idx="5">
                  <c:v>8.8137547558076321E-17</c:v>
                </c:pt>
                <c:pt idx="6">
                  <c:v>8.8137547558076321E-17</c:v>
                </c:pt>
                <c:pt idx="7">
                  <c:v>8.8137547558076321E-17</c:v>
                </c:pt>
                <c:pt idx="8">
                  <c:v>8.8137547558076321E-17</c:v>
                </c:pt>
                <c:pt idx="9">
                  <c:v>8.8137547558076321E-17</c:v>
                </c:pt>
                <c:pt idx="10">
                  <c:v>8.8137547558076321E-17</c:v>
                </c:pt>
                <c:pt idx="11">
                  <c:v>8.8137547558076321E-17</c:v>
                </c:pt>
                <c:pt idx="12">
                  <c:v>8.8137547558076321E-17</c:v>
                </c:pt>
                <c:pt idx="13">
                  <c:v>8.8137547558076321E-17</c:v>
                </c:pt>
                <c:pt idx="14">
                  <c:v>8.8137547558076321E-17</c:v>
                </c:pt>
                <c:pt idx="15">
                  <c:v>8.8137547558076321E-17</c:v>
                </c:pt>
                <c:pt idx="16">
                  <c:v>8.8137547558076321E-17</c:v>
                </c:pt>
                <c:pt idx="17">
                  <c:v>8.8137547558076321E-17</c:v>
                </c:pt>
                <c:pt idx="18">
                  <c:v>8.8137547558076321E-17</c:v>
                </c:pt>
                <c:pt idx="19">
                  <c:v>8.8137547558076321E-17</c:v>
                </c:pt>
                <c:pt idx="20">
                  <c:v>8.8137547558076321E-17</c:v>
                </c:pt>
                <c:pt idx="21">
                  <c:v>8.8137547558076321E-17</c:v>
                </c:pt>
                <c:pt idx="22">
                  <c:v>8.8137547558076321E-17</c:v>
                </c:pt>
                <c:pt idx="23">
                  <c:v>8.8137547558076321E-17</c:v>
                </c:pt>
                <c:pt idx="24">
                  <c:v>8.8137547558076321E-17</c:v>
                </c:pt>
                <c:pt idx="25">
                  <c:v>8.8137547558076321E-17</c:v>
                </c:pt>
                <c:pt idx="26">
                  <c:v>8.8137547558076321E-17</c:v>
                </c:pt>
                <c:pt idx="27">
                  <c:v>8.8137547558076321E-17</c:v>
                </c:pt>
                <c:pt idx="28">
                  <c:v>8.8137547558076321E-17</c:v>
                </c:pt>
                <c:pt idx="29">
                  <c:v>8.8137547558076321E-17</c:v>
                </c:pt>
                <c:pt idx="30">
                  <c:v>8.8137547558076321E-17</c:v>
                </c:pt>
                <c:pt idx="31">
                  <c:v>8.8137547558076321E-17</c:v>
                </c:pt>
                <c:pt idx="32">
                  <c:v>8.8137547558076321E-17</c:v>
                </c:pt>
                <c:pt idx="33">
                  <c:v>8.8137547558076321E-17</c:v>
                </c:pt>
                <c:pt idx="34">
                  <c:v>8.8137547558076321E-17</c:v>
                </c:pt>
                <c:pt idx="35">
                  <c:v>8.8137547558076321E-17</c:v>
                </c:pt>
                <c:pt idx="36">
                  <c:v>8.8137547558076321E-17</c:v>
                </c:pt>
                <c:pt idx="37">
                  <c:v>8.8137547558076321E-17</c:v>
                </c:pt>
                <c:pt idx="38">
                  <c:v>8.8137547558076321E-17</c:v>
                </c:pt>
                <c:pt idx="39">
                  <c:v>8.8137547558076321E-17</c:v>
                </c:pt>
                <c:pt idx="40">
                  <c:v>-0.86602540378443515</c:v>
                </c:pt>
                <c:pt idx="41">
                  <c:v>-0.86602540378443515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F20-8357-0DBA99F42168}"/>
            </c:ext>
          </c:extLst>
        </c:ser>
        <c:ser>
          <c:idx val="1"/>
          <c:order val="1"/>
          <c:tx>
            <c:v>V2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Layout!$AD$63:$AD$163</c:f>
              <c:numCache>
                <c:formatCode>General</c:formatCode>
                <c:ptCount val="101"/>
                <c:pt idx="0">
                  <c:v>0</c:v>
                </c:pt>
              </c:numCache>
            </c:numRef>
          </c:xVal>
          <c:yVal>
            <c:numRef>
              <c:f>Layout!$AE$63:$AE$163</c:f>
              <c:numCache>
                <c:formatCode>General</c:formatCode>
                <c:ptCount val="10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2D-4F20-8357-0DBA99F42168}"/>
            </c:ext>
          </c:extLst>
        </c:ser>
        <c:ser>
          <c:idx val="2"/>
          <c:order val="2"/>
          <c:tx>
            <c:v>V3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6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Layout!$AF$63:$AF$163</c:f>
              <c:numCache>
                <c:formatCode>General</c:formatCode>
                <c:ptCount val="101"/>
                <c:pt idx="0">
                  <c:v>0</c:v>
                </c:pt>
              </c:numCache>
            </c:numRef>
          </c:xVal>
          <c:yVal>
            <c:numRef>
              <c:f>Layout!$AG$63:$AG$163</c:f>
              <c:numCache>
                <c:formatCode>General</c:formatCode>
                <c:ptCount val="10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2D-4F20-8357-0DBA99F42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35104"/>
        <c:axId val="1"/>
      </c:scatterChart>
      <c:valAx>
        <c:axId val="423035104"/>
        <c:scaling>
          <c:orientation val="minMax"/>
          <c:max val="37"/>
          <c:min val="-3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hu-HU"/>
          </a:p>
        </c:txPr>
        <c:crossAx val="1"/>
        <c:crosses val="autoZero"/>
        <c:crossBetween val="midCat"/>
        <c:majorUnit val="2"/>
      </c:valAx>
      <c:valAx>
        <c:axId val="1"/>
        <c:scaling>
          <c:orientation val="minMax"/>
          <c:max val="37"/>
          <c:min val="-3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hu-HU"/>
          </a:p>
        </c:txPr>
        <c:crossAx val="423035104"/>
        <c:crosses val="autoZero"/>
        <c:crossBetween val="midCat"/>
        <c:majorUnit val="2"/>
        <c:minorUnit val="0.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805970149253732"/>
          <c:y val="0.44142303341789385"/>
          <c:w val="9.7014925373134275E-2"/>
          <c:h val="0.121339131771708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hu-H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hu-HU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28651148515266"/>
          <c:y val="0.1304366286886986"/>
          <c:w val="0.78571976646042452"/>
          <c:h val="0.75363385464581412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Layout!$CG$10:$CH$10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Layout!$CI$10:$CJ$10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1C-4C77-81B7-94B62F729ACE}"/>
            </c:ext>
          </c:extLst>
        </c:ser>
        <c:ser>
          <c:idx val="1"/>
          <c:order val="1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Layout!$CG$11:$CH$11</c:f>
              <c:numCache>
                <c:formatCode>General</c:formatCode>
                <c:ptCount val="2"/>
                <c:pt idx="0">
                  <c:v>0</c:v>
                </c:pt>
                <c:pt idx="1">
                  <c:v>0.86602540378443871</c:v>
                </c:pt>
              </c:numCache>
            </c:numRef>
          </c:xVal>
          <c:yVal>
            <c:numRef>
              <c:f>Layout!$CI$11:$CJ$11</c:f>
              <c:numCache>
                <c:formatCode>General</c:formatCode>
                <c:ptCount val="2"/>
                <c:pt idx="0">
                  <c:v>0</c:v>
                </c:pt>
                <c:pt idx="1">
                  <c:v>-0.49999999999999978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1C-4C77-81B7-94B62F729ACE}"/>
            </c:ext>
          </c:extLst>
        </c:ser>
        <c:ser>
          <c:idx val="2"/>
          <c:order val="2"/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Layout!$CG$12:$CH$12</c:f>
              <c:numCache>
                <c:formatCode>General</c:formatCode>
                <c:ptCount val="2"/>
                <c:pt idx="0">
                  <c:v>0</c:v>
                </c:pt>
                <c:pt idx="1">
                  <c:v>-0.86602540378443837</c:v>
                </c:pt>
              </c:numCache>
            </c:numRef>
          </c:xVal>
          <c:yVal>
            <c:numRef>
              <c:f>Layout!$CI$12:$CJ$12</c:f>
              <c:numCache>
                <c:formatCode>General</c:formatCode>
                <c:ptCount val="2"/>
                <c:pt idx="0">
                  <c:v>0</c:v>
                </c:pt>
                <c:pt idx="1">
                  <c:v>-0.50000000000000044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1C-4C77-81B7-94B62F729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40024"/>
        <c:axId val="1"/>
      </c:scatterChart>
      <c:valAx>
        <c:axId val="423040024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"/>
        <c:crosses val="autoZero"/>
        <c:crossBetween val="midCat"/>
      </c:valAx>
      <c:valAx>
        <c:axId val="1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423040024"/>
        <c:crosses val="autoZero"/>
        <c:crossBetween val="midCat"/>
        <c:majorUnit val="0.5"/>
        <c:minorUnit val="0.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hu-HU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679683564931412E-2"/>
          <c:y val="6.3670644862786979E-2"/>
          <c:w val="0.90534087878877667"/>
          <c:h val="0.8838983639775134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80"/>
            </a:solidFill>
            <a:ln w="25400">
              <a:noFill/>
            </a:ln>
          </c:spPr>
          <c:invertIfNegative val="0"/>
          <c:val>
            <c:numRef>
              <c:f>[0]!_MMF1</c:f>
              <c:numCache>
                <c:formatCode>General</c:formatCode>
                <c:ptCount val="48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-2</c:v>
                </c:pt>
                <c:pt idx="141">
                  <c:v>-2</c:v>
                </c:pt>
                <c:pt idx="142">
                  <c:v>-2</c:v>
                </c:pt>
                <c:pt idx="143">
                  <c:v>-2</c:v>
                </c:pt>
                <c:pt idx="144">
                  <c:v>-2</c:v>
                </c:pt>
                <c:pt idx="145">
                  <c:v>-2</c:v>
                </c:pt>
                <c:pt idx="146">
                  <c:v>-2</c:v>
                </c:pt>
                <c:pt idx="147">
                  <c:v>-2</c:v>
                </c:pt>
                <c:pt idx="148">
                  <c:v>-2</c:v>
                </c:pt>
                <c:pt idx="149">
                  <c:v>-2</c:v>
                </c:pt>
                <c:pt idx="150">
                  <c:v>-4</c:v>
                </c:pt>
                <c:pt idx="151">
                  <c:v>-4</c:v>
                </c:pt>
                <c:pt idx="152">
                  <c:v>-4</c:v>
                </c:pt>
                <c:pt idx="153">
                  <c:v>-4</c:v>
                </c:pt>
                <c:pt idx="154">
                  <c:v>-4</c:v>
                </c:pt>
                <c:pt idx="155">
                  <c:v>-4</c:v>
                </c:pt>
                <c:pt idx="156">
                  <c:v>-4</c:v>
                </c:pt>
                <c:pt idx="157">
                  <c:v>-4</c:v>
                </c:pt>
                <c:pt idx="158">
                  <c:v>-4</c:v>
                </c:pt>
                <c:pt idx="159">
                  <c:v>-4</c:v>
                </c:pt>
                <c:pt idx="160">
                  <c:v>-5</c:v>
                </c:pt>
                <c:pt idx="161">
                  <c:v>-5</c:v>
                </c:pt>
                <c:pt idx="162">
                  <c:v>-5</c:v>
                </c:pt>
                <c:pt idx="163">
                  <c:v>-5</c:v>
                </c:pt>
                <c:pt idx="164">
                  <c:v>-5</c:v>
                </c:pt>
                <c:pt idx="165">
                  <c:v>-5</c:v>
                </c:pt>
                <c:pt idx="166">
                  <c:v>-5</c:v>
                </c:pt>
                <c:pt idx="167">
                  <c:v>-5</c:v>
                </c:pt>
                <c:pt idx="168">
                  <c:v>-5</c:v>
                </c:pt>
                <c:pt idx="169">
                  <c:v>-5</c:v>
                </c:pt>
                <c:pt idx="170">
                  <c:v>-5.9999999999999991</c:v>
                </c:pt>
                <c:pt idx="171">
                  <c:v>-5.9999999999999991</c:v>
                </c:pt>
                <c:pt idx="172">
                  <c:v>-5.9999999999999991</c:v>
                </c:pt>
                <c:pt idx="173">
                  <c:v>-5.9999999999999991</c:v>
                </c:pt>
                <c:pt idx="174">
                  <c:v>-5.9999999999999991</c:v>
                </c:pt>
                <c:pt idx="175">
                  <c:v>-5.9999999999999991</c:v>
                </c:pt>
                <c:pt idx="176">
                  <c:v>-5.9999999999999991</c:v>
                </c:pt>
                <c:pt idx="177">
                  <c:v>-5.9999999999999991</c:v>
                </c:pt>
                <c:pt idx="178">
                  <c:v>-5.9999999999999991</c:v>
                </c:pt>
                <c:pt idx="179">
                  <c:v>-5.9999999999999991</c:v>
                </c:pt>
                <c:pt idx="180">
                  <c:v>-6.9999999999999982</c:v>
                </c:pt>
                <c:pt idx="181">
                  <c:v>-6.9999999999999982</c:v>
                </c:pt>
                <c:pt idx="182">
                  <c:v>-6.9999999999999982</c:v>
                </c:pt>
                <c:pt idx="183">
                  <c:v>-6.9999999999999982</c:v>
                </c:pt>
                <c:pt idx="184">
                  <c:v>-6.9999999999999982</c:v>
                </c:pt>
                <c:pt idx="185">
                  <c:v>-6.9999999999999982</c:v>
                </c:pt>
                <c:pt idx="186">
                  <c:v>-6.9999999999999982</c:v>
                </c:pt>
                <c:pt idx="187">
                  <c:v>-6.9999999999999982</c:v>
                </c:pt>
                <c:pt idx="188">
                  <c:v>-6.9999999999999982</c:v>
                </c:pt>
                <c:pt idx="189">
                  <c:v>-6.9999999999999982</c:v>
                </c:pt>
                <c:pt idx="190">
                  <c:v>-7.9999999999999982</c:v>
                </c:pt>
                <c:pt idx="191">
                  <c:v>-7.9999999999999982</c:v>
                </c:pt>
                <c:pt idx="192">
                  <c:v>-7.9999999999999982</c:v>
                </c:pt>
                <c:pt idx="193">
                  <c:v>-7.9999999999999982</c:v>
                </c:pt>
                <c:pt idx="194">
                  <c:v>-7.9999999999999982</c:v>
                </c:pt>
                <c:pt idx="195">
                  <c:v>-7.9999999999999982</c:v>
                </c:pt>
                <c:pt idx="196">
                  <c:v>-7.9999999999999982</c:v>
                </c:pt>
                <c:pt idx="197">
                  <c:v>-7.9999999999999982</c:v>
                </c:pt>
                <c:pt idx="198">
                  <c:v>-7.9999999999999982</c:v>
                </c:pt>
                <c:pt idx="199">
                  <c:v>-7.9999999999999982</c:v>
                </c:pt>
                <c:pt idx="200">
                  <c:v>-6.9999999999999991</c:v>
                </c:pt>
                <c:pt idx="201">
                  <c:v>-6.9999999999999991</c:v>
                </c:pt>
                <c:pt idx="202">
                  <c:v>-6.9999999999999991</c:v>
                </c:pt>
                <c:pt idx="203">
                  <c:v>-6.9999999999999991</c:v>
                </c:pt>
                <c:pt idx="204">
                  <c:v>-6.9999999999999991</c:v>
                </c:pt>
                <c:pt idx="205">
                  <c:v>-6.9999999999999991</c:v>
                </c:pt>
                <c:pt idx="206">
                  <c:v>-6.9999999999999991</c:v>
                </c:pt>
                <c:pt idx="207">
                  <c:v>-6.9999999999999991</c:v>
                </c:pt>
                <c:pt idx="208">
                  <c:v>-6.9999999999999991</c:v>
                </c:pt>
                <c:pt idx="209">
                  <c:v>-6.9999999999999991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-5.0000000000000009</c:v>
                </c:pt>
                <c:pt idx="221">
                  <c:v>-5.0000000000000009</c:v>
                </c:pt>
                <c:pt idx="222">
                  <c:v>-5.0000000000000009</c:v>
                </c:pt>
                <c:pt idx="223">
                  <c:v>-5.0000000000000009</c:v>
                </c:pt>
                <c:pt idx="224">
                  <c:v>-5.0000000000000009</c:v>
                </c:pt>
                <c:pt idx="225">
                  <c:v>-5.0000000000000009</c:v>
                </c:pt>
                <c:pt idx="226">
                  <c:v>-5.0000000000000009</c:v>
                </c:pt>
                <c:pt idx="227">
                  <c:v>-5.0000000000000009</c:v>
                </c:pt>
                <c:pt idx="228">
                  <c:v>-5.0000000000000009</c:v>
                </c:pt>
                <c:pt idx="229">
                  <c:v>-5.0000000000000009</c:v>
                </c:pt>
                <c:pt idx="230">
                  <c:v>-4</c:v>
                </c:pt>
                <c:pt idx="231">
                  <c:v>-4</c:v>
                </c:pt>
                <c:pt idx="232">
                  <c:v>-4</c:v>
                </c:pt>
                <c:pt idx="233">
                  <c:v>-4</c:v>
                </c:pt>
                <c:pt idx="234">
                  <c:v>-4</c:v>
                </c:pt>
                <c:pt idx="235">
                  <c:v>-4</c:v>
                </c:pt>
                <c:pt idx="236">
                  <c:v>-4</c:v>
                </c:pt>
                <c:pt idx="237">
                  <c:v>-4</c:v>
                </c:pt>
                <c:pt idx="238">
                  <c:v>-4</c:v>
                </c:pt>
                <c:pt idx="239">
                  <c:v>-4</c:v>
                </c:pt>
                <c:pt idx="240">
                  <c:v>-2.0000000000000018</c:v>
                </c:pt>
                <c:pt idx="241">
                  <c:v>-2.0000000000000018</c:v>
                </c:pt>
                <c:pt idx="242">
                  <c:v>-2.0000000000000018</c:v>
                </c:pt>
                <c:pt idx="243">
                  <c:v>-2.0000000000000018</c:v>
                </c:pt>
                <c:pt idx="244">
                  <c:v>-2.0000000000000018</c:v>
                </c:pt>
                <c:pt idx="245">
                  <c:v>-2.0000000000000018</c:v>
                </c:pt>
                <c:pt idx="246">
                  <c:v>-2.0000000000000018</c:v>
                </c:pt>
                <c:pt idx="247">
                  <c:v>-2.0000000000000018</c:v>
                </c:pt>
                <c:pt idx="248">
                  <c:v>-2.0000000000000018</c:v>
                </c:pt>
                <c:pt idx="249">
                  <c:v>-2.0000000000000018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1.9999999999999982</c:v>
                </c:pt>
                <c:pt idx="261">
                  <c:v>1.9999999999999982</c:v>
                </c:pt>
                <c:pt idx="262">
                  <c:v>1.9999999999999982</c:v>
                </c:pt>
                <c:pt idx="263">
                  <c:v>1.9999999999999982</c:v>
                </c:pt>
                <c:pt idx="264">
                  <c:v>1.9999999999999982</c:v>
                </c:pt>
                <c:pt idx="265">
                  <c:v>1.9999999999999982</c:v>
                </c:pt>
                <c:pt idx="266">
                  <c:v>1.9999999999999982</c:v>
                </c:pt>
                <c:pt idx="267">
                  <c:v>1.9999999999999982</c:v>
                </c:pt>
                <c:pt idx="268">
                  <c:v>1.9999999999999982</c:v>
                </c:pt>
                <c:pt idx="269">
                  <c:v>1.9999999999999982</c:v>
                </c:pt>
                <c:pt idx="270">
                  <c:v>3.9999999999999982</c:v>
                </c:pt>
                <c:pt idx="271">
                  <c:v>3.9999999999999982</c:v>
                </c:pt>
                <c:pt idx="272">
                  <c:v>3.9999999999999982</c:v>
                </c:pt>
                <c:pt idx="273">
                  <c:v>3.9999999999999982</c:v>
                </c:pt>
                <c:pt idx="274">
                  <c:v>3.9999999999999982</c:v>
                </c:pt>
                <c:pt idx="275">
                  <c:v>3.9999999999999982</c:v>
                </c:pt>
                <c:pt idx="276">
                  <c:v>3.9999999999999982</c:v>
                </c:pt>
                <c:pt idx="277">
                  <c:v>3.9999999999999982</c:v>
                </c:pt>
                <c:pt idx="278">
                  <c:v>3.9999999999999982</c:v>
                </c:pt>
                <c:pt idx="279">
                  <c:v>3.9999999999999982</c:v>
                </c:pt>
                <c:pt idx="280">
                  <c:v>4.9999999999999982</c:v>
                </c:pt>
                <c:pt idx="281">
                  <c:v>4.9999999999999982</c:v>
                </c:pt>
                <c:pt idx="282">
                  <c:v>4.9999999999999982</c:v>
                </c:pt>
                <c:pt idx="283">
                  <c:v>4.9999999999999982</c:v>
                </c:pt>
                <c:pt idx="284">
                  <c:v>4.9999999999999982</c:v>
                </c:pt>
                <c:pt idx="285">
                  <c:v>4.9999999999999982</c:v>
                </c:pt>
                <c:pt idx="286">
                  <c:v>4.9999999999999982</c:v>
                </c:pt>
                <c:pt idx="287">
                  <c:v>4.9999999999999982</c:v>
                </c:pt>
                <c:pt idx="288">
                  <c:v>4.9999999999999982</c:v>
                </c:pt>
                <c:pt idx="289">
                  <c:v>4.9999999999999982</c:v>
                </c:pt>
                <c:pt idx="290">
                  <c:v>5.9999999999999982</c:v>
                </c:pt>
                <c:pt idx="291">
                  <c:v>5.9999999999999982</c:v>
                </c:pt>
                <c:pt idx="292">
                  <c:v>5.9999999999999982</c:v>
                </c:pt>
                <c:pt idx="293">
                  <c:v>5.9999999999999982</c:v>
                </c:pt>
                <c:pt idx="294">
                  <c:v>5.9999999999999982</c:v>
                </c:pt>
                <c:pt idx="295">
                  <c:v>5.9999999999999982</c:v>
                </c:pt>
                <c:pt idx="296">
                  <c:v>5.9999999999999982</c:v>
                </c:pt>
                <c:pt idx="297">
                  <c:v>5.9999999999999982</c:v>
                </c:pt>
                <c:pt idx="298">
                  <c:v>5.9999999999999982</c:v>
                </c:pt>
                <c:pt idx="299">
                  <c:v>5.9999999999999982</c:v>
                </c:pt>
                <c:pt idx="300">
                  <c:v>6.9999999999999982</c:v>
                </c:pt>
                <c:pt idx="301">
                  <c:v>6.9999999999999982</c:v>
                </c:pt>
                <c:pt idx="302">
                  <c:v>6.9999999999999982</c:v>
                </c:pt>
                <c:pt idx="303">
                  <c:v>6.9999999999999982</c:v>
                </c:pt>
                <c:pt idx="304">
                  <c:v>6.9999999999999982</c:v>
                </c:pt>
                <c:pt idx="305">
                  <c:v>6.9999999999999982</c:v>
                </c:pt>
                <c:pt idx="306">
                  <c:v>6.9999999999999982</c:v>
                </c:pt>
                <c:pt idx="307">
                  <c:v>6.9999999999999982</c:v>
                </c:pt>
                <c:pt idx="308">
                  <c:v>6.9999999999999982</c:v>
                </c:pt>
                <c:pt idx="309">
                  <c:v>6.9999999999999982</c:v>
                </c:pt>
                <c:pt idx="310">
                  <c:v>7.9999999999999982</c:v>
                </c:pt>
                <c:pt idx="311">
                  <c:v>7.9999999999999982</c:v>
                </c:pt>
                <c:pt idx="312">
                  <c:v>7.9999999999999982</c:v>
                </c:pt>
                <c:pt idx="313">
                  <c:v>7.9999999999999982</c:v>
                </c:pt>
                <c:pt idx="314">
                  <c:v>7.9999999999999982</c:v>
                </c:pt>
                <c:pt idx="315">
                  <c:v>7.9999999999999982</c:v>
                </c:pt>
                <c:pt idx="316">
                  <c:v>7.9999999999999982</c:v>
                </c:pt>
                <c:pt idx="317">
                  <c:v>7.9999999999999982</c:v>
                </c:pt>
                <c:pt idx="318">
                  <c:v>7.9999999999999982</c:v>
                </c:pt>
                <c:pt idx="319">
                  <c:v>7.9999999999999982</c:v>
                </c:pt>
                <c:pt idx="320">
                  <c:v>6.9999999999999982</c:v>
                </c:pt>
                <c:pt idx="321">
                  <c:v>6.9999999999999982</c:v>
                </c:pt>
                <c:pt idx="322">
                  <c:v>6.9999999999999982</c:v>
                </c:pt>
                <c:pt idx="323">
                  <c:v>6.9999999999999982</c:v>
                </c:pt>
                <c:pt idx="324">
                  <c:v>6.9999999999999982</c:v>
                </c:pt>
                <c:pt idx="325">
                  <c:v>6.9999999999999982</c:v>
                </c:pt>
                <c:pt idx="326">
                  <c:v>6.9999999999999982</c:v>
                </c:pt>
                <c:pt idx="327">
                  <c:v>6.9999999999999982</c:v>
                </c:pt>
                <c:pt idx="328">
                  <c:v>6.9999999999999982</c:v>
                </c:pt>
                <c:pt idx="329">
                  <c:v>6.9999999999999982</c:v>
                </c:pt>
                <c:pt idx="330">
                  <c:v>5.9999999999999982</c:v>
                </c:pt>
                <c:pt idx="331">
                  <c:v>5.9999999999999982</c:v>
                </c:pt>
                <c:pt idx="332">
                  <c:v>5.9999999999999982</c:v>
                </c:pt>
                <c:pt idx="333">
                  <c:v>5.9999999999999982</c:v>
                </c:pt>
                <c:pt idx="334">
                  <c:v>5.9999999999999982</c:v>
                </c:pt>
                <c:pt idx="335">
                  <c:v>5.9999999999999982</c:v>
                </c:pt>
                <c:pt idx="336">
                  <c:v>5.9999999999999982</c:v>
                </c:pt>
                <c:pt idx="337">
                  <c:v>5.9999999999999982</c:v>
                </c:pt>
                <c:pt idx="338">
                  <c:v>5.9999999999999982</c:v>
                </c:pt>
                <c:pt idx="339">
                  <c:v>5.9999999999999982</c:v>
                </c:pt>
                <c:pt idx="340">
                  <c:v>4.9999999999999982</c:v>
                </c:pt>
                <c:pt idx="341">
                  <c:v>4.9999999999999982</c:v>
                </c:pt>
                <c:pt idx="342">
                  <c:v>4.9999999999999982</c:v>
                </c:pt>
                <c:pt idx="343">
                  <c:v>4.9999999999999982</c:v>
                </c:pt>
                <c:pt idx="344">
                  <c:v>4.9999999999999982</c:v>
                </c:pt>
                <c:pt idx="345">
                  <c:v>4.9999999999999982</c:v>
                </c:pt>
                <c:pt idx="346">
                  <c:v>4.9999999999999982</c:v>
                </c:pt>
                <c:pt idx="347">
                  <c:v>4.9999999999999982</c:v>
                </c:pt>
                <c:pt idx="348">
                  <c:v>4.9999999999999982</c:v>
                </c:pt>
                <c:pt idx="349">
                  <c:v>4.9999999999999982</c:v>
                </c:pt>
                <c:pt idx="350">
                  <c:v>3.9999999999999991</c:v>
                </c:pt>
                <c:pt idx="351">
                  <c:v>3.9999999999999991</c:v>
                </c:pt>
                <c:pt idx="352">
                  <c:v>3.9999999999999991</c:v>
                </c:pt>
                <c:pt idx="353">
                  <c:v>3.9999999999999991</c:v>
                </c:pt>
                <c:pt idx="354">
                  <c:v>3.9999999999999991</c:v>
                </c:pt>
                <c:pt idx="355">
                  <c:v>3.9999999999999991</c:v>
                </c:pt>
                <c:pt idx="356">
                  <c:v>3.9999999999999991</c:v>
                </c:pt>
                <c:pt idx="357">
                  <c:v>3.9999999999999991</c:v>
                </c:pt>
                <c:pt idx="358">
                  <c:v>3.9999999999999991</c:v>
                </c:pt>
                <c:pt idx="359">
                  <c:v>3.9999999999999991</c:v>
                </c:pt>
                <c:pt idx="360">
                  <c:v>1.9999999999999991</c:v>
                </c:pt>
                <c:pt idx="361">
                  <c:v>1.9999999999999991</c:v>
                </c:pt>
                <c:pt idx="362">
                  <c:v>1.9999999999999991</c:v>
                </c:pt>
                <c:pt idx="363">
                  <c:v>1.9999999999999991</c:v>
                </c:pt>
                <c:pt idx="364">
                  <c:v>1.9999999999999991</c:v>
                </c:pt>
                <c:pt idx="365">
                  <c:v>1.9999999999999991</c:v>
                </c:pt>
                <c:pt idx="366">
                  <c:v>1.9999999999999991</c:v>
                </c:pt>
                <c:pt idx="367">
                  <c:v>1.9999999999999991</c:v>
                </c:pt>
                <c:pt idx="368">
                  <c:v>1.9999999999999991</c:v>
                </c:pt>
                <c:pt idx="369">
                  <c:v>1.9999999999999991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-2.0000000000000009</c:v>
                </c:pt>
                <c:pt idx="381">
                  <c:v>-2.0000000000000009</c:v>
                </c:pt>
                <c:pt idx="382">
                  <c:v>-2.0000000000000009</c:v>
                </c:pt>
                <c:pt idx="383">
                  <c:v>-2.0000000000000009</c:v>
                </c:pt>
                <c:pt idx="384">
                  <c:v>-2.0000000000000009</c:v>
                </c:pt>
                <c:pt idx="385">
                  <c:v>-2.0000000000000009</c:v>
                </c:pt>
                <c:pt idx="386">
                  <c:v>-2.0000000000000009</c:v>
                </c:pt>
                <c:pt idx="387">
                  <c:v>-2.0000000000000009</c:v>
                </c:pt>
                <c:pt idx="388">
                  <c:v>-2.0000000000000009</c:v>
                </c:pt>
                <c:pt idx="389">
                  <c:v>-2.0000000000000009</c:v>
                </c:pt>
                <c:pt idx="390">
                  <c:v>-4</c:v>
                </c:pt>
                <c:pt idx="391">
                  <c:v>-4</c:v>
                </c:pt>
                <c:pt idx="392">
                  <c:v>-4</c:v>
                </c:pt>
                <c:pt idx="393">
                  <c:v>-4</c:v>
                </c:pt>
                <c:pt idx="394">
                  <c:v>-4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-5</c:v>
                </c:pt>
                <c:pt idx="401">
                  <c:v>-5</c:v>
                </c:pt>
                <c:pt idx="402">
                  <c:v>-5</c:v>
                </c:pt>
                <c:pt idx="403">
                  <c:v>-5</c:v>
                </c:pt>
                <c:pt idx="404">
                  <c:v>-5</c:v>
                </c:pt>
                <c:pt idx="405">
                  <c:v>-5</c:v>
                </c:pt>
                <c:pt idx="406">
                  <c:v>-5</c:v>
                </c:pt>
                <c:pt idx="407">
                  <c:v>-5</c:v>
                </c:pt>
                <c:pt idx="408">
                  <c:v>-5</c:v>
                </c:pt>
                <c:pt idx="409">
                  <c:v>-5</c:v>
                </c:pt>
                <c:pt idx="410">
                  <c:v>-6</c:v>
                </c:pt>
                <c:pt idx="411">
                  <c:v>-6</c:v>
                </c:pt>
                <c:pt idx="412">
                  <c:v>-6</c:v>
                </c:pt>
                <c:pt idx="413">
                  <c:v>-6</c:v>
                </c:pt>
                <c:pt idx="414">
                  <c:v>-6</c:v>
                </c:pt>
                <c:pt idx="415">
                  <c:v>-6</c:v>
                </c:pt>
                <c:pt idx="416">
                  <c:v>-6</c:v>
                </c:pt>
                <c:pt idx="417">
                  <c:v>-6</c:v>
                </c:pt>
                <c:pt idx="418">
                  <c:v>-6</c:v>
                </c:pt>
                <c:pt idx="419">
                  <c:v>-6</c:v>
                </c:pt>
                <c:pt idx="420">
                  <c:v>-7</c:v>
                </c:pt>
                <c:pt idx="421">
                  <c:v>-7</c:v>
                </c:pt>
                <c:pt idx="422">
                  <c:v>-7</c:v>
                </c:pt>
                <c:pt idx="423">
                  <c:v>-7</c:v>
                </c:pt>
                <c:pt idx="424">
                  <c:v>-7</c:v>
                </c:pt>
                <c:pt idx="425">
                  <c:v>-7</c:v>
                </c:pt>
                <c:pt idx="426">
                  <c:v>-7</c:v>
                </c:pt>
                <c:pt idx="427">
                  <c:v>-7</c:v>
                </c:pt>
                <c:pt idx="428">
                  <c:v>-7</c:v>
                </c:pt>
                <c:pt idx="429">
                  <c:v>-7</c:v>
                </c:pt>
                <c:pt idx="430">
                  <c:v>-7.9999999999999991</c:v>
                </c:pt>
                <c:pt idx="431">
                  <c:v>-7.9999999999999991</c:v>
                </c:pt>
                <c:pt idx="432">
                  <c:v>-7.9999999999999991</c:v>
                </c:pt>
                <c:pt idx="433">
                  <c:v>-7.9999999999999991</c:v>
                </c:pt>
                <c:pt idx="434">
                  <c:v>-7.9999999999999991</c:v>
                </c:pt>
                <c:pt idx="435">
                  <c:v>-7.9999999999999991</c:v>
                </c:pt>
                <c:pt idx="436">
                  <c:v>-7.9999999999999991</c:v>
                </c:pt>
                <c:pt idx="437">
                  <c:v>-7.9999999999999991</c:v>
                </c:pt>
                <c:pt idx="438">
                  <c:v>-7.9999999999999991</c:v>
                </c:pt>
                <c:pt idx="439">
                  <c:v>-7.9999999999999991</c:v>
                </c:pt>
                <c:pt idx="440">
                  <c:v>-7</c:v>
                </c:pt>
                <c:pt idx="441">
                  <c:v>-7</c:v>
                </c:pt>
                <c:pt idx="442">
                  <c:v>-7</c:v>
                </c:pt>
                <c:pt idx="443">
                  <c:v>-7</c:v>
                </c:pt>
                <c:pt idx="444">
                  <c:v>-7</c:v>
                </c:pt>
                <c:pt idx="445">
                  <c:v>-7</c:v>
                </c:pt>
                <c:pt idx="446">
                  <c:v>-7</c:v>
                </c:pt>
                <c:pt idx="447">
                  <c:v>-7</c:v>
                </c:pt>
                <c:pt idx="448">
                  <c:v>-7</c:v>
                </c:pt>
                <c:pt idx="449">
                  <c:v>-7</c:v>
                </c:pt>
                <c:pt idx="450">
                  <c:v>-6.0000000000000009</c:v>
                </c:pt>
                <c:pt idx="451">
                  <c:v>-6.0000000000000009</c:v>
                </c:pt>
                <c:pt idx="452">
                  <c:v>-6.0000000000000009</c:v>
                </c:pt>
                <c:pt idx="453">
                  <c:v>-6.0000000000000009</c:v>
                </c:pt>
                <c:pt idx="454">
                  <c:v>-6.0000000000000009</c:v>
                </c:pt>
                <c:pt idx="455">
                  <c:v>-6.0000000000000009</c:v>
                </c:pt>
                <c:pt idx="456">
                  <c:v>-6.0000000000000009</c:v>
                </c:pt>
                <c:pt idx="457">
                  <c:v>-6.0000000000000009</c:v>
                </c:pt>
                <c:pt idx="458">
                  <c:v>-6.0000000000000009</c:v>
                </c:pt>
                <c:pt idx="459">
                  <c:v>-6.0000000000000009</c:v>
                </c:pt>
                <c:pt idx="460">
                  <c:v>-5.0000000000000018</c:v>
                </c:pt>
                <c:pt idx="461">
                  <c:v>-5.0000000000000018</c:v>
                </c:pt>
                <c:pt idx="462">
                  <c:v>-5.0000000000000018</c:v>
                </c:pt>
                <c:pt idx="463">
                  <c:v>-5.0000000000000018</c:v>
                </c:pt>
                <c:pt idx="464">
                  <c:v>-5.0000000000000018</c:v>
                </c:pt>
                <c:pt idx="465">
                  <c:v>-5.0000000000000018</c:v>
                </c:pt>
                <c:pt idx="466">
                  <c:v>-5.0000000000000018</c:v>
                </c:pt>
                <c:pt idx="467">
                  <c:v>-5.0000000000000018</c:v>
                </c:pt>
                <c:pt idx="468">
                  <c:v>-5.0000000000000018</c:v>
                </c:pt>
                <c:pt idx="469">
                  <c:v>-5.0000000000000018</c:v>
                </c:pt>
                <c:pt idx="470">
                  <c:v>-4.0000000000000027</c:v>
                </c:pt>
                <c:pt idx="471">
                  <c:v>-4.0000000000000027</c:v>
                </c:pt>
                <c:pt idx="472">
                  <c:v>-4.0000000000000027</c:v>
                </c:pt>
                <c:pt idx="473">
                  <c:v>-4.0000000000000027</c:v>
                </c:pt>
                <c:pt idx="474">
                  <c:v>-4.0000000000000027</c:v>
                </c:pt>
                <c:pt idx="475">
                  <c:v>-4.0000000000000027</c:v>
                </c:pt>
                <c:pt idx="476">
                  <c:v>-4.0000000000000027</c:v>
                </c:pt>
                <c:pt idx="477">
                  <c:v>-4.0000000000000027</c:v>
                </c:pt>
                <c:pt idx="478">
                  <c:v>-4.0000000000000027</c:v>
                </c:pt>
                <c:pt idx="479">
                  <c:v>-4.0000000000000027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E1-4D77-8030-FC2A1F79C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59664512"/>
        <c:axId val="1"/>
      </c:barChart>
      <c:scatterChart>
        <c:scatterStyle val="lineMarker"/>
        <c:varyColors val="0"/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yVal>
            <c:numRef>
              <c:f>[0]!SinMMF1</c:f>
              <c:numCache>
                <c:formatCode>General</c:formatCode>
                <c:ptCount val="490"/>
                <c:pt idx="0">
                  <c:v>-2.7997120975197114</c:v>
                </c:pt>
                <c:pt idx="1">
                  <c:v>-2.6218200184535574</c:v>
                </c:pt>
                <c:pt idx="2">
                  <c:v>-2.4421310749095886</c:v>
                </c:pt>
                <c:pt idx="3">
                  <c:v>-2.2607684167140456</c:v>
                </c:pt>
                <c:pt idx="4">
                  <c:v>-2.0778563407735886</c:v>
                </c:pt>
                <c:pt idx="5">
                  <c:v>-1.8935202058884055</c:v>
                </c:pt>
                <c:pt idx="6">
                  <c:v>-1.707886346837552</c:v>
                </c:pt>
                <c:pt idx="7">
                  <c:v>-1.5210819877954018</c:v>
                </c:pt>
                <c:pt idx="8">
                  <c:v>-1.3332351551385577</c:v>
                </c:pt>
                <c:pt idx="9">
                  <c:v>-1.1444745897029633</c:v>
                </c:pt>
                <c:pt idx="10">
                  <c:v>-0.9549296585513678</c:v>
                </c:pt>
                <c:pt idx="11">
                  <c:v>-0.76473026631160235</c:v>
                </c:pt>
                <c:pt idx="12">
                  <c:v>-0.57400676614643575</c:v>
                </c:pt>
                <c:pt idx="13">
                  <c:v>-0.38288987041603018</c:v>
                </c:pt>
                <c:pt idx="14">
                  <c:v>-0.19151056109421727</c:v>
                </c:pt>
                <c:pt idx="15">
                  <c:v>3.6291195591977917E-15</c:v>
                </c:pt>
                <c:pt idx="16">
                  <c:v>0.19151056109422454</c:v>
                </c:pt>
                <c:pt idx="17">
                  <c:v>0.38288987041603739</c:v>
                </c:pt>
                <c:pt idx="18">
                  <c:v>0.57400676614644308</c:v>
                </c:pt>
                <c:pt idx="19">
                  <c:v>0.76473026631160945</c:v>
                </c:pt>
                <c:pt idx="20">
                  <c:v>0.95492965855137513</c:v>
                </c:pt>
                <c:pt idx="21">
                  <c:v>1.1444745897029707</c:v>
                </c:pt>
                <c:pt idx="22">
                  <c:v>1.3332351551385646</c:v>
                </c:pt>
                <c:pt idx="23">
                  <c:v>1.5210819877954092</c:v>
                </c:pt>
                <c:pt idx="24">
                  <c:v>1.7078863468375589</c:v>
                </c:pt>
                <c:pt idx="25">
                  <c:v>1.8935202058884129</c:v>
                </c:pt>
                <c:pt idx="26">
                  <c:v>2.0778563407735953</c:v>
                </c:pt>
                <c:pt idx="27">
                  <c:v>2.2607684167140523</c:v>
                </c:pt>
                <c:pt idx="28">
                  <c:v>2.4421310749095952</c:v>
                </c:pt>
                <c:pt idx="29">
                  <c:v>2.6218200184535649</c:v>
                </c:pt>
                <c:pt idx="30">
                  <c:v>2.7997120975197176</c:v>
                </c:pt>
                <c:pt idx="31">
                  <c:v>2.9756853937629706</c:v>
                </c:pt>
                <c:pt idx="32">
                  <c:v>3.1496193038761398</c:v>
                </c:pt>
                <c:pt idx="33">
                  <c:v>3.3213946222454283</c:v>
                </c:pt>
                <c:pt idx="34">
                  <c:v>3.4908936226479921</c:v>
                </c:pt>
                <c:pt idx="35">
                  <c:v>3.6580001389356203</c:v>
                </c:pt>
                <c:pt idx="36">
                  <c:v>3.8225996446492068</c:v>
                </c:pt>
                <c:pt idx="37">
                  <c:v>3.9845793315094613</c:v>
                </c:pt>
                <c:pt idx="38">
                  <c:v>4.1438281867300804</c:v>
                </c:pt>
                <c:pt idx="39">
                  <c:v>4.3002370691003495</c:v>
                </c:pt>
                <c:pt idx="40">
                  <c:v>4.4536987837850921</c:v>
                </c:pt>
                <c:pt idx="41">
                  <c:v>4.6041081557906471</c:v>
                </c:pt>
                <c:pt idx="42">
                  <c:v>4.7513621020465573</c:v>
                </c:pt>
                <c:pt idx="43">
                  <c:v>4.8953597020535566</c:v>
                </c:pt>
                <c:pt idx="44">
                  <c:v>5.036002267049442</c:v>
                </c:pt>
                <c:pt idx="45">
                  <c:v>5.1731934076454174</c:v>
                </c:pt>
                <c:pt idx="46">
                  <c:v>5.3068390998865711</c:v>
                </c:pt>
                <c:pt idx="47">
                  <c:v>5.4368477496911884</c:v>
                </c:pt>
                <c:pt idx="48">
                  <c:v>5.563130255624773</c:v>
                </c:pt>
                <c:pt idx="49">
                  <c:v>5.6856000699657079</c:v>
                </c:pt>
                <c:pt idx="50">
                  <c:v>5.804173258020751</c:v>
                </c:pt>
                <c:pt idx="51">
                  <c:v>5.9187685556496676</c:v>
                </c:pt>
                <c:pt idx="52">
                  <c:v>6.0293074249596295</c:v>
                </c:pt>
                <c:pt idx="53">
                  <c:v>6.1357141081311495</c:v>
                </c:pt>
                <c:pt idx="54">
                  <c:v>6.2379156793387152</c:v>
                </c:pt>
                <c:pt idx="55">
                  <c:v>6.335842094730503</c:v>
                </c:pt>
                <c:pt idx="56">
                  <c:v>6.4294262404329361</c:v>
                </c:pt>
                <c:pt idx="57">
                  <c:v>6.5186039785471834</c:v>
                </c:pt>
                <c:pt idx="58">
                  <c:v>6.603314191106068</c:v>
                </c:pt>
                <c:pt idx="59">
                  <c:v>6.6834988219612734</c:v>
                </c:pt>
                <c:pt idx="60">
                  <c:v>6.7591029165721217</c:v>
                </c:pt>
                <c:pt idx="61">
                  <c:v>6.830074659668675</c:v>
                </c:pt>
                <c:pt idx="62">
                  <c:v>6.896365410763333</c:v>
                </c:pt>
                <c:pt idx="63">
                  <c:v>6.9579297374865918</c:v>
                </c:pt>
                <c:pt idx="64">
                  <c:v>7.0147254467241247</c:v>
                </c:pt>
                <c:pt idx="65">
                  <c:v>7.0667136135338264</c:v>
                </c:pt>
                <c:pt idx="66">
                  <c:v>7.1138586078230324</c:v>
                </c:pt>
                <c:pt idx="67">
                  <c:v>7.1561281187676036</c:v>
                </c:pt>
                <c:pt idx="68">
                  <c:v>7.1934931769561468</c:v>
                </c:pt>
                <c:pt idx="69">
                  <c:v>7.2259281742442063</c:v>
                </c:pt>
                <c:pt idx="70">
                  <c:v>7.2534108813048048</c:v>
                </c:pt>
                <c:pt idx="71">
                  <c:v>7.2759224628633152</c:v>
                </c:pt>
                <c:pt idx="72">
                  <c:v>7.2934474906062148</c:v>
                </c:pt>
                <c:pt idx="73">
                  <c:v>7.3059739537548847</c:v>
                </c:pt>
                <c:pt idx="74">
                  <c:v>7.3134932672971917</c:v>
                </c:pt>
                <c:pt idx="75">
                  <c:v>7.3160002778712343</c:v>
                </c:pt>
                <c:pt idx="76">
                  <c:v>7.3134932672971917</c:v>
                </c:pt>
                <c:pt idx="77">
                  <c:v>7.3059739537548838</c:v>
                </c:pt>
                <c:pt idx="78">
                  <c:v>7.2934474906062139</c:v>
                </c:pt>
                <c:pt idx="79">
                  <c:v>7.2759224628633143</c:v>
                </c:pt>
                <c:pt idx="80">
                  <c:v>7.2534108813048039</c:v>
                </c:pt>
                <c:pt idx="81">
                  <c:v>7.2259281742442054</c:v>
                </c:pt>
                <c:pt idx="82">
                  <c:v>7.1934931769561459</c:v>
                </c:pt>
                <c:pt idx="83">
                  <c:v>7.1561281187676027</c:v>
                </c:pt>
                <c:pt idx="84">
                  <c:v>7.1138586078230315</c:v>
                </c:pt>
                <c:pt idx="85">
                  <c:v>7.0667136135338247</c:v>
                </c:pt>
                <c:pt idx="86">
                  <c:v>7.014725446724122</c:v>
                </c:pt>
                <c:pt idx="87">
                  <c:v>6.9579297374865909</c:v>
                </c:pt>
                <c:pt idx="88">
                  <c:v>6.8963654107633312</c:v>
                </c:pt>
                <c:pt idx="89">
                  <c:v>6.8300746596686723</c:v>
                </c:pt>
                <c:pt idx="90">
                  <c:v>6.7591029165721181</c:v>
                </c:pt>
                <c:pt idx="91">
                  <c:v>6.6834988219612699</c:v>
                </c:pt>
                <c:pt idx="92">
                  <c:v>6.6033141911060662</c:v>
                </c:pt>
                <c:pt idx="93">
                  <c:v>6.5186039785471808</c:v>
                </c:pt>
                <c:pt idx="94">
                  <c:v>6.4294262404329325</c:v>
                </c:pt>
                <c:pt idx="95">
                  <c:v>6.3358420947304994</c:v>
                </c:pt>
                <c:pt idx="96">
                  <c:v>6.2379156793387125</c:v>
                </c:pt>
                <c:pt idx="97">
                  <c:v>6.1357141081311459</c:v>
                </c:pt>
                <c:pt idx="98">
                  <c:v>6.029307424959625</c:v>
                </c:pt>
                <c:pt idx="99">
                  <c:v>5.918768555649665</c:v>
                </c:pt>
                <c:pt idx="100">
                  <c:v>5.8041732580207483</c:v>
                </c:pt>
                <c:pt idx="101">
                  <c:v>5.6856000699657034</c:v>
                </c:pt>
                <c:pt idx="102">
                  <c:v>5.5631302556247686</c:v>
                </c:pt>
                <c:pt idx="103">
                  <c:v>5.436847749691184</c:v>
                </c:pt>
                <c:pt idx="104">
                  <c:v>5.3068390998865649</c:v>
                </c:pt>
                <c:pt idx="105">
                  <c:v>5.1731934076454138</c:v>
                </c:pt>
                <c:pt idx="106">
                  <c:v>5.0360022670494367</c:v>
                </c:pt>
                <c:pt idx="107">
                  <c:v>4.8953597020535531</c:v>
                </c:pt>
                <c:pt idx="108">
                  <c:v>4.7513621020465528</c:v>
                </c:pt>
                <c:pt idx="109">
                  <c:v>4.6041081557906418</c:v>
                </c:pt>
                <c:pt idx="110">
                  <c:v>4.4536987837850885</c:v>
                </c:pt>
                <c:pt idx="111">
                  <c:v>4.3002370691003442</c:v>
                </c:pt>
                <c:pt idx="112">
                  <c:v>4.1438281867300741</c:v>
                </c:pt>
                <c:pt idx="113">
                  <c:v>3.9845793315094582</c:v>
                </c:pt>
                <c:pt idx="114">
                  <c:v>3.822599644649201</c:v>
                </c:pt>
                <c:pt idx="115">
                  <c:v>3.658000138935614</c:v>
                </c:pt>
                <c:pt idx="116">
                  <c:v>3.4908936226479876</c:v>
                </c:pt>
                <c:pt idx="117">
                  <c:v>3.3213946222454225</c:v>
                </c:pt>
                <c:pt idx="118">
                  <c:v>3.149619303876134</c:v>
                </c:pt>
                <c:pt idx="119">
                  <c:v>2.9756853937629635</c:v>
                </c:pt>
                <c:pt idx="120">
                  <c:v>2.7997120975197123</c:v>
                </c:pt>
                <c:pt idx="121">
                  <c:v>2.6218200184535578</c:v>
                </c:pt>
                <c:pt idx="122">
                  <c:v>2.4421310749095877</c:v>
                </c:pt>
                <c:pt idx="123">
                  <c:v>2.2607684167140469</c:v>
                </c:pt>
                <c:pt idx="124">
                  <c:v>2.0778563407735886</c:v>
                </c:pt>
                <c:pt idx="125">
                  <c:v>1.893520205888408</c:v>
                </c:pt>
                <c:pt idx="126">
                  <c:v>1.7078863468375529</c:v>
                </c:pt>
                <c:pt idx="127">
                  <c:v>1.521081987795402</c:v>
                </c:pt>
                <c:pt idx="128">
                  <c:v>1.3332351551385599</c:v>
                </c:pt>
                <c:pt idx="129">
                  <c:v>1.1444745897029645</c:v>
                </c:pt>
                <c:pt idx="130">
                  <c:v>0.95492965855137146</c:v>
                </c:pt>
                <c:pt idx="131">
                  <c:v>0.76473026631160457</c:v>
                </c:pt>
                <c:pt idx="132">
                  <c:v>0.57400676614643709</c:v>
                </c:pt>
                <c:pt idx="133">
                  <c:v>0.38288987041603367</c:v>
                </c:pt>
                <c:pt idx="134">
                  <c:v>0.19151056109421966</c:v>
                </c:pt>
                <c:pt idx="135">
                  <c:v>-5.6015949216708518E-15</c:v>
                </c:pt>
                <c:pt idx="136">
                  <c:v>-0.1915105610942211</c:v>
                </c:pt>
                <c:pt idx="137">
                  <c:v>-0.38288987041603834</c:v>
                </c:pt>
                <c:pt idx="138">
                  <c:v>-0.57400676614644497</c:v>
                </c:pt>
                <c:pt idx="139">
                  <c:v>-0.76473026631160612</c:v>
                </c:pt>
                <c:pt idx="140">
                  <c:v>-0.95492965855137613</c:v>
                </c:pt>
                <c:pt idx="141">
                  <c:v>-1.1444745897029724</c:v>
                </c:pt>
                <c:pt idx="142">
                  <c:v>-1.3332351551385646</c:v>
                </c:pt>
                <c:pt idx="143">
                  <c:v>-1.5210819877954098</c:v>
                </c:pt>
                <c:pt idx="144">
                  <c:v>-1.7078863468375576</c:v>
                </c:pt>
                <c:pt idx="145">
                  <c:v>-1.8935202058884124</c:v>
                </c:pt>
                <c:pt idx="146">
                  <c:v>-2.0778563407735966</c:v>
                </c:pt>
                <c:pt idx="147">
                  <c:v>-2.2607684167140514</c:v>
                </c:pt>
                <c:pt idx="148">
                  <c:v>-2.4421310749095952</c:v>
                </c:pt>
                <c:pt idx="149">
                  <c:v>-2.6218200184535654</c:v>
                </c:pt>
                <c:pt idx="150">
                  <c:v>-2.7997120975197167</c:v>
                </c:pt>
                <c:pt idx="151">
                  <c:v>-2.9756853937629701</c:v>
                </c:pt>
                <c:pt idx="152">
                  <c:v>-3.1496193038761411</c:v>
                </c:pt>
                <c:pt idx="153">
                  <c:v>-3.3213946222454269</c:v>
                </c:pt>
                <c:pt idx="154">
                  <c:v>-3.4908936226479916</c:v>
                </c:pt>
                <c:pt idx="155">
                  <c:v>-3.658000138935618</c:v>
                </c:pt>
                <c:pt idx="156">
                  <c:v>-3.822599644649205</c:v>
                </c:pt>
                <c:pt idx="157">
                  <c:v>-3.9845793315094613</c:v>
                </c:pt>
                <c:pt idx="158">
                  <c:v>-4.1438281867300777</c:v>
                </c:pt>
                <c:pt idx="159">
                  <c:v>-4.3002370691003486</c:v>
                </c:pt>
                <c:pt idx="160">
                  <c:v>-4.4536987837850921</c:v>
                </c:pt>
                <c:pt idx="161">
                  <c:v>-4.6041081557906463</c:v>
                </c:pt>
                <c:pt idx="162">
                  <c:v>-4.7513621020465564</c:v>
                </c:pt>
                <c:pt idx="163">
                  <c:v>-4.8953597020535566</c:v>
                </c:pt>
                <c:pt idx="164">
                  <c:v>-5.0360022670494411</c:v>
                </c:pt>
                <c:pt idx="165">
                  <c:v>-5.1731934076454174</c:v>
                </c:pt>
                <c:pt idx="166">
                  <c:v>-5.3068390998865702</c:v>
                </c:pt>
                <c:pt idx="167">
                  <c:v>-5.4368477496911867</c:v>
                </c:pt>
                <c:pt idx="168">
                  <c:v>-5.5631302556247721</c:v>
                </c:pt>
                <c:pt idx="169">
                  <c:v>-5.6856000699657079</c:v>
                </c:pt>
                <c:pt idx="170">
                  <c:v>-5.804173258020751</c:v>
                </c:pt>
                <c:pt idx="171">
                  <c:v>-5.9187685556496694</c:v>
                </c:pt>
                <c:pt idx="172">
                  <c:v>-6.0293074249596277</c:v>
                </c:pt>
                <c:pt idx="173">
                  <c:v>-6.1357141081311486</c:v>
                </c:pt>
                <c:pt idx="174">
                  <c:v>-6.2379156793387152</c:v>
                </c:pt>
                <c:pt idx="175">
                  <c:v>-6.3358420947305021</c:v>
                </c:pt>
                <c:pt idx="176">
                  <c:v>-6.4294262404329361</c:v>
                </c:pt>
                <c:pt idx="177">
                  <c:v>-6.5186039785471843</c:v>
                </c:pt>
                <c:pt idx="178">
                  <c:v>-6.6033141911060671</c:v>
                </c:pt>
                <c:pt idx="179">
                  <c:v>-6.6834988219612725</c:v>
                </c:pt>
                <c:pt idx="180">
                  <c:v>-6.7591029165721208</c:v>
                </c:pt>
                <c:pt idx="181">
                  <c:v>-6.8300746596686741</c:v>
                </c:pt>
                <c:pt idx="182">
                  <c:v>-6.896365410763333</c:v>
                </c:pt>
                <c:pt idx="183">
                  <c:v>-6.9579297374865909</c:v>
                </c:pt>
                <c:pt idx="184">
                  <c:v>-7.0147254467241238</c:v>
                </c:pt>
                <c:pt idx="185">
                  <c:v>-7.0667136135338255</c:v>
                </c:pt>
                <c:pt idx="186">
                  <c:v>-7.1138586078230324</c:v>
                </c:pt>
                <c:pt idx="187">
                  <c:v>-7.1561281187676027</c:v>
                </c:pt>
                <c:pt idx="188">
                  <c:v>-7.1934931769561459</c:v>
                </c:pt>
                <c:pt idx="189">
                  <c:v>-7.2259281742442054</c:v>
                </c:pt>
                <c:pt idx="190">
                  <c:v>-7.2534108813048039</c:v>
                </c:pt>
                <c:pt idx="191">
                  <c:v>-7.2759224628633152</c:v>
                </c:pt>
                <c:pt idx="192">
                  <c:v>-7.2934474906062139</c:v>
                </c:pt>
                <c:pt idx="193">
                  <c:v>-7.3059739537548838</c:v>
                </c:pt>
                <c:pt idx="194">
                  <c:v>-7.3134932672971917</c:v>
                </c:pt>
                <c:pt idx="195">
                  <c:v>-7.3160002778712343</c:v>
                </c:pt>
                <c:pt idx="196">
                  <c:v>-7.3134932672971917</c:v>
                </c:pt>
                <c:pt idx="197">
                  <c:v>-7.3059739537548838</c:v>
                </c:pt>
                <c:pt idx="198">
                  <c:v>-7.2934474906062148</c:v>
                </c:pt>
                <c:pt idx="199">
                  <c:v>-7.2759224628633152</c:v>
                </c:pt>
                <c:pt idx="200">
                  <c:v>-7.2534108813048039</c:v>
                </c:pt>
                <c:pt idx="201">
                  <c:v>-7.2259281742442063</c:v>
                </c:pt>
                <c:pt idx="202">
                  <c:v>-7.1934931769561468</c:v>
                </c:pt>
                <c:pt idx="203">
                  <c:v>-7.1561281187676045</c:v>
                </c:pt>
                <c:pt idx="204">
                  <c:v>-7.1138586078230333</c:v>
                </c:pt>
                <c:pt idx="205">
                  <c:v>-7.0667136135338247</c:v>
                </c:pt>
                <c:pt idx="206">
                  <c:v>-7.0147254467241247</c:v>
                </c:pt>
                <c:pt idx="207">
                  <c:v>-6.9579297374865918</c:v>
                </c:pt>
                <c:pt idx="208">
                  <c:v>-6.8963654107633321</c:v>
                </c:pt>
                <c:pt idx="209">
                  <c:v>-6.8300746596686759</c:v>
                </c:pt>
                <c:pt idx="210">
                  <c:v>-6.759102916572119</c:v>
                </c:pt>
                <c:pt idx="211">
                  <c:v>-6.6834988219612708</c:v>
                </c:pt>
                <c:pt idx="212">
                  <c:v>-6.603314191106068</c:v>
                </c:pt>
                <c:pt idx="213">
                  <c:v>-6.5186039785471825</c:v>
                </c:pt>
                <c:pt idx="214">
                  <c:v>-6.4294262404329379</c:v>
                </c:pt>
                <c:pt idx="215">
                  <c:v>-6.3358420947305003</c:v>
                </c:pt>
                <c:pt idx="216">
                  <c:v>-6.2379156793387125</c:v>
                </c:pt>
                <c:pt idx="217">
                  <c:v>-6.1357141081311495</c:v>
                </c:pt>
                <c:pt idx="218">
                  <c:v>-6.0293074249596286</c:v>
                </c:pt>
                <c:pt idx="219">
                  <c:v>-5.9187685556496668</c:v>
                </c:pt>
                <c:pt idx="220">
                  <c:v>-5.8041732580207483</c:v>
                </c:pt>
                <c:pt idx="221">
                  <c:v>-5.6856000699657061</c:v>
                </c:pt>
                <c:pt idx="222">
                  <c:v>-5.5631302556247695</c:v>
                </c:pt>
                <c:pt idx="223">
                  <c:v>-5.4368477496911884</c:v>
                </c:pt>
                <c:pt idx="224">
                  <c:v>-5.3068390998865693</c:v>
                </c:pt>
                <c:pt idx="225">
                  <c:v>-5.1731934076454174</c:v>
                </c:pt>
                <c:pt idx="226">
                  <c:v>-5.0360022670494402</c:v>
                </c:pt>
                <c:pt idx="227">
                  <c:v>-4.895359702053554</c:v>
                </c:pt>
                <c:pt idx="228">
                  <c:v>-4.7513621020465582</c:v>
                </c:pt>
                <c:pt idx="229">
                  <c:v>-4.6041081557906471</c:v>
                </c:pt>
                <c:pt idx="230">
                  <c:v>-4.4536987837850912</c:v>
                </c:pt>
                <c:pt idx="231">
                  <c:v>-4.3002370691003486</c:v>
                </c:pt>
                <c:pt idx="232">
                  <c:v>-4.1438281867300777</c:v>
                </c:pt>
                <c:pt idx="233">
                  <c:v>-3.9845793315094582</c:v>
                </c:pt>
                <c:pt idx="234">
                  <c:v>-3.8225996446492019</c:v>
                </c:pt>
                <c:pt idx="235">
                  <c:v>-3.6580001389356203</c:v>
                </c:pt>
                <c:pt idx="236">
                  <c:v>-3.4908936226479912</c:v>
                </c:pt>
                <c:pt idx="237">
                  <c:v>-3.321394622245426</c:v>
                </c:pt>
                <c:pt idx="238">
                  <c:v>-3.1496193038761375</c:v>
                </c:pt>
                <c:pt idx="239">
                  <c:v>-2.975685393762967</c:v>
                </c:pt>
                <c:pt idx="240">
                  <c:v>-2.7997120975197127</c:v>
                </c:pt>
                <c:pt idx="241">
                  <c:v>-2.6218200184535649</c:v>
                </c:pt>
                <c:pt idx="242">
                  <c:v>-2.4421310749095948</c:v>
                </c:pt>
                <c:pt idx="243">
                  <c:v>-2.2607684167140505</c:v>
                </c:pt>
                <c:pt idx="244">
                  <c:v>-2.077856340773593</c:v>
                </c:pt>
                <c:pt idx="245">
                  <c:v>-1.8935202058884089</c:v>
                </c:pt>
                <c:pt idx="246">
                  <c:v>-1.7078863468375602</c:v>
                </c:pt>
                <c:pt idx="247">
                  <c:v>-1.5210819877954094</c:v>
                </c:pt>
                <c:pt idx="248">
                  <c:v>-1.3332351551385639</c:v>
                </c:pt>
                <c:pt idx="249">
                  <c:v>-1.1444745897029687</c:v>
                </c:pt>
                <c:pt idx="250">
                  <c:v>-0.95492965855137224</c:v>
                </c:pt>
                <c:pt idx="251">
                  <c:v>-0.76473026631160546</c:v>
                </c:pt>
                <c:pt idx="252">
                  <c:v>-0.5740067661464443</c:v>
                </c:pt>
                <c:pt idx="253">
                  <c:v>-0.38288987041603778</c:v>
                </c:pt>
                <c:pt idx="254">
                  <c:v>-0.19151056109422379</c:v>
                </c:pt>
                <c:pt idx="255">
                  <c:v>-1.7926372873089954E-15</c:v>
                </c:pt>
                <c:pt idx="256">
                  <c:v>0.19151056109422021</c:v>
                </c:pt>
                <c:pt idx="257">
                  <c:v>0.38288987041603423</c:v>
                </c:pt>
                <c:pt idx="258">
                  <c:v>0.57400676614643431</c:v>
                </c:pt>
                <c:pt idx="259">
                  <c:v>0.7647302663116019</c:v>
                </c:pt>
                <c:pt idx="260">
                  <c:v>0.95492965855136858</c:v>
                </c:pt>
                <c:pt idx="261">
                  <c:v>1.1444745897029651</c:v>
                </c:pt>
                <c:pt idx="262">
                  <c:v>1.3332351551385604</c:v>
                </c:pt>
                <c:pt idx="263">
                  <c:v>1.5210819877953994</c:v>
                </c:pt>
                <c:pt idx="264">
                  <c:v>1.7078863468375505</c:v>
                </c:pt>
                <c:pt idx="265">
                  <c:v>1.8935202058884055</c:v>
                </c:pt>
                <c:pt idx="266">
                  <c:v>2.0778563407735895</c:v>
                </c:pt>
                <c:pt idx="267">
                  <c:v>2.2607684167140474</c:v>
                </c:pt>
                <c:pt idx="268">
                  <c:v>2.4421310749095917</c:v>
                </c:pt>
                <c:pt idx="269">
                  <c:v>2.6218200184535556</c:v>
                </c:pt>
                <c:pt idx="270">
                  <c:v>2.7997120975197096</c:v>
                </c:pt>
                <c:pt idx="271">
                  <c:v>2.9756853937629639</c:v>
                </c:pt>
                <c:pt idx="272">
                  <c:v>3.1496193038761344</c:v>
                </c:pt>
                <c:pt idx="273">
                  <c:v>3.3213946222454291</c:v>
                </c:pt>
                <c:pt idx="274">
                  <c:v>3.4908936226479823</c:v>
                </c:pt>
                <c:pt idx="275">
                  <c:v>3.6580001389356118</c:v>
                </c:pt>
                <c:pt idx="276">
                  <c:v>3.8225996446491983</c:v>
                </c:pt>
                <c:pt idx="277">
                  <c:v>3.984579331509456</c:v>
                </c:pt>
                <c:pt idx="278">
                  <c:v>4.1438281867300804</c:v>
                </c:pt>
                <c:pt idx="279">
                  <c:v>4.3002370691003504</c:v>
                </c:pt>
                <c:pt idx="280">
                  <c:v>4.4536987837850841</c:v>
                </c:pt>
                <c:pt idx="281">
                  <c:v>4.60410815579064</c:v>
                </c:pt>
                <c:pt idx="282">
                  <c:v>4.7513621020465502</c:v>
                </c:pt>
                <c:pt idx="283">
                  <c:v>4.8953597020535558</c:v>
                </c:pt>
                <c:pt idx="284">
                  <c:v>5.0360022670494429</c:v>
                </c:pt>
                <c:pt idx="285">
                  <c:v>5.1731934076454094</c:v>
                </c:pt>
                <c:pt idx="286">
                  <c:v>5.3068390998865631</c:v>
                </c:pt>
                <c:pt idx="287">
                  <c:v>5.4368477496911822</c:v>
                </c:pt>
                <c:pt idx="288">
                  <c:v>5.5631302556247713</c:v>
                </c:pt>
                <c:pt idx="289">
                  <c:v>5.6856000699657079</c:v>
                </c:pt>
                <c:pt idx="290">
                  <c:v>5.804173258020751</c:v>
                </c:pt>
                <c:pt idx="291">
                  <c:v>5.9187685556496614</c:v>
                </c:pt>
                <c:pt idx="292">
                  <c:v>6.0293074249596277</c:v>
                </c:pt>
                <c:pt idx="293">
                  <c:v>6.1357141081311486</c:v>
                </c:pt>
                <c:pt idx="294">
                  <c:v>6.2379156793387143</c:v>
                </c:pt>
                <c:pt idx="295">
                  <c:v>6.3358420947305021</c:v>
                </c:pt>
                <c:pt idx="296">
                  <c:v>6.4294262404329361</c:v>
                </c:pt>
                <c:pt idx="297">
                  <c:v>6.5186039785471808</c:v>
                </c:pt>
                <c:pt idx="298">
                  <c:v>6.6033141911060662</c:v>
                </c:pt>
                <c:pt idx="299">
                  <c:v>6.6834988219612717</c:v>
                </c:pt>
                <c:pt idx="300">
                  <c:v>6.7591029165721208</c:v>
                </c:pt>
                <c:pt idx="301">
                  <c:v>6.8300746596686741</c:v>
                </c:pt>
                <c:pt idx="302">
                  <c:v>6.8963654107633303</c:v>
                </c:pt>
                <c:pt idx="303">
                  <c:v>6.9579297374865909</c:v>
                </c:pt>
                <c:pt idx="304">
                  <c:v>7.0147254467241238</c:v>
                </c:pt>
                <c:pt idx="305">
                  <c:v>7.0667136135338255</c:v>
                </c:pt>
                <c:pt idx="306">
                  <c:v>7.1138586078230324</c:v>
                </c:pt>
                <c:pt idx="307">
                  <c:v>7.1561281187676036</c:v>
                </c:pt>
                <c:pt idx="308">
                  <c:v>7.1934931769561459</c:v>
                </c:pt>
                <c:pt idx="309">
                  <c:v>7.2259281742442054</c:v>
                </c:pt>
                <c:pt idx="310">
                  <c:v>7.2534108813048039</c:v>
                </c:pt>
                <c:pt idx="311">
                  <c:v>7.2759224628633143</c:v>
                </c:pt>
                <c:pt idx="312">
                  <c:v>7.2934474906062139</c:v>
                </c:pt>
                <c:pt idx="313">
                  <c:v>7.3059739537548838</c:v>
                </c:pt>
                <c:pt idx="314">
                  <c:v>7.3134932672971917</c:v>
                </c:pt>
                <c:pt idx="315">
                  <c:v>7.3160002778712343</c:v>
                </c:pt>
                <c:pt idx="316">
                  <c:v>7.3134932672971917</c:v>
                </c:pt>
                <c:pt idx="317">
                  <c:v>7.3059739537548838</c:v>
                </c:pt>
                <c:pt idx="318">
                  <c:v>7.2934474906062139</c:v>
                </c:pt>
                <c:pt idx="319">
                  <c:v>7.2759224628633152</c:v>
                </c:pt>
                <c:pt idx="320">
                  <c:v>7.2534108813048048</c:v>
                </c:pt>
                <c:pt idx="321">
                  <c:v>7.2259281742442072</c:v>
                </c:pt>
                <c:pt idx="322">
                  <c:v>7.1934931769561459</c:v>
                </c:pt>
                <c:pt idx="323">
                  <c:v>7.1561281187676018</c:v>
                </c:pt>
                <c:pt idx="324">
                  <c:v>7.1138586078230333</c:v>
                </c:pt>
                <c:pt idx="325">
                  <c:v>7.0667136135338264</c:v>
                </c:pt>
                <c:pt idx="326">
                  <c:v>7.0147254467241247</c:v>
                </c:pt>
                <c:pt idx="327">
                  <c:v>6.9579297374865918</c:v>
                </c:pt>
                <c:pt idx="328">
                  <c:v>6.8963654107633321</c:v>
                </c:pt>
                <c:pt idx="329">
                  <c:v>6.8300746596686732</c:v>
                </c:pt>
                <c:pt idx="330">
                  <c:v>6.7591029165721244</c:v>
                </c:pt>
                <c:pt idx="331">
                  <c:v>6.6834988219612708</c:v>
                </c:pt>
                <c:pt idx="332">
                  <c:v>6.6033141911060653</c:v>
                </c:pt>
                <c:pt idx="333">
                  <c:v>6.5186039785471799</c:v>
                </c:pt>
                <c:pt idx="334">
                  <c:v>6.4294262404329325</c:v>
                </c:pt>
                <c:pt idx="335">
                  <c:v>6.3358420947305047</c:v>
                </c:pt>
                <c:pt idx="336">
                  <c:v>6.2379156793387169</c:v>
                </c:pt>
                <c:pt idx="337">
                  <c:v>6.1357141081311504</c:v>
                </c:pt>
                <c:pt idx="338">
                  <c:v>6.0293074249596295</c:v>
                </c:pt>
                <c:pt idx="339">
                  <c:v>5.9187685556496676</c:v>
                </c:pt>
                <c:pt idx="340">
                  <c:v>5.8041732580207492</c:v>
                </c:pt>
                <c:pt idx="341">
                  <c:v>5.685600069965707</c:v>
                </c:pt>
                <c:pt idx="342">
                  <c:v>5.5631302556247695</c:v>
                </c:pt>
                <c:pt idx="343">
                  <c:v>5.4368477496911849</c:v>
                </c:pt>
                <c:pt idx="344">
                  <c:v>5.3068390998865667</c:v>
                </c:pt>
                <c:pt idx="345">
                  <c:v>5.1731934076454129</c:v>
                </c:pt>
                <c:pt idx="346">
                  <c:v>5.0360022670494358</c:v>
                </c:pt>
                <c:pt idx="347">
                  <c:v>4.8953597020535593</c:v>
                </c:pt>
                <c:pt idx="348">
                  <c:v>4.7513621020465582</c:v>
                </c:pt>
                <c:pt idx="349">
                  <c:v>4.604108155790648</c:v>
                </c:pt>
                <c:pt idx="350">
                  <c:v>4.4536987837850921</c:v>
                </c:pt>
                <c:pt idx="351">
                  <c:v>4.3002370691003486</c:v>
                </c:pt>
                <c:pt idx="352">
                  <c:v>4.1438281867300777</c:v>
                </c:pt>
                <c:pt idx="353">
                  <c:v>3.9845793315094591</c:v>
                </c:pt>
                <c:pt idx="354">
                  <c:v>3.8225996446492023</c:v>
                </c:pt>
                <c:pt idx="355">
                  <c:v>3.6580001389356154</c:v>
                </c:pt>
                <c:pt idx="356">
                  <c:v>3.4908936226479863</c:v>
                </c:pt>
                <c:pt idx="357">
                  <c:v>3.3213946222454211</c:v>
                </c:pt>
                <c:pt idx="358">
                  <c:v>3.1496193038761442</c:v>
                </c:pt>
                <c:pt idx="359">
                  <c:v>2.9756853937629737</c:v>
                </c:pt>
                <c:pt idx="360">
                  <c:v>2.7997120975197198</c:v>
                </c:pt>
                <c:pt idx="361">
                  <c:v>2.6218200184535658</c:v>
                </c:pt>
                <c:pt idx="362">
                  <c:v>2.4421310749095957</c:v>
                </c:pt>
                <c:pt idx="363">
                  <c:v>2.2607684167140518</c:v>
                </c:pt>
                <c:pt idx="364">
                  <c:v>2.0778563407735935</c:v>
                </c:pt>
                <c:pt idx="365">
                  <c:v>1.8935202058884097</c:v>
                </c:pt>
                <c:pt idx="366">
                  <c:v>1.7078863468375549</c:v>
                </c:pt>
                <c:pt idx="367">
                  <c:v>1.5210819877954038</c:v>
                </c:pt>
                <c:pt idx="368">
                  <c:v>1.3332351551385584</c:v>
                </c:pt>
                <c:pt idx="369">
                  <c:v>1.1444745897029758</c:v>
                </c:pt>
                <c:pt idx="370">
                  <c:v>0.95492965855137957</c:v>
                </c:pt>
                <c:pt idx="371">
                  <c:v>0.76473026631161289</c:v>
                </c:pt>
                <c:pt idx="372">
                  <c:v>0.5740067661464453</c:v>
                </c:pt>
                <c:pt idx="373">
                  <c:v>0.38288987041603867</c:v>
                </c:pt>
                <c:pt idx="374">
                  <c:v>0.19151056109422468</c:v>
                </c:pt>
                <c:pt idx="375">
                  <c:v>2.6889559309634932E-15</c:v>
                </c:pt>
                <c:pt idx="376">
                  <c:v>-0.19151056109421929</c:v>
                </c:pt>
                <c:pt idx="377">
                  <c:v>-0.38288987041603328</c:v>
                </c:pt>
                <c:pt idx="378">
                  <c:v>-0.57400676614643986</c:v>
                </c:pt>
                <c:pt idx="379">
                  <c:v>-0.76473026631160756</c:v>
                </c:pt>
                <c:pt idx="380">
                  <c:v>-0.95492965855136125</c:v>
                </c:pt>
                <c:pt idx="381">
                  <c:v>-1.1444745897029578</c:v>
                </c:pt>
                <c:pt idx="382">
                  <c:v>-1.3332351551385533</c:v>
                </c:pt>
                <c:pt idx="383">
                  <c:v>-1.5210819877953985</c:v>
                </c:pt>
                <c:pt idx="384">
                  <c:v>-1.7078863468375496</c:v>
                </c:pt>
                <c:pt idx="385">
                  <c:v>-1.8935202058884173</c:v>
                </c:pt>
                <c:pt idx="386">
                  <c:v>-2.0778563407735886</c:v>
                </c:pt>
                <c:pt idx="387">
                  <c:v>-2.2607684167140465</c:v>
                </c:pt>
                <c:pt idx="388">
                  <c:v>-2.4421310749095908</c:v>
                </c:pt>
                <c:pt idx="389">
                  <c:v>-2.6218200184535609</c:v>
                </c:pt>
                <c:pt idx="390">
                  <c:v>-2.7997120975197149</c:v>
                </c:pt>
                <c:pt idx="391">
                  <c:v>-2.9756853937629568</c:v>
                </c:pt>
                <c:pt idx="392">
                  <c:v>-3.1496193038761278</c:v>
                </c:pt>
                <c:pt idx="393">
                  <c:v>-3.3213946222454163</c:v>
                </c:pt>
                <c:pt idx="394">
                  <c:v>-3.4908936226479814</c:v>
                </c:pt>
                <c:pt idx="395">
                  <c:v>-3.658000138935622</c:v>
                </c:pt>
                <c:pt idx="396">
                  <c:v>-3.822599644649209</c:v>
                </c:pt>
                <c:pt idx="397">
                  <c:v>-3.9845793315094551</c:v>
                </c:pt>
                <c:pt idx="398">
                  <c:v>-4.1438281867300741</c:v>
                </c:pt>
                <c:pt idx="399">
                  <c:v>-4.3002370691003442</c:v>
                </c:pt>
                <c:pt idx="400">
                  <c:v>-4.4536987837850885</c:v>
                </c:pt>
                <c:pt idx="401">
                  <c:v>-4.6041081557906445</c:v>
                </c:pt>
                <c:pt idx="402">
                  <c:v>-4.7513621020465449</c:v>
                </c:pt>
                <c:pt idx="403">
                  <c:v>-4.8953597020535451</c:v>
                </c:pt>
                <c:pt idx="404">
                  <c:v>-5.036002267049442</c:v>
                </c:pt>
                <c:pt idx="405">
                  <c:v>-5.1731934076454182</c:v>
                </c:pt>
                <c:pt idx="406">
                  <c:v>-5.3068390998865711</c:v>
                </c:pt>
                <c:pt idx="407">
                  <c:v>-5.4368477496911902</c:v>
                </c:pt>
                <c:pt idx="408">
                  <c:v>-5.5631302556247668</c:v>
                </c:pt>
                <c:pt idx="409">
                  <c:v>-5.6856000699657034</c:v>
                </c:pt>
                <c:pt idx="410">
                  <c:v>-5.8041732580207457</c:v>
                </c:pt>
                <c:pt idx="411">
                  <c:v>-5.918768555649665</c:v>
                </c:pt>
                <c:pt idx="412">
                  <c:v>-6.0293074249596268</c:v>
                </c:pt>
                <c:pt idx="413">
                  <c:v>-6.1357141081311406</c:v>
                </c:pt>
                <c:pt idx="414">
                  <c:v>-6.2379156793387143</c:v>
                </c:pt>
                <c:pt idx="415">
                  <c:v>-6.3358420947305012</c:v>
                </c:pt>
                <c:pt idx="416">
                  <c:v>-6.4294262404329352</c:v>
                </c:pt>
                <c:pt idx="417">
                  <c:v>-6.5186039785471834</c:v>
                </c:pt>
                <c:pt idx="418">
                  <c:v>-6.6033141911060689</c:v>
                </c:pt>
                <c:pt idx="419">
                  <c:v>-6.683498821961269</c:v>
                </c:pt>
                <c:pt idx="420">
                  <c:v>-6.7591029165721173</c:v>
                </c:pt>
                <c:pt idx="421">
                  <c:v>-6.8300746596686714</c:v>
                </c:pt>
                <c:pt idx="422">
                  <c:v>-6.8963654107633303</c:v>
                </c:pt>
                <c:pt idx="423">
                  <c:v>-6.9579297374865909</c:v>
                </c:pt>
                <c:pt idx="424">
                  <c:v>-7.0147254467241229</c:v>
                </c:pt>
                <c:pt idx="425">
                  <c:v>-7.0667136135338247</c:v>
                </c:pt>
                <c:pt idx="426">
                  <c:v>-7.1138586078230315</c:v>
                </c:pt>
                <c:pt idx="427">
                  <c:v>-7.1561281187676036</c:v>
                </c:pt>
                <c:pt idx="428">
                  <c:v>-7.1934931769561468</c:v>
                </c:pt>
                <c:pt idx="429">
                  <c:v>-7.2259281742442063</c:v>
                </c:pt>
                <c:pt idx="430">
                  <c:v>-7.253410881304803</c:v>
                </c:pt>
                <c:pt idx="431">
                  <c:v>-7.2759224628633135</c:v>
                </c:pt>
                <c:pt idx="432">
                  <c:v>-7.293447490606213</c:v>
                </c:pt>
                <c:pt idx="433">
                  <c:v>-7.3059739537548838</c:v>
                </c:pt>
                <c:pt idx="434">
                  <c:v>-7.3134932672971917</c:v>
                </c:pt>
                <c:pt idx="435">
                  <c:v>-7.3160002778712343</c:v>
                </c:pt>
                <c:pt idx="436">
                  <c:v>-7.3134932672971917</c:v>
                </c:pt>
                <c:pt idx="437">
                  <c:v>-7.3059739537548838</c:v>
                </c:pt>
                <c:pt idx="438">
                  <c:v>-7.2934474906062139</c:v>
                </c:pt>
                <c:pt idx="439">
                  <c:v>-7.2759224628633143</c:v>
                </c:pt>
                <c:pt idx="440">
                  <c:v>-7.2534108813048039</c:v>
                </c:pt>
                <c:pt idx="441">
                  <c:v>-7.2259281742442072</c:v>
                </c:pt>
                <c:pt idx="442">
                  <c:v>-7.1934931769561485</c:v>
                </c:pt>
                <c:pt idx="443">
                  <c:v>-7.1561281187676045</c:v>
                </c:pt>
                <c:pt idx="444">
                  <c:v>-7.1138586078230333</c:v>
                </c:pt>
                <c:pt idx="445">
                  <c:v>-7.0667136135338264</c:v>
                </c:pt>
                <c:pt idx="446">
                  <c:v>-7.0147254467241247</c:v>
                </c:pt>
                <c:pt idx="447">
                  <c:v>-6.9579297374865927</c:v>
                </c:pt>
                <c:pt idx="448">
                  <c:v>-6.896365410763333</c:v>
                </c:pt>
                <c:pt idx="449">
                  <c:v>-6.8300746596686741</c:v>
                </c:pt>
                <c:pt idx="450">
                  <c:v>-6.7591029165721199</c:v>
                </c:pt>
                <c:pt idx="451">
                  <c:v>-6.6834988219612717</c:v>
                </c:pt>
                <c:pt idx="452">
                  <c:v>-6.6033141911060662</c:v>
                </c:pt>
                <c:pt idx="453">
                  <c:v>-6.5186039785471808</c:v>
                </c:pt>
                <c:pt idx="454">
                  <c:v>-6.4294262404329325</c:v>
                </c:pt>
                <c:pt idx="455">
                  <c:v>-6.3358420947305047</c:v>
                </c:pt>
                <c:pt idx="456">
                  <c:v>-6.2379156793387169</c:v>
                </c:pt>
                <c:pt idx="457">
                  <c:v>-6.1357141081311504</c:v>
                </c:pt>
                <c:pt idx="458">
                  <c:v>-6.0293074249596303</c:v>
                </c:pt>
                <c:pt idx="459">
                  <c:v>-5.9187685556496676</c:v>
                </c:pt>
                <c:pt idx="460">
                  <c:v>-5.8041732580207501</c:v>
                </c:pt>
                <c:pt idx="461">
                  <c:v>-5.6856000699657079</c:v>
                </c:pt>
                <c:pt idx="462">
                  <c:v>-5.5631302556247704</c:v>
                </c:pt>
                <c:pt idx="463">
                  <c:v>-5.4368477496911858</c:v>
                </c:pt>
                <c:pt idx="464">
                  <c:v>-5.3068390998865667</c:v>
                </c:pt>
                <c:pt idx="465">
                  <c:v>-5.1731934076454138</c:v>
                </c:pt>
                <c:pt idx="466">
                  <c:v>-5.0360022670494455</c:v>
                </c:pt>
                <c:pt idx="467">
                  <c:v>-4.8953597020535602</c:v>
                </c:pt>
                <c:pt idx="468">
                  <c:v>-4.7513621020465591</c:v>
                </c:pt>
                <c:pt idx="469">
                  <c:v>-4.6041081557906489</c:v>
                </c:pt>
                <c:pt idx="470">
                  <c:v>-4.453698783785093</c:v>
                </c:pt>
                <c:pt idx="471">
                  <c:v>-4.3002370691003495</c:v>
                </c:pt>
                <c:pt idx="472">
                  <c:v>-4.1438281867300786</c:v>
                </c:pt>
                <c:pt idx="473">
                  <c:v>-3.98457933150946</c:v>
                </c:pt>
                <c:pt idx="474">
                  <c:v>-3.8225996446492032</c:v>
                </c:pt>
                <c:pt idx="475">
                  <c:v>-3.6580001389356163</c:v>
                </c:pt>
                <c:pt idx="476">
                  <c:v>-3.4908936226479872</c:v>
                </c:pt>
                <c:pt idx="477">
                  <c:v>-3.321394622245434</c:v>
                </c:pt>
                <c:pt idx="478">
                  <c:v>-3.1496193038761451</c:v>
                </c:pt>
                <c:pt idx="479">
                  <c:v>-2.9756853937629746</c:v>
                </c:pt>
                <c:pt idx="480">
                  <c:v>-2.7997120975197207</c:v>
                </c:pt>
                <c:pt idx="481">
                  <c:v>-2.6218200184535667</c:v>
                </c:pt>
                <c:pt idx="482">
                  <c:v>-2.4421310749095966</c:v>
                </c:pt>
                <c:pt idx="483">
                  <c:v>-2.2607684167140523</c:v>
                </c:pt>
                <c:pt idx="484">
                  <c:v>-2.0778563407735944</c:v>
                </c:pt>
                <c:pt idx="485">
                  <c:v>-1.8935202058884109</c:v>
                </c:pt>
                <c:pt idx="486">
                  <c:v>-1.7078863468375556</c:v>
                </c:pt>
                <c:pt idx="487">
                  <c:v>-1.5210819877954047</c:v>
                </c:pt>
                <c:pt idx="488">
                  <c:v>-1.3332351551385593</c:v>
                </c:pt>
                <c:pt idx="489">
                  <c:v>-1.1444745897029769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E1-4D77-8030-FC2A1F79CCDE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ot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yVal>
            <c:numRef>
              <c:f>Analysis2!$W$7:$W$8</c:f>
              <c:numCache>
                <c:formatCode>General</c:formatCode>
                <c:ptCount val="2"/>
                <c:pt idx="0">
                  <c:v>6</c:v>
                </c:pt>
                <c:pt idx="1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E1-4D77-8030-FC2A1F79C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664512"/>
        <c:axId val="1"/>
      </c:scatterChart>
      <c:catAx>
        <c:axId val="359664512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9525">
            <a:noFill/>
          </a:ln>
        </c:sp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hu-HU"/>
          </a:p>
        </c:txPr>
        <c:crossAx val="35966451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hu-H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48780487804878E-2"/>
          <c:y val="3.1250095367722677E-2"/>
          <c:w val="0.94512195121951215"/>
          <c:h val="0.94375288010522496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Analysis2!$AB$23:$AB$24</c:f>
              <c:numCache>
                <c:formatCode>General</c:formatCode>
                <c:ptCount val="2"/>
                <c:pt idx="0">
                  <c:v>0</c:v>
                </c:pt>
                <c:pt idx="1">
                  <c:v>0.67716943354408243</c:v>
                </c:pt>
              </c:numCache>
            </c:numRef>
          </c:xVal>
          <c:yVal>
            <c:numRef>
              <c:f>Analysis2!$AC$23:$AC$24</c:f>
              <c:numCache>
                <c:formatCode>General</c:formatCode>
                <c:ptCount val="2"/>
                <c:pt idx="0">
                  <c:v>0</c:v>
                </c:pt>
                <c:pt idx="1">
                  <c:v>0.67716943354408365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0A-47EC-A630-6557659C9ABA}"/>
            </c:ext>
          </c:extLst>
        </c:ser>
        <c:ser>
          <c:idx val="1"/>
          <c:order val="1"/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Analysis2!$AD$23:$AD$24</c:f>
              <c:numCache>
                <c:formatCode>General</c:formatCode>
                <c:ptCount val="2"/>
                <c:pt idx="0">
                  <c:v>0</c:v>
                </c:pt>
                <c:pt idx="1">
                  <c:v>0.24786121534345401</c:v>
                </c:pt>
              </c:numCache>
            </c:numRef>
          </c:xVal>
          <c:yVal>
            <c:numRef>
              <c:f>Analysis2!$AE$23:$AE$24</c:f>
              <c:numCache>
                <c:formatCode>General</c:formatCode>
                <c:ptCount val="2"/>
                <c:pt idx="0">
                  <c:v>0</c:v>
                </c:pt>
                <c:pt idx="1">
                  <c:v>-0.92503064888753528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0A-47EC-A630-6557659C9ABA}"/>
            </c:ext>
          </c:extLst>
        </c:ser>
        <c:ser>
          <c:idx val="2"/>
          <c:order val="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Analysis2!$AF$23:$AF$24</c:f>
              <c:numCache>
                <c:formatCode>General</c:formatCode>
                <c:ptCount val="2"/>
                <c:pt idx="0">
                  <c:v>0</c:v>
                </c:pt>
                <c:pt idx="1">
                  <c:v>-0.92503064888753583</c:v>
                </c:pt>
              </c:numCache>
            </c:numRef>
          </c:xVal>
          <c:yVal>
            <c:numRef>
              <c:f>Analysis2!$AG$23:$AG$24</c:f>
              <c:numCache>
                <c:formatCode>General</c:formatCode>
                <c:ptCount val="2"/>
                <c:pt idx="0">
                  <c:v>0</c:v>
                </c:pt>
                <c:pt idx="1">
                  <c:v>0.24786121534345132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0A-47EC-A630-6557659C9ABA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Analysis2!$AQ$5:$AQ$16</c:f>
              <c:numCache>
                <c:formatCode>General</c:formatCode>
                <c:ptCount val="12"/>
                <c:pt idx="0">
                  <c:v>0.86602540378443871</c:v>
                </c:pt>
                <c:pt idx="1">
                  <c:v>0.50000000000000011</c:v>
                </c:pt>
                <c:pt idx="2">
                  <c:v>6.1257422745431001E-17</c:v>
                </c:pt>
                <c:pt idx="3">
                  <c:v>-0.49999999999999978</c:v>
                </c:pt>
                <c:pt idx="4">
                  <c:v>-0.86602540378443871</c:v>
                </c:pt>
                <c:pt idx="5">
                  <c:v>-1</c:v>
                </c:pt>
                <c:pt idx="6">
                  <c:v>-0.8660254037844386</c:v>
                </c:pt>
                <c:pt idx="7">
                  <c:v>-0.50000000000000044</c:v>
                </c:pt>
                <c:pt idx="8">
                  <c:v>-1.83772268236293E-16</c:v>
                </c:pt>
                <c:pt idx="9">
                  <c:v>0.50000000000000011</c:v>
                </c:pt>
                <c:pt idx="10">
                  <c:v>0.86602540378443837</c:v>
                </c:pt>
                <c:pt idx="11">
                  <c:v>1</c:v>
                </c:pt>
              </c:numCache>
            </c:numRef>
          </c:xVal>
          <c:yVal>
            <c:numRef>
              <c:f>Analysis2!$AR$5:$AR$16</c:f>
              <c:numCache>
                <c:formatCode>General</c:formatCode>
                <c:ptCount val="12"/>
                <c:pt idx="0">
                  <c:v>0.49999999999999994</c:v>
                </c:pt>
                <c:pt idx="1">
                  <c:v>0.8660254037844386</c:v>
                </c:pt>
                <c:pt idx="2">
                  <c:v>1</c:v>
                </c:pt>
                <c:pt idx="3">
                  <c:v>0.86602540378443871</c:v>
                </c:pt>
                <c:pt idx="4">
                  <c:v>0.49999999999999994</c:v>
                </c:pt>
                <c:pt idx="5">
                  <c:v>1.22514845490862E-16</c:v>
                </c:pt>
                <c:pt idx="6">
                  <c:v>-0.50000000000000011</c:v>
                </c:pt>
                <c:pt idx="7">
                  <c:v>-0.86602540378443837</c:v>
                </c:pt>
                <c:pt idx="8">
                  <c:v>-1</c:v>
                </c:pt>
                <c:pt idx="9">
                  <c:v>-0.8660254037844386</c:v>
                </c:pt>
                <c:pt idx="10">
                  <c:v>-0.50000000000000044</c:v>
                </c:pt>
                <c:pt idx="11">
                  <c:v>-2.45029690981724E-16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0A-47EC-A630-6557659C9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663856"/>
        <c:axId val="1"/>
      </c:scatterChart>
      <c:valAx>
        <c:axId val="359663856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359663856"/>
        <c:crosses val="autoZero"/>
        <c:crossBetween val="midCat"/>
        <c:majorUnit val="0.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hu-HU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794764888185327E-2"/>
          <c:y val="5.8536724792122692E-2"/>
          <c:w val="0.89498115984036031"/>
          <c:h val="0.8878069926805275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Analysis2!$AU$2:$AV$2</c:f>
              <c:numCache>
                <c:formatCode>0.0000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Analysis2!$AU$3:$AV$3</c:f>
              <c:numCache>
                <c:formatCode>0.0000</c:formatCode>
                <c:ptCount val="2"/>
                <c:pt idx="0">
                  <c:v>6.1257422745431001E-17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B-4DE2-B63A-C7DE312F42AB}"/>
            </c:ext>
          </c:extLst>
        </c:ser>
        <c:ser>
          <c:idx val="1"/>
          <c:order val="1"/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Analysis2!$AU$4:$AU$5</c:f>
              <c:numCache>
                <c:formatCode>0.0000</c:formatCode>
                <c:ptCount val="2"/>
                <c:pt idx="0">
                  <c:v>0</c:v>
                </c:pt>
                <c:pt idx="1">
                  <c:v>-0.8660254037844386</c:v>
                </c:pt>
              </c:numCache>
            </c:numRef>
          </c:xVal>
          <c:yVal>
            <c:numRef>
              <c:f>Analysis2!$AV$4:$AV$5</c:f>
              <c:numCache>
                <c:formatCode>0.0000</c:formatCode>
                <c:ptCount val="2"/>
                <c:pt idx="0">
                  <c:v>0</c:v>
                </c:pt>
                <c:pt idx="1">
                  <c:v>-0.50000000000000011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B-4DE2-B63A-C7DE312F42AB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Analysis2!$AU$6:$AU$7</c:f>
              <c:numCache>
                <c:formatCode>General</c:formatCode>
                <c:ptCount val="2"/>
                <c:pt idx="0" formatCode="0.0000">
                  <c:v>0</c:v>
                </c:pt>
                <c:pt idx="1">
                  <c:v>0.86602540378443837</c:v>
                </c:pt>
              </c:numCache>
            </c:numRef>
          </c:xVal>
          <c:yVal>
            <c:numRef>
              <c:f>Analysis2!$AV$6:$AV$7</c:f>
              <c:numCache>
                <c:formatCode>0.0000</c:formatCode>
                <c:ptCount val="2"/>
                <c:pt idx="0">
                  <c:v>0</c:v>
                </c:pt>
                <c:pt idx="1">
                  <c:v>-0.50000000000000044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B-4DE2-B63A-C7DE312F42AB}"/>
            </c:ext>
          </c:extLst>
        </c:ser>
        <c:ser>
          <c:idx val="3"/>
          <c:order val="3"/>
          <c:tx>
            <c:v>Is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hu-H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Analysis2!$AU$9</c:f>
              <c:numCache>
                <c:formatCode>General</c:formatCode>
                <c:ptCount val="1"/>
                <c:pt idx="0">
                  <c:v>6.1257422745431001E-17</c:v>
                </c:pt>
              </c:numCache>
            </c:numRef>
          </c:xVal>
          <c:yVal>
            <c:numRef>
              <c:f>Analysis2!$AV$9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DB-4DE2-B63A-C7DE312F42AB}"/>
            </c:ext>
          </c:extLst>
        </c:ser>
        <c:ser>
          <c:idx val="4"/>
          <c:order val="4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Analysis2!$AU$10:$AU$11</c:f>
              <c:numCache>
                <c:formatCode>General</c:formatCode>
                <c:ptCount val="2"/>
                <c:pt idx="0">
                  <c:v>0</c:v>
                </c:pt>
                <c:pt idx="1">
                  <c:v>6.1257422745431001E-17</c:v>
                </c:pt>
              </c:numCache>
            </c:numRef>
          </c:xVal>
          <c:yVal>
            <c:numRef>
              <c:f>Analysis2!$AV$10:$AV$11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1DB-4DE2-B63A-C7DE312F42AB}"/>
            </c:ext>
          </c:extLst>
        </c:ser>
        <c:ser>
          <c:idx val="5"/>
          <c:order val="5"/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Analysis2!$AU$12:$AU$13</c:f>
              <c:numCache>
                <c:formatCode>General</c:formatCode>
                <c:ptCount val="2"/>
                <c:pt idx="0">
                  <c:v>0</c:v>
                </c:pt>
                <c:pt idx="1">
                  <c:v>0.43301270189221913</c:v>
                </c:pt>
              </c:numCache>
            </c:numRef>
          </c:xVal>
          <c:yVal>
            <c:numRef>
              <c:f>Analysis2!$AV$12:$AV$13</c:f>
              <c:numCache>
                <c:formatCode>General</c:formatCode>
                <c:ptCount val="2"/>
                <c:pt idx="0">
                  <c:v>0</c:v>
                </c:pt>
                <c:pt idx="1">
                  <c:v>0.24999999999999994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1DB-4DE2-B63A-C7DE312F42AB}"/>
            </c:ext>
          </c:extLst>
        </c:ser>
        <c:ser>
          <c:idx val="6"/>
          <c:order val="6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Analysis2!$AU$14:$AU$15</c:f>
              <c:numCache>
                <c:formatCode>General</c:formatCode>
                <c:ptCount val="2"/>
                <c:pt idx="0">
                  <c:v>0</c:v>
                </c:pt>
                <c:pt idx="1">
                  <c:v>-0.43301270189221958</c:v>
                </c:pt>
              </c:numCache>
            </c:numRef>
          </c:xVal>
          <c:yVal>
            <c:numRef>
              <c:f>Analysis2!$AV$14:$AV$15</c:f>
              <c:numCache>
                <c:formatCode>General</c:formatCode>
                <c:ptCount val="2"/>
                <c:pt idx="0">
                  <c:v>0</c:v>
                </c:pt>
                <c:pt idx="1">
                  <c:v>0.25000000000000044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1DB-4DE2-B63A-C7DE312F42AB}"/>
            </c:ext>
          </c:extLst>
        </c:ser>
        <c:ser>
          <c:idx val="7"/>
          <c:order val="7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Analysis2!$AU$16:$AU$17</c:f>
              <c:numCache>
                <c:formatCode>General</c:formatCode>
                <c:ptCount val="2"/>
                <c:pt idx="0">
                  <c:v>6.1257422745431001E-17</c:v>
                </c:pt>
                <c:pt idx="1">
                  <c:v>6.1257422745431001E-17</c:v>
                </c:pt>
              </c:numCache>
            </c:numRef>
          </c:xVal>
          <c:yVal>
            <c:numRef>
              <c:f>Analysis2!$AV$16:$AV$17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1DB-4DE2-B63A-C7DE312F42AB}"/>
            </c:ext>
          </c:extLst>
        </c:ser>
        <c:ser>
          <c:idx val="8"/>
          <c:order val="8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Analysis2!$AU$18:$AU$19</c:f>
              <c:numCache>
                <c:formatCode>General</c:formatCode>
                <c:ptCount val="2"/>
                <c:pt idx="0">
                  <c:v>0.43301270189221913</c:v>
                </c:pt>
                <c:pt idx="1">
                  <c:v>6.1257422745431001E-17</c:v>
                </c:pt>
              </c:numCache>
            </c:numRef>
          </c:xVal>
          <c:yVal>
            <c:numRef>
              <c:f>Analysis2!$AV$18:$AV$19</c:f>
              <c:numCache>
                <c:formatCode>General</c:formatCode>
                <c:ptCount val="2"/>
                <c:pt idx="0">
                  <c:v>0.24999999999999994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1DB-4DE2-B63A-C7DE312F42AB}"/>
            </c:ext>
          </c:extLst>
        </c:ser>
        <c:ser>
          <c:idx val="9"/>
          <c:order val="9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Analysis2!$AU$20:$AU$21</c:f>
              <c:numCache>
                <c:formatCode>General</c:formatCode>
                <c:ptCount val="2"/>
                <c:pt idx="0">
                  <c:v>-0.43301270189221958</c:v>
                </c:pt>
                <c:pt idx="1">
                  <c:v>6.1257422745431001E-17</c:v>
                </c:pt>
              </c:numCache>
            </c:numRef>
          </c:xVal>
          <c:yVal>
            <c:numRef>
              <c:f>Analysis2!$AV$20:$AV$21</c:f>
              <c:numCache>
                <c:formatCode>General</c:formatCode>
                <c:ptCount val="2"/>
                <c:pt idx="0">
                  <c:v>0.25000000000000044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1DB-4DE2-B63A-C7DE312F42AB}"/>
            </c:ext>
          </c:extLst>
        </c:ser>
        <c:ser>
          <c:idx val="10"/>
          <c:order val="1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Analysis2!$AU$8:$AU$9</c:f>
              <c:numCache>
                <c:formatCode>General</c:formatCode>
                <c:ptCount val="2"/>
                <c:pt idx="0">
                  <c:v>0</c:v>
                </c:pt>
                <c:pt idx="1">
                  <c:v>6.1257422745431001E-17</c:v>
                </c:pt>
              </c:numCache>
            </c:numRef>
          </c:xVal>
          <c:yVal>
            <c:numRef>
              <c:f>Analysis2!$AV$8:$AV$9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1DB-4DE2-B63A-C7DE312F4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666152"/>
        <c:axId val="1"/>
      </c:scatterChart>
      <c:valAx>
        <c:axId val="359666152"/>
        <c:scaling>
          <c:orientation val="minMax"/>
          <c:max val="1"/>
          <c:min val="-1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hu-HU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  <c:min val="-1"/>
        </c:scaling>
        <c:delete val="0"/>
        <c:axPos val="l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hu-HU"/>
          </a:p>
        </c:txPr>
        <c:crossAx val="359666152"/>
        <c:crosses val="autoZero"/>
        <c:crossBetween val="midCat"/>
        <c:majorUnit val="0.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hu-HU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250095367722677E-2"/>
          <c:y val="3.1250095367722677E-2"/>
          <c:w val="0.94375288010522496"/>
          <c:h val="0.94375288010522496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Analysis2!$AC$3:$AC$4</c:f>
              <c:numCache>
                <c:formatCode>General</c:formatCode>
                <c:ptCount val="2"/>
                <c:pt idx="0">
                  <c:v>0</c:v>
                </c:pt>
                <c:pt idx="1">
                  <c:v>2.7997120975197123</c:v>
                </c:pt>
              </c:numCache>
            </c:numRef>
          </c:xVal>
          <c:yVal>
            <c:numRef>
              <c:f>Analysis2!$AD$3:$AD$4</c:f>
              <c:numCache>
                <c:formatCode>General</c:formatCode>
                <c:ptCount val="2"/>
                <c:pt idx="0">
                  <c:v>0</c:v>
                </c:pt>
                <c:pt idx="1">
                  <c:v>6.7591029165721181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DE-4F81-9EE2-87654087BC60}"/>
            </c:ext>
          </c:extLst>
        </c:ser>
        <c:ser>
          <c:idx val="1"/>
          <c:order val="1"/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Analysis2!$AE$3:$AE$4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Analysis2!$AF$3:$AF$4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DE-4F81-9EE2-87654087BC60}"/>
            </c:ext>
          </c:extLst>
        </c:ser>
        <c:ser>
          <c:idx val="2"/>
          <c:order val="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Analysis2!$AG$3:$AG$4</c:f>
              <c:numCache>
                <c:formatCode>General</c:formatCode>
                <c:ptCount val="2"/>
                <c:pt idx="0">
                  <c:v>0</c:v>
                </c:pt>
                <c:pt idx="1">
                  <c:v>2.7997120975197123</c:v>
                </c:pt>
              </c:numCache>
            </c:numRef>
          </c:xVal>
          <c:yVal>
            <c:numRef>
              <c:f>Analysis2!$AH$3:$AH$4</c:f>
              <c:numCache>
                <c:formatCode>General</c:formatCode>
                <c:ptCount val="2"/>
                <c:pt idx="0">
                  <c:v>0</c:v>
                </c:pt>
                <c:pt idx="1">
                  <c:v>6.7591029165721181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DE-4F81-9EE2-87654087BC60}"/>
            </c:ext>
          </c:extLst>
        </c:ser>
        <c:ser>
          <c:idx val="3"/>
          <c:order val="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Analysis2!$AJ$3:$AJ$21</c:f>
              <c:numCache>
                <c:formatCode>General</c:formatCode>
                <c:ptCount val="19"/>
                <c:pt idx="0">
                  <c:v>2.7997120975197083</c:v>
                </c:pt>
                <c:pt idx="1">
                  <c:v>4.9426181466432526</c:v>
                </c:pt>
                <c:pt idx="2">
                  <c:v>6.4893715020066631</c:v>
                </c:pt>
                <c:pt idx="3">
                  <c:v>7.2534108813048039</c:v>
                </c:pt>
                <c:pt idx="4">
                  <c:v>7.14258185937401</c:v>
                </c:pt>
                <c:pt idx="5">
                  <c:v>6.1702520519212944</c:v>
                </c:pt>
                <c:pt idx="6">
                  <c:v>4.453698783785093</c:v>
                </c:pt>
                <c:pt idx="7">
                  <c:v>2.1999637127307552</c:v>
                </c:pt>
                <c:pt idx="8">
                  <c:v>-0.3191194500853668</c:v>
                </c:pt>
                <c:pt idx="9">
                  <c:v>-2.7997120975197074</c:v>
                </c:pt>
                <c:pt idx="10">
                  <c:v>-4.9426181466432464</c:v>
                </c:pt>
                <c:pt idx="11">
                  <c:v>-6.4893715020066605</c:v>
                </c:pt>
                <c:pt idx="12">
                  <c:v>-7.253410881304803</c:v>
                </c:pt>
                <c:pt idx="13">
                  <c:v>-7.1425818593740109</c:v>
                </c:pt>
                <c:pt idx="14">
                  <c:v>-6.170252051921298</c:v>
                </c:pt>
                <c:pt idx="15">
                  <c:v>-4.4536987837850939</c:v>
                </c:pt>
                <c:pt idx="16">
                  <c:v>-2.1999637127307619</c:v>
                </c:pt>
                <c:pt idx="17">
                  <c:v>0.31911945008536263</c:v>
                </c:pt>
                <c:pt idx="18">
                  <c:v>2.7997120975197065</c:v>
                </c:pt>
              </c:numCache>
            </c:numRef>
          </c:xVal>
          <c:yVal>
            <c:numRef>
              <c:f>Analysis2!$AK$3:$AK$21</c:f>
              <c:numCache>
                <c:formatCode>General</c:formatCode>
                <c:ptCount val="19"/>
                <c:pt idx="0">
                  <c:v>6.7591029165721137</c:v>
                </c:pt>
                <c:pt idx="1">
                  <c:v>5.3939212009710227</c:v>
                </c:pt>
                <c:pt idx="2">
                  <c:v>3.378152982734159</c:v>
                </c:pt>
                <c:pt idx="3">
                  <c:v>0.95492965855136269</c:v>
                </c:pt>
                <c:pt idx="4">
                  <c:v>-1.5834722757135073</c:v>
                </c:pt>
                <c:pt idx="5">
                  <c:v>-3.9308840839654731</c:v>
                </c:pt>
                <c:pt idx="6">
                  <c:v>-5.8041732580207483</c:v>
                </c:pt>
                <c:pt idx="7">
                  <c:v>-6.977393476684532</c:v>
                </c:pt>
                <c:pt idx="8">
                  <c:v>-7.3090370666996289</c:v>
                </c:pt>
                <c:pt idx="9">
                  <c:v>-6.7591029165721137</c:v>
                </c:pt>
                <c:pt idx="10">
                  <c:v>-5.3939212009710271</c:v>
                </c:pt>
                <c:pt idx="11">
                  <c:v>-3.3781529827341625</c:v>
                </c:pt>
                <c:pt idx="12">
                  <c:v>-0.95492965855137024</c:v>
                </c:pt>
                <c:pt idx="13">
                  <c:v>1.5834722757135034</c:v>
                </c:pt>
                <c:pt idx="14">
                  <c:v>3.9308840839654664</c:v>
                </c:pt>
                <c:pt idx="15">
                  <c:v>5.8041732580207483</c:v>
                </c:pt>
                <c:pt idx="16">
                  <c:v>6.9773934766845302</c:v>
                </c:pt>
                <c:pt idx="17">
                  <c:v>7.3090370666996289</c:v>
                </c:pt>
                <c:pt idx="18">
                  <c:v>6.7591029165721146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2DE-4F81-9EE2-87654087BC60}"/>
            </c:ext>
          </c:extLst>
        </c:ser>
        <c:ser>
          <c:idx val="4"/>
          <c:order val="4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Analysis2!$AL$3:$AL$21</c:f>
              <c:numCache>
                <c:formatCode>General</c:formatCode>
                <c:ptCount val="19"/>
                <c:pt idx="0">
                  <c:v>7.3160002778712316</c:v>
                </c:pt>
                <c:pt idx="1">
                  <c:v>6.8747914747832519</c:v>
                </c:pt>
                <c:pt idx="2">
                  <c:v>5.6043813587201559</c:v>
                </c:pt>
                <c:pt idx="3">
                  <c:v>3.6580001389356167</c:v>
                </c:pt>
                <c:pt idx="4">
                  <c:v>1.2704101160630958</c:v>
                </c:pt>
                <c:pt idx="5">
                  <c:v>-1.2704101160630952</c:v>
                </c:pt>
                <c:pt idx="6">
                  <c:v>-3.658000138935614</c:v>
                </c:pt>
                <c:pt idx="7">
                  <c:v>-5.604381358720155</c:v>
                </c:pt>
                <c:pt idx="8">
                  <c:v>-6.874791474783251</c:v>
                </c:pt>
                <c:pt idx="9">
                  <c:v>-7.3160002778712316</c:v>
                </c:pt>
                <c:pt idx="10">
                  <c:v>-6.8747914747832519</c:v>
                </c:pt>
                <c:pt idx="11">
                  <c:v>-5.6043813587201559</c:v>
                </c:pt>
                <c:pt idx="12">
                  <c:v>-3.6580001389356189</c:v>
                </c:pt>
                <c:pt idx="13">
                  <c:v>-1.2704101160630954</c:v>
                </c:pt>
                <c:pt idx="14">
                  <c:v>1.2704101160630927</c:v>
                </c:pt>
                <c:pt idx="15">
                  <c:v>3.6580001389356167</c:v>
                </c:pt>
                <c:pt idx="16">
                  <c:v>5.6043813587201541</c:v>
                </c:pt>
                <c:pt idx="17">
                  <c:v>6.8747914747832519</c:v>
                </c:pt>
                <c:pt idx="18">
                  <c:v>7.3160002778712316</c:v>
                </c:pt>
              </c:numCache>
            </c:numRef>
          </c:xVal>
          <c:yVal>
            <c:numRef>
              <c:f>Analysis2!$AM$3:$AM$21</c:f>
              <c:numCache>
                <c:formatCode>General</c:formatCode>
                <c:ptCount val="19"/>
                <c:pt idx="0">
                  <c:v>0</c:v>
                </c:pt>
                <c:pt idx="1">
                  <c:v>2.5022194636081507</c:v>
                </c:pt>
                <c:pt idx="2">
                  <c:v>4.7026343310789063</c:v>
                </c:pt>
                <c:pt idx="3">
                  <c:v>6.3358420947304985</c:v>
                </c:pt>
                <c:pt idx="4">
                  <c:v>7.2048537946870574</c:v>
                </c:pt>
                <c:pt idx="5">
                  <c:v>7.2048537946870574</c:v>
                </c:pt>
                <c:pt idx="6">
                  <c:v>6.3358420947304994</c:v>
                </c:pt>
                <c:pt idx="7">
                  <c:v>4.7026343310789072</c:v>
                </c:pt>
                <c:pt idx="8">
                  <c:v>2.5022194636081521</c:v>
                </c:pt>
                <c:pt idx="9">
                  <c:v>8.9631864365449733E-16</c:v>
                </c:pt>
                <c:pt idx="10">
                  <c:v>-2.5022194636081503</c:v>
                </c:pt>
                <c:pt idx="11">
                  <c:v>-4.7026343310789063</c:v>
                </c:pt>
                <c:pt idx="12">
                  <c:v>-6.3358420947304968</c:v>
                </c:pt>
                <c:pt idx="13">
                  <c:v>-7.2048537946870574</c:v>
                </c:pt>
                <c:pt idx="14">
                  <c:v>-7.2048537946870583</c:v>
                </c:pt>
                <c:pt idx="15">
                  <c:v>-6.3358420947304985</c:v>
                </c:pt>
                <c:pt idx="16">
                  <c:v>-4.702634331078908</c:v>
                </c:pt>
                <c:pt idx="17">
                  <c:v>-2.5022194636081498</c:v>
                </c:pt>
                <c:pt idx="18">
                  <c:v>-1.7926372873089947E-15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DE-4F81-9EE2-87654087BC60}"/>
            </c:ext>
          </c:extLst>
        </c:ser>
        <c:ser>
          <c:idx val="5"/>
          <c:order val="5"/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Analysis2!$AN$3:$AN$21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Analysis2!$AO$3:$AO$21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2DE-4F81-9EE2-87654087BC6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Analysis2!$AC$5:$AC$6</c:f>
              <c:numCache>
                <c:formatCode>General</c:formatCode>
                <c:ptCount val="2"/>
                <c:pt idx="0">
                  <c:v>7.3160002778712379</c:v>
                </c:pt>
                <c:pt idx="1">
                  <c:v>-7.3160002778712379</c:v>
                </c:pt>
              </c:numCache>
            </c:numRef>
          </c:xVal>
          <c:yVal>
            <c:numRef>
              <c:f>Analysis2!$AD$5:$AD$6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2DE-4F81-9EE2-87654087BC60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Analysis2!$AD$5:$AD$6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Analysis2!$AE$5:$AE$6</c:f>
              <c:numCache>
                <c:formatCode>General</c:formatCode>
                <c:ptCount val="2"/>
                <c:pt idx="0">
                  <c:v>7.3160002778712379</c:v>
                </c:pt>
                <c:pt idx="1">
                  <c:v>-7.3160002778712379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2DE-4F81-9EE2-87654087B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735608"/>
        <c:axId val="1"/>
      </c:scatterChart>
      <c:valAx>
        <c:axId val="422735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227356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hu-H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57150</xdr:rowOff>
    </xdr:from>
    <xdr:to>
      <xdr:col>18</xdr:col>
      <xdr:colOff>0</xdr:colOff>
      <xdr:row>33</xdr:row>
      <xdr:rowOff>142875</xdr:rowOff>
    </xdr:to>
    <xdr:graphicFrame macro="">
      <xdr:nvGraphicFramePr>
        <xdr:cNvPr id="61441" name="Diagram 1">
          <a:extLst>
            <a:ext uri="{FF2B5EF4-FFF2-40B4-BE49-F238E27FC236}">
              <a16:creationId xmlns:a16="http://schemas.microsoft.com/office/drawing/2014/main" id="{00000000-0008-0000-0000-000001F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133350</xdr:colOff>
      <xdr:row>10</xdr:row>
      <xdr:rowOff>66675</xdr:rowOff>
    </xdr:from>
    <xdr:to>
      <xdr:col>32</xdr:col>
      <xdr:colOff>161925</xdr:colOff>
      <xdr:row>33</xdr:row>
      <xdr:rowOff>133350</xdr:rowOff>
    </xdr:to>
    <xdr:graphicFrame macro="">
      <xdr:nvGraphicFramePr>
        <xdr:cNvPr id="61442" name="Diagram 2">
          <a:extLst>
            <a:ext uri="{FF2B5EF4-FFF2-40B4-BE49-F238E27FC236}">
              <a16:creationId xmlns:a16="http://schemas.microsoft.com/office/drawing/2014/main" id="{00000000-0008-0000-0000-000002F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sp macro="[0]!_xludf.layout" textlink="">
      <xdr:nvSpPr>
        <xdr:cNvPr id="1027" name="Text Box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 txBox="1">
          <a:spLocks noChangeArrowheads="1"/>
        </xdr:cNvSpPr>
      </xdr:nvSpPr>
      <xdr:spPr bwMode="auto">
        <a:xfrm>
          <a:off x="0" y="161925"/>
          <a:ext cx="333375" cy="161925"/>
        </a:xfrm>
        <a:prstGeom prst="rect">
          <a:avLst/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hu-H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Start</a:t>
          </a:r>
          <a:endParaRPr lang="hu-HU"/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sp macro="[0]!jobbra" textlink="">
      <xdr:nvSpPr>
        <xdr:cNvPr id="1069" name="Text Box 45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 txBox="1">
          <a:spLocks noChangeArrowheads="1"/>
        </xdr:cNvSpPr>
      </xdr:nvSpPr>
      <xdr:spPr bwMode="auto">
        <a:xfrm>
          <a:off x="4705350" y="0"/>
          <a:ext cx="266700" cy="161925"/>
        </a:xfrm>
        <a:prstGeom prst="rect">
          <a:avLst/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hu-H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hu-H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&gt;</a:t>
          </a:r>
          <a:endParaRPr lang="hu-HU"/>
        </a:p>
      </xdr:txBody>
    </xdr:sp>
    <xdr:clientData/>
  </xdr:twoCellAnchor>
  <xdr:twoCellAnchor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sp macro="[0]!balra" textlink="">
      <xdr:nvSpPr>
        <xdr:cNvPr id="1071" name="Text Box 47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 txBox="1">
          <a:spLocks noChangeArrowheads="1"/>
        </xdr:cNvSpPr>
      </xdr:nvSpPr>
      <xdr:spPr bwMode="auto">
        <a:xfrm>
          <a:off x="4438650" y="0"/>
          <a:ext cx="266700" cy="161925"/>
        </a:xfrm>
        <a:prstGeom prst="rect">
          <a:avLst/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hu-H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hu-H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&lt;</a:t>
          </a:r>
          <a:endParaRPr lang="hu-HU"/>
        </a:p>
      </xdr:txBody>
    </xdr:sp>
    <xdr:clientData/>
  </xdr:twoCellAnchor>
  <xdr:twoCellAnchor>
    <xdr:from>
      <xdr:col>4</xdr:col>
      <xdr:colOff>19050</xdr:colOff>
      <xdr:row>10</xdr:row>
      <xdr:rowOff>95250</xdr:rowOff>
    </xdr:from>
    <xdr:to>
      <xdr:col>17</xdr:col>
      <xdr:colOff>228600</xdr:colOff>
      <xdr:row>33</xdr:row>
      <xdr:rowOff>104775</xdr:rowOff>
    </xdr:to>
    <xdr:grpSp>
      <xdr:nvGrpSpPr>
        <xdr:cNvPr id="61446" name="Group 64">
          <a:extLst>
            <a:ext uri="{FF2B5EF4-FFF2-40B4-BE49-F238E27FC236}">
              <a16:creationId xmlns:a16="http://schemas.microsoft.com/office/drawing/2014/main" id="{00000000-0008-0000-0000-000006F00000}"/>
            </a:ext>
          </a:extLst>
        </xdr:cNvPr>
        <xdr:cNvGrpSpPr>
          <a:grpSpLocks/>
        </xdr:cNvGrpSpPr>
      </xdr:nvGrpSpPr>
      <xdr:grpSpPr bwMode="auto">
        <a:xfrm>
          <a:off x="1714500" y="1724025"/>
          <a:ext cx="3752850" cy="3733800"/>
          <a:chOff x="152" y="180"/>
          <a:chExt cx="394" cy="392"/>
        </a:xfrm>
      </xdr:grpSpPr>
      <xdr:sp macro="" textlink="">
        <xdr:nvSpPr>
          <xdr:cNvPr id="1084" name="Text Box 60">
            <a:extLst>
              <a:ext uri="{FF2B5EF4-FFF2-40B4-BE49-F238E27FC236}">
                <a16:creationId xmlns:a16="http://schemas.microsoft.com/office/drawing/2014/main" id="{00000000-0008-0000-0000-00003C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48" y="180"/>
            <a:ext cx="16" cy="15"/>
          </a:xfrm>
          <a:prstGeom prst="rect">
            <a:avLst/>
          </a:prstGeom>
          <a:solidFill>
            <a:srgbClr val="FFFFFF"/>
          </a:solidFill>
          <a:ln>
            <a:noFill/>
          </a:ln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hu-HU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0°</a:t>
            </a:r>
            <a:endParaRPr lang="hu-HU"/>
          </a:p>
        </xdr:txBody>
      </xdr:sp>
      <xdr:sp macro="" textlink="">
        <xdr:nvSpPr>
          <xdr:cNvPr id="1085" name="Text Box 61">
            <a:extLst>
              <a:ext uri="{FF2B5EF4-FFF2-40B4-BE49-F238E27FC236}">
                <a16:creationId xmlns:a16="http://schemas.microsoft.com/office/drawing/2014/main" id="{00000000-0008-0000-0000-00003D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27" y="369"/>
            <a:ext cx="19" cy="15"/>
          </a:xfrm>
          <a:prstGeom prst="rect">
            <a:avLst/>
          </a:prstGeom>
          <a:solidFill>
            <a:srgbClr val="FFFFFF"/>
          </a:solidFill>
          <a:ln>
            <a:noFill/>
          </a:ln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hu-HU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90°</a:t>
            </a:r>
            <a:endParaRPr lang="hu-HU"/>
          </a:p>
        </xdr:txBody>
      </xdr:sp>
      <xdr:sp macro="" textlink="">
        <xdr:nvSpPr>
          <xdr:cNvPr id="1086" name="Text Box 62">
            <a:extLst>
              <a:ext uri="{FF2B5EF4-FFF2-40B4-BE49-F238E27FC236}">
                <a16:creationId xmlns:a16="http://schemas.microsoft.com/office/drawing/2014/main" id="{00000000-0008-0000-0000-00003E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9" y="558"/>
            <a:ext cx="26" cy="14"/>
          </a:xfrm>
          <a:prstGeom prst="rect">
            <a:avLst/>
          </a:prstGeom>
          <a:solidFill>
            <a:srgbClr val="FFFFFF"/>
          </a:solidFill>
          <a:ln>
            <a:noFill/>
          </a:ln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hu-HU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180°</a:t>
            </a:r>
            <a:endParaRPr lang="hu-HU"/>
          </a:p>
        </xdr:txBody>
      </xdr:sp>
      <xdr:sp macro="" textlink="">
        <xdr:nvSpPr>
          <xdr:cNvPr id="1087" name="Text Box 63">
            <a:extLst>
              <a:ext uri="{FF2B5EF4-FFF2-40B4-BE49-F238E27FC236}">
                <a16:creationId xmlns:a16="http://schemas.microsoft.com/office/drawing/2014/main" id="{00000000-0008-0000-0000-00003F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2" y="366"/>
            <a:ext cx="26" cy="14"/>
          </a:xfrm>
          <a:prstGeom prst="rect">
            <a:avLst/>
          </a:prstGeom>
          <a:solidFill>
            <a:srgbClr val="FFFFFF"/>
          </a:solidFill>
          <a:ln>
            <a:noFill/>
          </a:ln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hu-HU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270°</a:t>
            </a:r>
            <a:endParaRPr lang="hu-HU"/>
          </a:p>
        </xdr:txBody>
      </xdr:sp>
    </xdr:grpSp>
    <xdr:clientData/>
  </xdr:twoCellAnchor>
  <xdr:twoCellAnchor>
    <xdr:from>
      <xdr:col>4</xdr:col>
      <xdr:colOff>0</xdr:colOff>
      <xdr:row>37</xdr:row>
      <xdr:rowOff>28575</xdr:rowOff>
    </xdr:from>
    <xdr:to>
      <xdr:col>32</xdr:col>
      <xdr:colOff>161925</xdr:colOff>
      <xdr:row>57</xdr:row>
      <xdr:rowOff>38100</xdr:rowOff>
    </xdr:to>
    <xdr:graphicFrame macro="">
      <xdr:nvGraphicFramePr>
        <xdr:cNvPr id="61451" name="Diagram 69">
          <a:extLst>
            <a:ext uri="{FF2B5EF4-FFF2-40B4-BE49-F238E27FC236}">
              <a16:creationId xmlns:a16="http://schemas.microsoft.com/office/drawing/2014/main" id="{00000000-0008-0000-0000-00000BF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257175</xdr:colOff>
      <xdr:row>5</xdr:row>
      <xdr:rowOff>76200</xdr:rowOff>
    </xdr:from>
    <xdr:to>
      <xdr:col>36</xdr:col>
      <xdr:colOff>247650</xdr:colOff>
      <xdr:row>5</xdr:row>
      <xdr:rowOff>76200</xdr:rowOff>
    </xdr:to>
    <xdr:sp macro="" textlink="">
      <xdr:nvSpPr>
        <xdr:cNvPr id="61452" name="Line 143">
          <a:extLst>
            <a:ext uri="{FF2B5EF4-FFF2-40B4-BE49-F238E27FC236}">
              <a16:creationId xmlns:a16="http://schemas.microsoft.com/office/drawing/2014/main" id="{00000000-0008-0000-0000-00000CF00000}"/>
            </a:ext>
          </a:extLst>
        </xdr:cNvPr>
        <xdr:cNvSpPr>
          <a:spLocks noChangeShapeType="1"/>
        </xdr:cNvSpPr>
      </xdr:nvSpPr>
      <xdr:spPr bwMode="auto">
        <a:xfrm>
          <a:off x="10296525" y="885825"/>
          <a:ext cx="257175" cy="0"/>
        </a:xfrm>
        <a:prstGeom prst="line">
          <a:avLst/>
        </a:prstGeom>
        <a:noFill/>
        <a:ln w="19050">
          <a:solidFill>
            <a:srgbClr val="FFFFFF"/>
          </a:solidFill>
          <a:prstDash val="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8</xdr:row>
      <xdr:rowOff>76200</xdr:rowOff>
    </xdr:from>
    <xdr:to>
      <xdr:col>72</xdr:col>
      <xdr:colOff>28575</xdr:colOff>
      <xdr:row>8</xdr:row>
      <xdr:rowOff>76200</xdr:rowOff>
    </xdr:to>
    <xdr:sp macro="" textlink="">
      <xdr:nvSpPr>
        <xdr:cNvPr id="61453" name="Line 253">
          <a:extLst>
            <a:ext uri="{FF2B5EF4-FFF2-40B4-BE49-F238E27FC236}">
              <a16:creationId xmlns:a16="http://schemas.microsoft.com/office/drawing/2014/main" id="{00000000-0008-0000-0000-00000DF00000}"/>
            </a:ext>
          </a:extLst>
        </xdr:cNvPr>
        <xdr:cNvSpPr>
          <a:spLocks noChangeShapeType="1"/>
        </xdr:cNvSpPr>
      </xdr:nvSpPr>
      <xdr:spPr bwMode="auto">
        <a:xfrm>
          <a:off x="25850850" y="1381125"/>
          <a:ext cx="600075" cy="0"/>
        </a:xfrm>
        <a:prstGeom prst="line">
          <a:avLst/>
        </a:prstGeom>
        <a:noFill/>
        <a:ln w="19050">
          <a:solidFill>
            <a:srgbClr val="FFFFFF"/>
          </a:solidFill>
          <a:prstDash val="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9</xdr:row>
      <xdr:rowOff>76200</xdr:rowOff>
    </xdr:from>
    <xdr:to>
      <xdr:col>72</xdr:col>
      <xdr:colOff>28575</xdr:colOff>
      <xdr:row>9</xdr:row>
      <xdr:rowOff>76200</xdr:rowOff>
    </xdr:to>
    <xdr:sp macro="" textlink="">
      <xdr:nvSpPr>
        <xdr:cNvPr id="61454" name="Line 254">
          <a:extLst>
            <a:ext uri="{FF2B5EF4-FFF2-40B4-BE49-F238E27FC236}">
              <a16:creationId xmlns:a16="http://schemas.microsoft.com/office/drawing/2014/main" id="{00000000-0008-0000-0000-00000EF00000}"/>
            </a:ext>
          </a:extLst>
        </xdr:cNvPr>
        <xdr:cNvSpPr>
          <a:spLocks noChangeShapeType="1"/>
        </xdr:cNvSpPr>
      </xdr:nvSpPr>
      <xdr:spPr bwMode="auto">
        <a:xfrm>
          <a:off x="25850850" y="1543050"/>
          <a:ext cx="600075" cy="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10</xdr:row>
      <xdr:rowOff>76200</xdr:rowOff>
    </xdr:from>
    <xdr:to>
      <xdr:col>72</xdr:col>
      <xdr:colOff>28575</xdr:colOff>
      <xdr:row>10</xdr:row>
      <xdr:rowOff>76200</xdr:rowOff>
    </xdr:to>
    <xdr:sp macro="" textlink="">
      <xdr:nvSpPr>
        <xdr:cNvPr id="61455" name="Line 255">
          <a:extLst>
            <a:ext uri="{FF2B5EF4-FFF2-40B4-BE49-F238E27FC236}">
              <a16:creationId xmlns:a16="http://schemas.microsoft.com/office/drawing/2014/main" id="{00000000-0008-0000-0000-00000FF00000}"/>
            </a:ext>
          </a:extLst>
        </xdr:cNvPr>
        <xdr:cNvSpPr>
          <a:spLocks noChangeShapeType="1"/>
        </xdr:cNvSpPr>
      </xdr:nvSpPr>
      <xdr:spPr bwMode="auto">
        <a:xfrm>
          <a:off x="25850850" y="1704975"/>
          <a:ext cx="600075" cy="0"/>
        </a:xfrm>
        <a:prstGeom prst="line">
          <a:avLst/>
        </a:prstGeom>
        <a:noFill/>
        <a:ln w="19050">
          <a:solidFill>
            <a:srgbClr val="00FF00"/>
          </a:solidFill>
          <a:prstDash val="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11</xdr:row>
      <xdr:rowOff>76200</xdr:rowOff>
    </xdr:from>
    <xdr:to>
      <xdr:col>72</xdr:col>
      <xdr:colOff>28575</xdr:colOff>
      <xdr:row>11</xdr:row>
      <xdr:rowOff>76200</xdr:rowOff>
    </xdr:to>
    <xdr:sp macro="" textlink="">
      <xdr:nvSpPr>
        <xdr:cNvPr id="61456" name="Line 256">
          <a:extLst>
            <a:ext uri="{FF2B5EF4-FFF2-40B4-BE49-F238E27FC236}">
              <a16:creationId xmlns:a16="http://schemas.microsoft.com/office/drawing/2014/main" id="{00000000-0008-0000-0000-000010F00000}"/>
            </a:ext>
          </a:extLst>
        </xdr:cNvPr>
        <xdr:cNvSpPr>
          <a:spLocks noChangeShapeType="1"/>
        </xdr:cNvSpPr>
      </xdr:nvSpPr>
      <xdr:spPr bwMode="auto">
        <a:xfrm>
          <a:off x="25850850" y="1866900"/>
          <a:ext cx="600075" cy="0"/>
        </a:xfrm>
        <a:prstGeom prst="line">
          <a:avLst/>
        </a:prstGeom>
        <a:noFill/>
        <a:ln w="19050">
          <a:solidFill>
            <a:srgbClr val="0000FF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12</xdr:row>
      <xdr:rowOff>76200</xdr:rowOff>
    </xdr:from>
    <xdr:to>
      <xdr:col>72</xdr:col>
      <xdr:colOff>28575</xdr:colOff>
      <xdr:row>12</xdr:row>
      <xdr:rowOff>76200</xdr:rowOff>
    </xdr:to>
    <xdr:sp macro="" textlink="">
      <xdr:nvSpPr>
        <xdr:cNvPr id="61457" name="Line 257">
          <a:extLst>
            <a:ext uri="{FF2B5EF4-FFF2-40B4-BE49-F238E27FC236}">
              <a16:creationId xmlns:a16="http://schemas.microsoft.com/office/drawing/2014/main" id="{00000000-0008-0000-0000-000011F00000}"/>
            </a:ext>
          </a:extLst>
        </xdr:cNvPr>
        <xdr:cNvSpPr>
          <a:spLocks noChangeShapeType="1"/>
        </xdr:cNvSpPr>
      </xdr:nvSpPr>
      <xdr:spPr bwMode="auto">
        <a:xfrm>
          <a:off x="25850850" y="2028825"/>
          <a:ext cx="600075" cy="0"/>
        </a:xfrm>
        <a:prstGeom prst="line">
          <a:avLst/>
        </a:prstGeom>
        <a:noFill/>
        <a:ln w="19050">
          <a:solidFill>
            <a:srgbClr val="FFFF00"/>
          </a:solidFill>
          <a:prstDash val="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13</xdr:row>
      <xdr:rowOff>76200</xdr:rowOff>
    </xdr:from>
    <xdr:to>
      <xdr:col>72</xdr:col>
      <xdr:colOff>28575</xdr:colOff>
      <xdr:row>13</xdr:row>
      <xdr:rowOff>76200</xdr:rowOff>
    </xdr:to>
    <xdr:sp macro="" textlink="">
      <xdr:nvSpPr>
        <xdr:cNvPr id="61458" name="Line 258">
          <a:extLst>
            <a:ext uri="{FF2B5EF4-FFF2-40B4-BE49-F238E27FC236}">
              <a16:creationId xmlns:a16="http://schemas.microsoft.com/office/drawing/2014/main" id="{00000000-0008-0000-0000-000012F00000}"/>
            </a:ext>
          </a:extLst>
        </xdr:cNvPr>
        <xdr:cNvSpPr>
          <a:spLocks noChangeShapeType="1"/>
        </xdr:cNvSpPr>
      </xdr:nvSpPr>
      <xdr:spPr bwMode="auto">
        <a:xfrm>
          <a:off x="25850850" y="2190750"/>
          <a:ext cx="600075" cy="0"/>
        </a:xfrm>
        <a:prstGeom prst="line">
          <a:avLst/>
        </a:prstGeom>
        <a:noFill/>
        <a:ln w="19050">
          <a:solidFill>
            <a:srgbClr val="FF00FF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14</xdr:row>
      <xdr:rowOff>76200</xdr:rowOff>
    </xdr:from>
    <xdr:to>
      <xdr:col>72</xdr:col>
      <xdr:colOff>28575</xdr:colOff>
      <xdr:row>14</xdr:row>
      <xdr:rowOff>76200</xdr:rowOff>
    </xdr:to>
    <xdr:sp macro="" textlink="">
      <xdr:nvSpPr>
        <xdr:cNvPr id="61459" name="Line 259">
          <a:extLst>
            <a:ext uri="{FF2B5EF4-FFF2-40B4-BE49-F238E27FC236}">
              <a16:creationId xmlns:a16="http://schemas.microsoft.com/office/drawing/2014/main" id="{00000000-0008-0000-0000-000013F00000}"/>
            </a:ext>
          </a:extLst>
        </xdr:cNvPr>
        <xdr:cNvSpPr>
          <a:spLocks noChangeShapeType="1"/>
        </xdr:cNvSpPr>
      </xdr:nvSpPr>
      <xdr:spPr bwMode="auto">
        <a:xfrm>
          <a:off x="25850850" y="2352675"/>
          <a:ext cx="600075" cy="0"/>
        </a:xfrm>
        <a:prstGeom prst="line">
          <a:avLst/>
        </a:prstGeom>
        <a:noFill/>
        <a:ln w="19050">
          <a:solidFill>
            <a:srgbClr val="00FFFF"/>
          </a:solidFill>
          <a:prstDash val="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15</xdr:row>
      <xdr:rowOff>76200</xdr:rowOff>
    </xdr:from>
    <xdr:to>
      <xdr:col>72</xdr:col>
      <xdr:colOff>28575</xdr:colOff>
      <xdr:row>15</xdr:row>
      <xdr:rowOff>76200</xdr:rowOff>
    </xdr:to>
    <xdr:sp macro="" textlink="">
      <xdr:nvSpPr>
        <xdr:cNvPr id="61460" name="Line 260">
          <a:extLst>
            <a:ext uri="{FF2B5EF4-FFF2-40B4-BE49-F238E27FC236}">
              <a16:creationId xmlns:a16="http://schemas.microsoft.com/office/drawing/2014/main" id="{00000000-0008-0000-0000-000014F00000}"/>
            </a:ext>
          </a:extLst>
        </xdr:cNvPr>
        <xdr:cNvSpPr>
          <a:spLocks noChangeShapeType="1"/>
        </xdr:cNvSpPr>
      </xdr:nvSpPr>
      <xdr:spPr bwMode="auto">
        <a:xfrm>
          <a:off x="25850850" y="2514600"/>
          <a:ext cx="6000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16</xdr:row>
      <xdr:rowOff>76200</xdr:rowOff>
    </xdr:from>
    <xdr:to>
      <xdr:col>72</xdr:col>
      <xdr:colOff>28575</xdr:colOff>
      <xdr:row>16</xdr:row>
      <xdr:rowOff>76200</xdr:rowOff>
    </xdr:to>
    <xdr:sp macro="" textlink="">
      <xdr:nvSpPr>
        <xdr:cNvPr id="61461" name="Line 261">
          <a:extLst>
            <a:ext uri="{FF2B5EF4-FFF2-40B4-BE49-F238E27FC236}">
              <a16:creationId xmlns:a16="http://schemas.microsoft.com/office/drawing/2014/main" id="{00000000-0008-0000-0000-000015F00000}"/>
            </a:ext>
          </a:extLst>
        </xdr:cNvPr>
        <xdr:cNvSpPr>
          <a:spLocks noChangeShapeType="1"/>
        </xdr:cNvSpPr>
      </xdr:nvSpPr>
      <xdr:spPr bwMode="auto">
        <a:xfrm>
          <a:off x="25850850" y="2676525"/>
          <a:ext cx="600075" cy="0"/>
        </a:xfrm>
        <a:prstGeom prst="line">
          <a:avLst/>
        </a:prstGeom>
        <a:noFill/>
        <a:ln w="19050">
          <a:solidFill>
            <a:srgbClr val="FFFFFF"/>
          </a:solidFill>
          <a:prstDash val="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17</xdr:row>
      <xdr:rowOff>76200</xdr:rowOff>
    </xdr:from>
    <xdr:to>
      <xdr:col>72</xdr:col>
      <xdr:colOff>28575</xdr:colOff>
      <xdr:row>17</xdr:row>
      <xdr:rowOff>76200</xdr:rowOff>
    </xdr:to>
    <xdr:sp macro="" textlink="">
      <xdr:nvSpPr>
        <xdr:cNvPr id="61462" name="Line 262">
          <a:extLst>
            <a:ext uri="{FF2B5EF4-FFF2-40B4-BE49-F238E27FC236}">
              <a16:creationId xmlns:a16="http://schemas.microsoft.com/office/drawing/2014/main" id="{00000000-0008-0000-0000-000016F00000}"/>
            </a:ext>
          </a:extLst>
        </xdr:cNvPr>
        <xdr:cNvSpPr>
          <a:spLocks noChangeShapeType="1"/>
        </xdr:cNvSpPr>
      </xdr:nvSpPr>
      <xdr:spPr bwMode="auto">
        <a:xfrm>
          <a:off x="25850850" y="2838450"/>
          <a:ext cx="600075" cy="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18</xdr:row>
      <xdr:rowOff>76200</xdr:rowOff>
    </xdr:from>
    <xdr:to>
      <xdr:col>72</xdr:col>
      <xdr:colOff>28575</xdr:colOff>
      <xdr:row>18</xdr:row>
      <xdr:rowOff>76200</xdr:rowOff>
    </xdr:to>
    <xdr:sp macro="" textlink="">
      <xdr:nvSpPr>
        <xdr:cNvPr id="61463" name="Line 263">
          <a:extLst>
            <a:ext uri="{FF2B5EF4-FFF2-40B4-BE49-F238E27FC236}">
              <a16:creationId xmlns:a16="http://schemas.microsoft.com/office/drawing/2014/main" id="{00000000-0008-0000-0000-000017F00000}"/>
            </a:ext>
          </a:extLst>
        </xdr:cNvPr>
        <xdr:cNvSpPr>
          <a:spLocks noChangeShapeType="1"/>
        </xdr:cNvSpPr>
      </xdr:nvSpPr>
      <xdr:spPr bwMode="auto">
        <a:xfrm>
          <a:off x="25850850" y="3000375"/>
          <a:ext cx="600075" cy="0"/>
        </a:xfrm>
        <a:prstGeom prst="line">
          <a:avLst/>
        </a:prstGeom>
        <a:noFill/>
        <a:ln w="19050">
          <a:solidFill>
            <a:srgbClr val="00FF00"/>
          </a:solidFill>
          <a:prstDash val="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19</xdr:row>
      <xdr:rowOff>76200</xdr:rowOff>
    </xdr:from>
    <xdr:to>
      <xdr:col>72</xdr:col>
      <xdr:colOff>28575</xdr:colOff>
      <xdr:row>19</xdr:row>
      <xdr:rowOff>76200</xdr:rowOff>
    </xdr:to>
    <xdr:sp macro="" textlink="">
      <xdr:nvSpPr>
        <xdr:cNvPr id="61464" name="Line 264">
          <a:extLst>
            <a:ext uri="{FF2B5EF4-FFF2-40B4-BE49-F238E27FC236}">
              <a16:creationId xmlns:a16="http://schemas.microsoft.com/office/drawing/2014/main" id="{00000000-0008-0000-0000-000018F00000}"/>
            </a:ext>
          </a:extLst>
        </xdr:cNvPr>
        <xdr:cNvSpPr>
          <a:spLocks noChangeShapeType="1"/>
        </xdr:cNvSpPr>
      </xdr:nvSpPr>
      <xdr:spPr bwMode="auto">
        <a:xfrm>
          <a:off x="25850850" y="3162300"/>
          <a:ext cx="600075" cy="0"/>
        </a:xfrm>
        <a:prstGeom prst="line">
          <a:avLst/>
        </a:prstGeom>
        <a:noFill/>
        <a:ln w="19050">
          <a:solidFill>
            <a:srgbClr val="0000FF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20</xdr:row>
      <xdr:rowOff>76200</xdr:rowOff>
    </xdr:from>
    <xdr:to>
      <xdr:col>72</xdr:col>
      <xdr:colOff>28575</xdr:colOff>
      <xdr:row>20</xdr:row>
      <xdr:rowOff>76200</xdr:rowOff>
    </xdr:to>
    <xdr:sp macro="" textlink="">
      <xdr:nvSpPr>
        <xdr:cNvPr id="61465" name="Line 265">
          <a:extLst>
            <a:ext uri="{FF2B5EF4-FFF2-40B4-BE49-F238E27FC236}">
              <a16:creationId xmlns:a16="http://schemas.microsoft.com/office/drawing/2014/main" id="{00000000-0008-0000-0000-000019F00000}"/>
            </a:ext>
          </a:extLst>
        </xdr:cNvPr>
        <xdr:cNvSpPr>
          <a:spLocks noChangeShapeType="1"/>
        </xdr:cNvSpPr>
      </xdr:nvSpPr>
      <xdr:spPr bwMode="auto">
        <a:xfrm>
          <a:off x="25850850" y="3324225"/>
          <a:ext cx="600075" cy="0"/>
        </a:xfrm>
        <a:prstGeom prst="line">
          <a:avLst/>
        </a:prstGeom>
        <a:noFill/>
        <a:ln w="19050">
          <a:solidFill>
            <a:srgbClr val="FFFF00"/>
          </a:solidFill>
          <a:prstDash val="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21</xdr:row>
      <xdr:rowOff>85725</xdr:rowOff>
    </xdr:from>
    <xdr:to>
      <xdr:col>72</xdr:col>
      <xdr:colOff>28575</xdr:colOff>
      <xdr:row>21</xdr:row>
      <xdr:rowOff>85725</xdr:rowOff>
    </xdr:to>
    <xdr:sp macro="" textlink="">
      <xdr:nvSpPr>
        <xdr:cNvPr id="61466" name="Line 266">
          <a:extLst>
            <a:ext uri="{FF2B5EF4-FFF2-40B4-BE49-F238E27FC236}">
              <a16:creationId xmlns:a16="http://schemas.microsoft.com/office/drawing/2014/main" id="{00000000-0008-0000-0000-00001AF00000}"/>
            </a:ext>
          </a:extLst>
        </xdr:cNvPr>
        <xdr:cNvSpPr>
          <a:spLocks noChangeShapeType="1"/>
        </xdr:cNvSpPr>
      </xdr:nvSpPr>
      <xdr:spPr bwMode="auto">
        <a:xfrm>
          <a:off x="25850850" y="3495675"/>
          <a:ext cx="600075" cy="0"/>
        </a:xfrm>
        <a:prstGeom prst="line">
          <a:avLst/>
        </a:prstGeom>
        <a:noFill/>
        <a:ln w="19050">
          <a:solidFill>
            <a:srgbClr val="FF00FF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22</xdr:row>
      <xdr:rowOff>85725</xdr:rowOff>
    </xdr:from>
    <xdr:to>
      <xdr:col>72</xdr:col>
      <xdr:colOff>28575</xdr:colOff>
      <xdr:row>22</xdr:row>
      <xdr:rowOff>85725</xdr:rowOff>
    </xdr:to>
    <xdr:sp macro="" textlink="">
      <xdr:nvSpPr>
        <xdr:cNvPr id="61467" name="Line 267">
          <a:extLst>
            <a:ext uri="{FF2B5EF4-FFF2-40B4-BE49-F238E27FC236}">
              <a16:creationId xmlns:a16="http://schemas.microsoft.com/office/drawing/2014/main" id="{00000000-0008-0000-0000-00001BF00000}"/>
            </a:ext>
          </a:extLst>
        </xdr:cNvPr>
        <xdr:cNvSpPr>
          <a:spLocks noChangeShapeType="1"/>
        </xdr:cNvSpPr>
      </xdr:nvSpPr>
      <xdr:spPr bwMode="auto">
        <a:xfrm>
          <a:off x="25850850" y="3657600"/>
          <a:ext cx="600075" cy="0"/>
        </a:xfrm>
        <a:prstGeom prst="line">
          <a:avLst/>
        </a:prstGeom>
        <a:noFill/>
        <a:ln w="19050">
          <a:solidFill>
            <a:srgbClr val="00FFFF"/>
          </a:solidFill>
          <a:prstDash val="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23</xdr:row>
      <xdr:rowOff>85725</xdr:rowOff>
    </xdr:from>
    <xdr:to>
      <xdr:col>72</xdr:col>
      <xdr:colOff>28575</xdr:colOff>
      <xdr:row>23</xdr:row>
      <xdr:rowOff>85725</xdr:rowOff>
    </xdr:to>
    <xdr:sp macro="" textlink="">
      <xdr:nvSpPr>
        <xdr:cNvPr id="61468" name="Line 268">
          <a:extLst>
            <a:ext uri="{FF2B5EF4-FFF2-40B4-BE49-F238E27FC236}">
              <a16:creationId xmlns:a16="http://schemas.microsoft.com/office/drawing/2014/main" id="{00000000-0008-0000-0000-00001CF00000}"/>
            </a:ext>
          </a:extLst>
        </xdr:cNvPr>
        <xdr:cNvSpPr>
          <a:spLocks noChangeShapeType="1"/>
        </xdr:cNvSpPr>
      </xdr:nvSpPr>
      <xdr:spPr bwMode="auto">
        <a:xfrm>
          <a:off x="25850850" y="3819525"/>
          <a:ext cx="600075" cy="0"/>
        </a:xfrm>
        <a:prstGeom prst="line">
          <a:avLst/>
        </a:prstGeom>
        <a:noFill/>
        <a:ln w="19050">
          <a:solidFill>
            <a:srgbClr val="8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24</xdr:row>
      <xdr:rowOff>85725</xdr:rowOff>
    </xdr:from>
    <xdr:to>
      <xdr:col>72</xdr:col>
      <xdr:colOff>28575</xdr:colOff>
      <xdr:row>24</xdr:row>
      <xdr:rowOff>85725</xdr:rowOff>
    </xdr:to>
    <xdr:sp macro="" textlink="">
      <xdr:nvSpPr>
        <xdr:cNvPr id="61469" name="Line 269">
          <a:extLst>
            <a:ext uri="{FF2B5EF4-FFF2-40B4-BE49-F238E27FC236}">
              <a16:creationId xmlns:a16="http://schemas.microsoft.com/office/drawing/2014/main" id="{00000000-0008-0000-0000-00001DF00000}"/>
            </a:ext>
          </a:extLst>
        </xdr:cNvPr>
        <xdr:cNvSpPr>
          <a:spLocks noChangeShapeType="1"/>
        </xdr:cNvSpPr>
      </xdr:nvSpPr>
      <xdr:spPr bwMode="auto">
        <a:xfrm>
          <a:off x="25850850" y="3981450"/>
          <a:ext cx="600075" cy="0"/>
        </a:xfrm>
        <a:prstGeom prst="line">
          <a:avLst/>
        </a:prstGeom>
        <a:noFill/>
        <a:ln w="19050">
          <a:solidFill>
            <a:srgbClr val="008000"/>
          </a:solidFill>
          <a:prstDash val="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25</xdr:row>
      <xdr:rowOff>85725</xdr:rowOff>
    </xdr:from>
    <xdr:to>
      <xdr:col>72</xdr:col>
      <xdr:colOff>28575</xdr:colOff>
      <xdr:row>25</xdr:row>
      <xdr:rowOff>85725</xdr:rowOff>
    </xdr:to>
    <xdr:sp macro="" textlink="">
      <xdr:nvSpPr>
        <xdr:cNvPr id="61470" name="Line 270">
          <a:extLst>
            <a:ext uri="{FF2B5EF4-FFF2-40B4-BE49-F238E27FC236}">
              <a16:creationId xmlns:a16="http://schemas.microsoft.com/office/drawing/2014/main" id="{00000000-0008-0000-0000-00001EF00000}"/>
            </a:ext>
          </a:extLst>
        </xdr:cNvPr>
        <xdr:cNvSpPr>
          <a:spLocks noChangeShapeType="1"/>
        </xdr:cNvSpPr>
      </xdr:nvSpPr>
      <xdr:spPr bwMode="auto">
        <a:xfrm>
          <a:off x="25850850" y="4143375"/>
          <a:ext cx="600075" cy="0"/>
        </a:xfrm>
        <a:prstGeom prst="line">
          <a:avLst/>
        </a:prstGeom>
        <a:noFill/>
        <a:ln w="19050">
          <a:solidFill>
            <a:srgbClr val="00008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26</xdr:row>
      <xdr:rowOff>85725</xdr:rowOff>
    </xdr:from>
    <xdr:to>
      <xdr:col>72</xdr:col>
      <xdr:colOff>28575</xdr:colOff>
      <xdr:row>26</xdr:row>
      <xdr:rowOff>85725</xdr:rowOff>
    </xdr:to>
    <xdr:sp macro="" textlink="">
      <xdr:nvSpPr>
        <xdr:cNvPr id="61471" name="Line 271">
          <a:extLst>
            <a:ext uri="{FF2B5EF4-FFF2-40B4-BE49-F238E27FC236}">
              <a16:creationId xmlns:a16="http://schemas.microsoft.com/office/drawing/2014/main" id="{00000000-0008-0000-0000-00001FF00000}"/>
            </a:ext>
          </a:extLst>
        </xdr:cNvPr>
        <xdr:cNvSpPr>
          <a:spLocks noChangeShapeType="1"/>
        </xdr:cNvSpPr>
      </xdr:nvSpPr>
      <xdr:spPr bwMode="auto">
        <a:xfrm>
          <a:off x="25850850" y="4305300"/>
          <a:ext cx="600075" cy="0"/>
        </a:xfrm>
        <a:prstGeom prst="line">
          <a:avLst/>
        </a:prstGeom>
        <a:noFill/>
        <a:ln w="19050">
          <a:solidFill>
            <a:srgbClr val="808000"/>
          </a:solidFill>
          <a:prstDash val="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38100</xdr:colOff>
      <xdr:row>27</xdr:row>
      <xdr:rowOff>85725</xdr:rowOff>
    </xdr:from>
    <xdr:to>
      <xdr:col>72</xdr:col>
      <xdr:colOff>28575</xdr:colOff>
      <xdr:row>27</xdr:row>
      <xdr:rowOff>85725</xdr:rowOff>
    </xdr:to>
    <xdr:sp macro="" textlink="">
      <xdr:nvSpPr>
        <xdr:cNvPr id="61472" name="Line 272">
          <a:extLst>
            <a:ext uri="{FF2B5EF4-FFF2-40B4-BE49-F238E27FC236}">
              <a16:creationId xmlns:a16="http://schemas.microsoft.com/office/drawing/2014/main" id="{00000000-0008-0000-0000-000020F00000}"/>
            </a:ext>
          </a:extLst>
        </xdr:cNvPr>
        <xdr:cNvSpPr>
          <a:spLocks noChangeShapeType="1"/>
        </xdr:cNvSpPr>
      </xdr:nvSpPr>
      <xdr:spPr bwMode="auto">
        <a:xfrm>
          <a:off x="25850850" y="4467225"/>
          <a:ext cx="600075" cy="0"/>
        </a:xfrm>
        <a:prstGeom prst="line">
          <a:avLst/>
        </a:prstGeom>
        <a:noFill/>
        <a:ln w="19050">
          <a:solidFill>
            <a:srgbClr val="80008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0</xdr:row>
      <xdr:rowOff>0</xdr:rowOff>
    </xdr:from>
    <xdr:to>
      <xdr:col>34</xdr:col>
      <xdr:colOff>0</xdr:colOff>
      <xdr:row>1</xdr:row>
      <xdr:rowOff>0</xdr:rowOff>
    </xdr:to>
    <xdr:sp macro="[0]!teksemaind" textlink="">
      <xdr:nvSpPr>
        <xdr:cNvPr id="1309631" name="Text Box 3">
          <a:extLst>
            <a:ext uri="{FF2B5EF4-FFF2-40B4-BE49-F238E27FC236}">
              <a16:creationId xmlns:a16="http://schemas.microsoft.com/office/drawing/2014/main" id="{00000000-0008-0000-0000-0000BFFB1300}"/>
            </a:ext>
          </a:extLst>
        </xdr:cNvPr>
        <xdr:cNvSpPr txBox="1">
          <a:spLocks noChangeArrowheads="1"/>
        </xdr:cNvSpPr>
      </xdr:nvSpPr>
      <xdr:spPr bwMode="auto">
        <a:xfrm>
          <a:off x="9239250" y="0"/>
          <a:ext cx="533400" cy="161925"/>
        </a:xfrm>
        <a:prstGeom prst="rect">
          <a:avLst/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hu-HU" sz="1000" b="1" i="0" strike="noStrike">
              <a:solidFill>
                <a:srgbClr val="000000"/>
              </a:solidFill>
              <a:latin typeface="Arial"/>
              <a:cs typeface="Arial"/>
            </a:rPr>
            <a:t>Séma</a:t>
          </a:r>
        </a:p>
      </xdr:txBody>
    </xdr:sp>
    <xdr:clientData fPrintsWithSheet="0"/>
  </xdr:twoCellAnchor>
  <xdr:twoCellAnchor>
    <xdr:from>
      <xdr:col>3</xdr:col>
      <xdr:colOff>123825</xdr:colOff>
      <xdr:row>61</xdr:row>
      <xdr:rowOff>9525</xdr:rowOff>
    </xdr:from>
    <xdr:to>
      <xdr:col>22</xdr:col>
      <xdr:colOff>219075</xdr:colOff>
      <xdr:row>89</xdr:row>
      <xdr:rowOff>28575</xdr:rowOff>
    </xdr:to>
    <xdr:graphicFrame macro="">
      <xdr:nvGraphicFramePr>
        <xdr:cNvPr id="61474" name="Chart 3027">
          <a:extLst>
            <a:ext uri="{FF2B5EF4-FFF2-40B4-BE49-F238E27FC236}">
              <a16:creationId xmlns:a16="http://schemas.microsoft.com/office/drawing/2014/main" id="{00000000-0008-0000-0000-000022F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58</xdr:row>
      <xdr:rowOff>152400</xdr:rowOff>
    </xdr:from>
    <xdr:to>
      <xdr:col>1</xdr:col>
      <xdr:colOff>0</xdr:colOff>
      <xdr:row>60</xdr:row>
      <xdr:rowOff>0</xdr:rowOff>
    </xdr:to>
    <xdr:sp macro="[0]!vektorosszeg" textlink="">
      <xdr:nvSpPr>
        <xdr:cNvPr id="1309660" name="Text Box 3">
          <a:extLst>
            <a:ext uri="{FF2B5EF4-FFF2-40B4-BE49-F238E27FC236}">
              <a16:creationId xmlns:a16="http://schemas.microsoft.com/office/drawing/2014/main" id="{00000000-0008-0000-0000-0000DCFB1300}"/>
            </a:ext>
          </a:extLst>
        </xdr:cNvPr>
        <xdr:cNvSpPr txBox="1">
          <a:spLocks noChangeArrowheads="1"/>
        </xdr:cNvSpPr>
      </xdr:nvSpPr>
      <xdr:spPr bwMode="auto">
        <a:xfrm>
          <a:off x="9525" y="9553575"/>
          <a:ext cx="590550" cy="171450"/>
        </a:xfrm>
        <a:prstGeom prst="rect">
          <a:avLst/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hu-HU" sz="1000" b="1" i="0" strike="noStrike">
              <a:solidFill>
                <a:srgbClr val="000000"/>
              </a:solidFill>
              <a:latin typeface="Arial"/>
              <a:cs typeface="Arial"/>
            </a:rPr>
            <a:t>Vektorok</a:t>
          </a:r>
        </a:p>
      </xdr:txBody>
    </xdr:sp>
    <xdr:clientData/>
  </xdr:twoCellAnchor>
  <xdr:twoCellAnchor>
    <xdr:from>
      <xdr:col>0</xdr:col>
      <xdr:colOff>9525</xdr:colOff>
      <xdr:row>48</xdr:row>
      <xdr:rowOff>0</xdr:rowOff>
    </xdr:from>
    <xdr:to>
      <xdr:col>1</xdr:col>
      <xdr:colOff>0</xdr:colOff>
      <xdr:row>48</xdr:row>
      <xdr:rowOff>152400</xdr:rowOff>
    </xdr:to>
    <xdr:sp macro="[0]!animacio" textlink="">
      <xdr:nvSpPr>
        <xdr:cNvPr id="1309676" name="Text Box 3">
          <a:extLst>
            <a:ext uri="{FF2B5EF4-FFF2-40B4-BE49-F238E27FC236}">
              <a16:creationId xmlns:a16="http://schemas.microsoft.com/office/drawing/2014/main" id="{00000000-0008-0000-0000-0000ECFB1300}"/>
            </a:ext>
          </a:extLst>
        </xdr:cNvPr>
        <xdr:cNvSpPr txBox="1">
          <a:spLocks noChangeArrowheads="1"/>
        </xdr:cNvSpPr>
      </xdr:nvSpPr>
      <xdr:spPr bwMode="auto">
        <a:xfrm>
          <a:off x="9525" y="7781925"/>
          <a:ext cx="590550" cy="152400"/>
        </a:xfrm>
        <a:prstGeom prst="rect">
          <a:avLst/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1">
            <a:defRPr sz="1000"/>
          </a:pPr>
          <a:r>
            <a:rPr lang="hu-HU" sz="1000" b="1" i="0" strike="noStrike">
              <a:solidFill>
                <a:srgbClr val="000000"/>
              </a:solidFill>
              <a:latin typeface="Arial"/>
              <a:cs typeface="Arial"/>
            </a:rPr>
            <a:t>Animáció</a:t>
          </a:r>
        </a:p>
      </xdr:txBody>
    </xdr:sp>
    <xdr:clientData/>
  </xdr:twoCellAnchor>
  <xdr:twoCellAnchor>
    <xdr:from>
      <xdr:col>0</xdr:col>
      <xdr:colOff>9525</xdr:colOff>
      <xdr:row>51</xdr:row>
      <xdr:rowOff>152400</xdr:rowOff>
    </xdr:from>
    <xdr:to>
      <xdr:col>1</xdr:col>
      <xdr:colOff>0</xdr:colOff>
      <xdr:row>53</xdr:row>
      <xdr:rowOff>0</xdr:rowOff>
    </xdr:to>
    <xdr:sp macro="[0]!animacioreset" textlink="">
      <xdr:nvSpPr>
        <xdr:cNvPr id="1309682" name="Text Box 3">
          <a:extLst>
            <a:ext uri="{FF2B5EF4-FFF2-40B4-BE49-F238E27FC236}">
              <a16:creationId xmlns:a16="http://schemas.microsoft.com/office/drawing/2014/main" id="{00000000-0008-0000-0000-0000F2FB1300}"/>
            </a:ext>
          </a:extLst>
        </xdr:cNvPr>
        <xdr:cNvSpPr txBox="1">
          <a:spLocks noChangeArrowheads="1"/>
        </xdr:cNvSpPr>
      </xdr:nvSpPr>
      <xdr:spPr bwMode="auto">
        <a:xfrm>
          <a:off x="9525" y="8420100"/>
          <a:ext cx="590550" cy="171450"/>
        </a:xfrm>
        <a:prstGeom prst="rect">
          <a:avLst/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1">
            <a:defRPr sz="1000"/>
          </a:pPr>
          <a:r>
            <a:rPr lang="hu-HU" sz="1000" b="1" i="0" strike="noStrike">
              <a:solidFill>
                <a:srgbClr val="000000"/>
              </a:solidFill>
              <a:latin typeface="Arial"/>
              <a:cs typeface="Arial"/>
            </a:rPr>
            <a:t>Reset</a:t>
          </a:r>
        </a:p>
      </xdr:txBody>
    </xdr:sp>
    <xdr:clientData/>
  </xdr:twoCellAnchor>
  <xdr:twoCellAnchor>
    <xdr:from>
      <xdr:col>1</xdr:col>
      <xdr:colOff>276225</xdr:colOff>
      <xdr:row>53</xdr:row>
      <xdr:rowOff>38100</xdr:rowOff>
    </xdr:from>
    <xdr:to>
      <xdr:col>2</xdr:col>
      <xdr:colOff>466725</xdr:colOff>
      <xdr:row>57</xdr:row>
      <xdr:rowOff>47625</xdr:rowOff>
    </xdr:to>
    <xdr:graphicFrame macro="">
      <xdr:nvGraphicFramePr>
        <xdr:cNvPr id="61478" name="Chart 3065">
          <a:extLst>
            <a:ext uri="{FF2B5EF4-FFF2-40B4-BE49-F238E27FC236}">
              <a16:creationId xmlns:a16="http://schemas.microsoft.com/office/drawing/2014/main" id="{00000000-0008-0000-0000-000026F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0.50125</cdr:x>
      <cdr:y>0.61281</cdr:y>
    </cdr:from>
    <cdr:to>
      <cdr:x>0.60003</cdr:x>
      <cdr:y>0.66859</cdr:y>
    </cdr:to>
    <cdr:cxnSp macro="">
      <cdr:nvCxnSpPr>
        <cdr:cNvPr id="79878" name="ArrowSegment1">
          <a:extLst xmlns:a="http://schemas.openxmlformats.org/drawingml/2006/main">
            <a:ext uri="{FF2B5EF4-FFF2-40B4-BE49-F238E27FC236}">
              <a16:creationId xmlns:a16="http://schemas.microsoft.com/office/drawing/2014/main" id="{9AE2D40D-30FC-5809-953E-8DA04D78BFA0}"/>
            </a:ext>
          </a:extLst>
        </cdr:cNvPr>
        <cdr:cNvCxnSpPr/>
      </cdr:nvCxnSpPr>
      <cdr:spPr bwMode="auto">
        <a:xfrm xmlns:a="http://schemas.openxmlformats.org/drawingml/2006/main">
          <a:off x="1909764" y="2334818"/>
          <a:ext cx="376357" cy="212527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  <a:prstDash val="solid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0.40247</cdr:x>
      <cdr:y>0.61281</cdr:y>
    </cdr:from>
    <cdr:to>
      <cdr:x>0.50125</cdr:x>
      <cdr:y>0.66859</cdr:y>
    </cdr:to>
    <cdr:cxnSp macro="">
      <cdr:nvCxnSpPr>
        <cdr:cNvPr id="79879" name="ArrowSegment2">
          <a:extLst xmlns:a="http://schemas.openxmlformats.org/drawingml/2006/main">
            <a:ext uri="{FF2B5EF4-FFF2-40B4-BE49-F238E27FC236}">
              <a16:creationId xmlns:a16="http://schemas.microsoft.com/office/drawing/2014/main" id="{2DC42296-ED4B-EC43-BF3D-AADD2065160C}"/>
            </a:ext>
          </a:extLst>
        </cdr:cNvPr>
        <cdr:cNvCxnSpPr/>
      </cdr:nvCxnSpPr>
      <cdr:spPr bwMode="auto">
        <a:xfrm xmlns:a="http://schemas.openxmlformats.org/drawingml/2006/main" flipH="1">
          <a:off x="1533408" y="2334818"/>
          <a:ext cx="376356" cy="212527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  <a:prstDash val="solid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0.50125</cdr:x>
      <cdr:y>0.50125</cdr:y>
    </cdr:from>
    <cdr:to>
      <cdr:x>0.50125</cdr:x>
      <cdr:y>0.61281</cdr:y>
    </cdr:to>
    <cdr:cxnSp macro="">
      <cdr:nvCxnSpPr>
        <cdr:cNvPr id="79880" name="ArrowSegment3">
          <a:extLst xmlns:a="http://schemas.openxmlformats.org/drawingml/2006/main">
            <a:ext uri="{FF2B5EF4-FFF2-40B4-BE49-F238E27FC236}">
              <a16:creationId xmlns:a16="http://schemas.microsoft.com/office/drawing/2014/main" id="{ADC08BA3-CB00-F7B3-AB8B-BD8F3677467F}"/>
            </a:ext>
          </a:extLst>
        </cdr:cNvPr>
        <cdr:cNvCxnSpPr/>
      </cdr:nvCxnSpPr>
      <cdr:spPr bwMode="auto">
        <a:xfrm xmlns:a="http://schemas.openxmlformats.org/drawingml/2006/main" flipV="1">
          <a:off x="1909764" y="1909764"/>
          <a:ext cx="0" cy="425054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  <a:prstDash val="solid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0.60003</cdr:x>
      <cdr:y>0.66859</cdr:y>
    </cdr:from>
    <cdr:to>
      <cdr:x>0.69881</cdr:x>
      <cdr:y>0.72438</cdr:y>
    </cdr:to>
    <cdr:cxnSp macro="">
      <cdr:nvCxnSpPr>
        <cdr:cNvPr id="79881" name="ArrowSegment4">
          <a:extLst xmlns:a="http://schemas.openxmlformats.org/drawingml/2006/main">
            <a:ext uri="{FF2B5EF4-FFF2-40B4-BE49-F238E27FC236}">
              <a16:creationId xmlns:a16="http://schemas.microsoft.com/office/drawing/2014/main" id="{101A47A7-D1CD-20EE-8FCE-C7E8C7170CDC}"/>
            </a:ext>
          </a:extLst>
        </cdr:cNvPr>
        <cdr:cNvCxnSpPr/>
      </cdr:nvCxnSpPr>
      <cdr:spPr bwMode="auto">
        <a:xfrm xmlns:a="http://schemas.openxmlformats.org/drawingml/2006/main">
          <a:off x="2286121" y="2547345"/>
          <a:ext cx="376356" cy="212527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0.30369</cdr:x>
      <cdr:y>0.66859</cdr:y>
    </cdr:from>
    <cdr:to>
      <cdr:x>0.40247</cdr:x>
      <cdr:y>0.72438</cdr:y>
    </cdr:to>
    <cdr:cxnSp macro="">
      <cdr:nvCxnSpPr>
        <cdr:cNvPr id="79894" name="ArrowSegment5">
          <a:extLst xmlns:a="http://schemas.openxmlformats.org/drawingml/2006/main">
            <a:ext uri="{FF2B5EF4-FFF2-40B4-BE49-F238E27FC236}">
              <a16:creationId xmlns:a16="http://schemas.microsoft.com/office/drawing/2014/main" id="{174576D2-EF53-654A-C063-C42C970281AE}"/>
            </a:ext>
          </a:extLst>
        </cdr:cNvPr>
        <cdr:cNvCxnSpPr/>
      </cdr:nvCxnSpPr>
      <cdr:spPr bwMode="auto">
        <a:xfrm xmlns:a="http://schemas.openxmlformats.org/drawingml/2006/main" flipH="1">
          <a:off x="1157052" y="2547345"/>
          <a:ext cx="376356" cy="212527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0.50125</cdr:x>
      <cdr:y>0.38969</cdr:y>
    </cdr:from>
    <cdr:to>
      <cdr:x>0.50125</cdr:x>
      <cdr:y>0.50125</cdr:y>
    </cdr:to>
    <cdr:cxnSp macro="">
      <cdr:nvCxnSpPr>
        <cdr:cNvPr id="79895" name="ArrowSegment6">
          <a:extLst xmlns:a="http://schemas.openxmlformats.org/drawingml/2006/main">
            <a:ext uri="{FF2B5EF4-FFF2-40B4-BE49-F238E27FC236}">
              <a16:creationId xmlns:a16="http://schemas.microsoft.com/office/drawing/2014/main" id="{48AD5C79-FC7E-0F97-0AB4-CED3EC52A488}"/>
            </a:ext>
          </a:extLst>
        </cdr:cNvPr>
        <cdr:cNvCxnSpPr/>
      </cdr:nvCxnSpPr>
      <cdr:spPr bwMode="auto">
        <a:xfrm xmlns:a="http://schemas.openxmlformats.org/drawingml/2006/main" flipV="1">
          <a:off x="1909764" y="1484711"/>
          <a:ext cx="0" cy="425053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0.69881</cdr:x>
      <cdr:y>0.72438</cdr:y>
    </cdr:from>
    <cdr:to>
      <cdr:x>0.79759</cdr:x>
      <cdr:y>0.78016</cdr:y>
    </cdr:to>
    <cdr:cxnSp macro="">
      <cdr:nvCxnSpPr>
        <cdr:cNvPr id="79896" name="ArrowSegment7">
          <a:extLst xmlns:a="http://schemas.openxmlformats.org/drawingml/2006/main">
            <a:ext uri="{FF2B5EF4-FFF2-40B4-BE49-F238E27FC236}">
              <a16:creationId xmlns:a16="http://schemas.microsoft.com/office/drawing/2014/main" id="{8318807E-D9A8-9413-3D6A-FC040938896F}"/>
            </a:ext>
          </a:extLst>
        </cdr:cNvPr>
        <cdr:cNvCxnSpPr/>
      </cdr:nvCxnSpPr>
      <cdr:spPr bwMode="auto">
        <a:xfrm xmlns:a="http://schemas.openxmlformats.org/drawingml/2006/main">
          <a:off x="2662477" y="2759872"/>
          <a:ext cx="376356" cy="212527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0.20491</cdr:x>
      <cdr:y>0.72438</cdr:y>
    </cdr:from>
    <cdr:to>
      <cdr:x>0.30369</cdr:x>
      <cdr:y>0.78016</cdr:y>
    </cdr:to>
    <cdr:cxnSp macro="">
      <cdr:nvCxnSpPr>
        <cdr:cNvPr id="79897" name="ArrowSegment8">
          <a:extLst xmlns:a="http://schemas.openxmlformats.org/drawingml/2006/main">
            <a:ext uri="{FF2B5EF4-FFF2-40B4-BE49-F238E27FC236}">
              <a16:creationId xmlns:a16="http://schemas.microsoft.com/office/drawing/2014/main" id="{8A6997F8-ECE9-A787-BC1C-A73C7A5ADA1C}"/>
            </a:ext>
          </a:extLst>
        </cdr:cNvPr>
        <cdr:cNvCxnSpPr/>
      </cdr:nvCxnSpPr>
      <cdr:spPr bwMode="auto">
        <a:xfrm xmlns:a="http://schemas.openxmlformats.org/drawingml/2006/main" flipH="1">
          <a:off x="780696" y="2759872"/>
          <a:ext cx="376356" cy="212527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0.50125</cdr:x>
      <cdr:y>0.27813</cdr:y>
    </cdr:from>
    <cdr:to>
      <cdr:x>0.50125</cdr:x>
      <cdr:y>0.38969</cdr:y>
    </cdr:to>
    <cdr:cxnSp macro="">
      <cdr:nvCxnSpPr>
        <cdr:cNvPr id="79898" name="ArrowSegment9">
          <a:extLst xmlns:a="http://schemas.openxmlformats.org/drawingml/2006/main">
            <a:ext uri="{FF2B5EF4-FFF2-40B4-BE49-F238E27FC236}">
              <a16:creationId xmlns:a16="http://schemas.microsoft.com/office/drawing/2014/main" id="{BFB89F7E-1FD6-4FE0-862E-1D5395334222}"/>
            </a:ext>
          </a:extLst>
        </cdr:cNvPr>
        <cdr:cNvCxnSpPr/>
      </cdr:nvCxnSpPr>
      <cdr:spPr bwMode="auto">
        <a:xfrm xmlns:a="http://schemas.openxmlformats.org/drawingml/2006/main" flipV="1">
          <a:off x="1909764" y="1059657"/>
          <a:ext cx="0" cy="425054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0.79759</cdr:x>
      <cdr:y>0.78016</cdr:y>
    </cdr:from>
    <cdr:to>
      <cdr:x>0.89638</cdr:x>
      <cdr:y>0.83594</cdr:y>
    </cdr:to>
    <cdr:cxnSp macro="">
      <cdr:nvCxnSpPr>
        <cdr:cNvPr id="79899" name="ArrowSegment10">
          <a:extLst xmlns:a="http://schemas.openxmlformats.org/drawingml/2006/main">
            <a:ext uri="{FF2B5EF4-FFF2-40B4-BE49-F238E27FC236}">
              <a16:creationId xmlns:a16="http://schemas.microsoft.com/office/drawing/2014/main" id="{CCA58E4D-7F11-E281-8A6D-299C10BB73F4}"/>
            </a:ext>
          </a:extLst>
        </cdr:cNvPr>
        <cdr:cNvCxnSpPr/>
      </cdr:nvCxnSpPr>
      <cdr:spPr bwMode="auto">
        <a:xfrm xmlns:a="http://schemas.openxmlformats.org/drawingml/2006/main">
          <a:off x="3038833" y="2972399"/>
          <a:ext cx="376356" cy="212526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0.10613</cdr:x>
      <cdr:y>0.78016</cdr:y>
    </cdr:from>
    <cdr:to>
      <cdr:x>0.20491</cdr:x>
      <cdr:y>0.83594</cdr:y>
    </cdr:to>
    <cdr:cxnSp macro="">
      <cdr:nvCxnSpPr>
        <cdr:cNvPr id="79900" name="ArrowSegment11">
          <a:extLst xmlns:a="http://schemas.openxmlformats.org/drawingml/2006/main">
            <a:ext uri="{FF2B5EF4-FFF2-40B4-BE49-F238E27FC236}">
              <a16:creationId xmlns:a16="http://schemas.microsoft.com/office/drawing/2014/main" id="{B3C7C99A-4157-E274-20A9-FAFC886402C2}"/>
            </a:ext>
          </a:extLst>
        </cdr:cNvPr>
        <cdr:cNvCxnSpPr/>
      </cdr:nvCxnSpPr>
      <cdr:spPr bwMode="auto">
        <a:xfrm xmlns:a="http://schemas.openxmlformats.org/drawingml/2006/main" flipH="1">
          <a:off x="404340" y="2972399"/>
          <a:ext cx="376356" cy="212526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0.50125</cdr:x>
      <cdr:y>0.16656</cdr:y>
    </cdr:from>
    <cdr:to>
      <cdr:x>0.50125</cdr:x>
      <cdr:y>0.27813</cdr:y>
    </cdr:to>
    <cdr:cxnSp macro="">
      <cdr:nvCxnSpPr>
        <cdr:cNvPr id="79901" name="ArrowSegment12">
          <a:extLst xmlns:a="http://schemas.openxmlformats.org/drawingml/2006/main">
            <a:ext uri="{FF2B5EF4-FFF2-40B4-BE49-F238E27FC236}">
              <a16:creationId xmlns:a16="http://schemas.microsoft.com/office/drawing/2014/main" id="{6975813E-1042-03C2-B2CF-AA458A75DE39}"/>
            </a:ext>
          </a:extLst>
        </cdr:cNvPr>
        <cdr:cNvCxnSpPr/>
      </cdr:nvCxnSpPr>
      <cdr:spPr bwMode="auto">
        <a:xfrm xmlns:a="http://schemas.openxmlformats.org/drawingml/2006/main" flipV="1">
          <a:off x="1909764" y="634604"/>
          <a:ext cx="0" cy="425053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0.50127</cdr:x>
      <cdr:y>0.50126</cdr:y>
    </cdr:from>
    <cdr:to>
      <cdr:x>0.59883</cdr:x>
      <cdr:y>0.557</cdr:y>
    </cdr:to>
    <cdr:cxnSp macro="">
      <cdr:nvCxnSpPr>
        <cdr:cNvPr id="80902" name="ArrowSegment1">
          <a:extLst xmlns:a="http://schemas.openxmlformats.org/drawingml/2006/main">
            <a:ext uri="{FF2B5EF4-FFF2-40B4-BE49-F238E27FC236}">
              <a16:creationId xmlns:a16="http://schemas.microsoft.com/office/drawing/2014/main" id="{FB9ACF4A-02AE-977F-E45C-7B92C64A4AF8}"/>
            </a:ext>
          </a:extLst>
        </cdr:cNvPr>
        <cdr:cNvCxnSpPr/>
      </cdr:nvCxnSpPr>
      <cdr:spPr bwMode="auto">
        <a:xfrm xmlns:a="http://schemas.openxmlformats.org/drawingml/2006/main">
          <a:off x="1885950" y="1900238"/>
          <a:ext cx="367076" cy="211335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  <a:prstDash val="solid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0.59883</cdr:x>
      <cdr:y>0.557</cdr:y>
    </cdr:from>
    <cdr:to>
      <cdr:x>0.6964</cdr:x>
      <cdr:y>0.61275</cdr:y>
    </cdr:to>
    <cdr:cxnSp macro="">
      <cdr:nvCxnSpPr>
        <cdr:cNvPr id="80903" name="ArrowSegment2">
          <a:extLst xmlns:a="http://schemas.openxmlformats.org/drawingml/2006/main">
            <a:ext uri="{FF2B5EF4-FFF2-40B4-BE49-F238E27FC236}">
              <a16:creationId xmlns:a16="http://schemas.microsoft.com/office/drawing/2014/main" id="{14B89FB1-A1CA-0C06-57A2-655F46033736}"/>
            </a:ext>
          </a:extLst>
        </cdr:cNvPr>
        <cdr:cNvCxnSpPr/>
      </cdr:nvCxnSpPr>
      <cdr:spPr bwMode="auto">
        <a:xfrm xmlns:a="http://schemas.openxmlformats.org/drawingml/2006/main">
          <a:off x="2253026" y="2111573"/>
          <a:ext cx="367075" cy="211336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  <a:prstDash val="solid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0.6964</cdr:x>
      <cdr:y>0.61275</cdr:y>
    </cdr:from>
    <cdr:to>
      <cdr:x>0.79396</cdr:x>
      <cdr:y>0.6685</cdr:y>
    </cdr:to>
    <cdr:cxnSp macro="">
      <cdr:nvCxnSpPr>
        <cdr:cNvPr id="80904" name="ArrowSegment3">
          <a:extLst xmlns:a="http://schemas.openxmlformats.org/drawingml/2006/main">
            <a:ext uri="{FF2B5EF4-FFF2-40B4-BE49-F238E27FC236}">
              <a16:creationId xmlns:a16="http://schemas.microsoft.com/office/drawing/2014/main" id="{55B50005-2DDA-22C7-9DA5-CE3400DA73D3}"/>
            </a:ext>
          </a:extLst>
        </cdr:cNvPr>
        <cdr:cNvCxnSpPr/>
      </cdr:nvCxnSpPr>
      <cdr:spPr bwMode="auto">
        <a:xfrm xmlns:a="http://schemas.openxmlformats.org/drawingml/2006/main">
          <a:off x="2620101" y="2322909"/>
          <a:ext cx="367076" cy="211336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  <a:prstDash val="solid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0.79396</cdr:x>
      <cdr:y>0.6685</cdr:y>
    </cdr:from>
    <cdr:to>
      <cdr:x>0.89153</cdr:x>
      <cdr:y>0.72425</cdr:y>
    </cdr:to>
    <cdr:cxnSp macro="">
      <cdr:nvCxnSpPr>
        <cdr:cNvPr id="80905" name="ArrowSegment4">
          <a:extLst xmlns:a="http://schemas.openxmlformats.org/drawingml/2006/main">
            <a:ext uri="{FF2B5EF4-FFF2-40B4-BE49-F238E27FC236}">
              <a16:creationId xmlns:a16="http://schemas.microsoft.com/office/drawing/2014/main" id="{97703AB8-E7A0-7671-5D75-8C09F63F1324}"/>
            </a:ext>
          </a:extLst>
        </cdr:cNvPr>
        <cdr:cNvCxnSpPr/>
      </cdr:nvCxnSpPr>
      <cdr:spPr bwMode="auto">
        <a:xfrm xmlns:a="http://schemas.openxmlformats.org/drawingml/2006/main">
          <a:off x="2987177" y="2534245"/>
          <a:ext cx="367076" cy="211336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  <a:prstDash val="solid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0.4037</cdr:x>
      <cdr:y>0.50126</cdr:y>
    </cdr:from>
    <cdr:to>
      <cdr:x>0.50127</cdr:x>
      <cdr:y>0.557</cdr:y>
    </cdr:to>
    <cdr:cxnSp macro="">
      <cdr:nvCxnSpPr>
        <cdr:cNvPr id="80918" name="ArrowSegment5">
          <a:extLst xmlns:a="http://schemas.openxmlformats.org/drawingml/2006/main">
            <a:ext uri="{FF2B5EF4-FFF2-40B4-BE49-F238E27FC236}">
              <a16:creationId xmlns:a16="http://schemas.microsoft.com/office/drawing/2014/main" id="{A344797F-0499-399B-E8B4-D65FCF10FAB1}"/>
            </a:ext>
          </a:extLst>
        </cdr:cNvPr>
        <cdr:cNvCxnSpPr/>
      </cdr:nvCxnSpPr>
      <cdr:spPr bwMode="auto">
        <a:xfrm xmlns:a="http://schemas.openxmlformats.org/drawingml/2006/main" flipH="1">
          <a:off x="1518874" y="1900238"/>
          <a:ext cx="367076" cy="211335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olid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0.30614</cdr:x>
      <cdr:y>0.557</cdr:y>
    </cdr:from>
    <cdr:to>
      <cdr:x>0.4037</cdr:x>
      <cdr:y>0.61275</cdr:y>
    </cdr:to>
    <cdr:cxnSp macro="">
      <cdr:nvCxnSpPr>
        <cdr:cNvPr id="80919" name="ArrowSegment6">
          <a:extLst xmlns:a="http://schemas.openxmlformats.org/drawingml/2006/main">
            <a:ext uri="{FF2B5EF4-FFF2-40B4-BE49-F238E27FC236}">
              <a16:creationId xmlns:a16="http://schemas.microsoft.com/office/drawing/2014/main" id="{EFFF51E8-5117-4163-235F-8C655C66E76A}"/>
            </a:ext>
          </a:extLst>
        </cdr:cNvPr>
        <cdr:cNvCxnSpPr/>
      </cdr:nvCxnSpPr>
      <cdr:spPr bwMode="auto">
        <a:xfrm xmlns:a="http://schemas.openxmlformats.org/drawingml/2006/main" flipH="1">
          <a:off x="1151799" y="2111573"/>
          <a:ext cx="367075" cy="211336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olid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0.20857</cdr:x>
      <cdr:y>0.61275</cdr:y>
    </cdr:from>
    <cdr:to>
      <cdr:x>0.30614</cdr:x>
      <cdr:y>0.6685</cdr:y>
    </cdr:to>
    <cdr:cxnSp macro="">
      <cdr:nvCxnSpPr>
        <cdr:cNvPr id="80920" name="ArrowSegment7">
          <a:extLst xmlns:a="http://schemas.openxmlformats.org/drawingml/2006/main">
            <a:ext uri="{FF2B5EF4-FFF2-40B4-BE49-F238E27FC236}">
              <a16:creationId xmlns:a16="http://schemas.microsoft.com/office/drawing/2014/main" id="{31A27C8A-D740-1A50-8D3F-E54A6F446939}"/>
            </a:ext>
          </a:extLst>
        </cdr:cNvPr>
        <cdr:cNvCxnSpPr/>
      </cdr:nvCxnSpPr>
      <cdr:spPr bwMode="auto">
        <a:xfrm xmlns:a="http://schemas.openxmlformats.org/drawingml/2006/main" flipH="1">
          <a:off x="784723" y="2322909"/>
          <a:ext cx="367076" cy="211336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olid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0.11101</cdr:x>
      <cdr:y>0.6685</cdr:y>
    </cdr:from>
    <cdr:to>
      <cdr:x>0.20857</cdr:x>
      <cdr:y>0.72425</cdr:y>
    </cdr:to>
    <cdr:cxnSp macro="">
      <cdr:nvCxnSpPr>
        <cdr:cNvPr id="80921" name="ArrowSegment8">
          <a:extLst xmlns:a="http://schemas.openxmlformats.org/drawingml/2006/main">
            <a:ext uri="{FF2B5EF4-FFF2-40B4-BE49-F238E27FC236}">
              <a16:creationId xmlns:a16="http://schemas.microsoft.com/office/drawing/2014/main" id="{F5898908-8A29-67C2-F5D6-436E522E8D77}"/>
            </a:ext>
          </a:extLst>
        </cdr:cNvPr>
        <cdr:cNvCxnSpPr/>
      </cdr:nvCxnSpPr>
      <cdr:spPr bwMode="auto">
        <a:xfrm xmlns:a="http://schemas.openxmlformats.org/drawingml/2006/main" flipH="1">
          <a:off x="417647" y="2534245"/>
          <a:ext cx="367076" cy="211336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olid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0.50127</cdr:x>
      <cdr:y>0.38976</cdr:y>
    </cdr:from>
    <cdr:to>
      <cdr:x>0.50127</cdr:x>
      <cdr:y>0.50126</cdr:y>
    </cdr:to>
    <cdr:cxnSp macro="">
      <cdr:nvCxnSpPr>
        <cdr:cNvPr id="80922" name="ArrowSegment9">
          <a:extLst xmlns:a="http://schemas.openxmlformats.org/drawingml/2006/main">
            <a:ext uri="{FF2B5EF4-FFF2-40B4-BE49-F238E27FC236}">
              <a16:creationId xmlns:a16="http://schemas.microsoft.com/office/drawing/2014/main" id="{6D6F13EA-8BCC-F49F-9E47-574E0E6B6A26}"/>
            </a:ext>
          </a:extLst>
        </cdr:cNvPr>
        <cdr:cNvCxnSpPr/>
      </cdr:nvCxnSpPr>
      <cdr:spPr bwMode="auto">
        <a:xfrm xmlns:a="http://schemas.openxmlformats.org/drawingml/2006/main" flipV="1">
          <a:off x="1885950" y="1477566"/>
          <a:ext cx="0" cy="422672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0.50127</cdr:x>
      <cdr:y>0.27827</cdr:y>
    </cdr:from>
    <cdr:to>
      <cdr:x>0.50127</cdr:x>
      <cdr:y>0.38976</cdr:y>
    </cdr:to>
    <cdr:cxnSp macro="">
      <cdr:nvCxnSpPr>
        <cdr:cNvPr id="80923" name="ArrowSegment10">
          <a:extLst xmlns:a="http://schemas.openxmlformats.org/drawingml/2006/main">
            <a:ext uri="{FF2B5EF4-FFF2-40B4-BE49-F238E27FC236}">
              <a16:creationId xmlns:a16="http://schemas.microsoft.com/office/drawing/2014/main" id="{9F9FA478-C0C9-9F75-6E83-65D8D2CDAF7E}"/>
            </a:ext>
          </a:extLst>
        </cdr:cNvPr>
        <cdr:cNvCxnSpPr/>
      </cdr:nvCxnSpPr>
      <cdr:spPr bwMode="auto">
        <a:xfrm xmlns:a="http://schemas.openxmlformats.org/drawingml/2006/main" flipV="1">
          <a:off x="1885950" y="1054894"/>
          <a:ext cx="0" cy="422672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0.50127</cdr:x>
      <cdr:y>0.16677</cdr:y>
    </cdr:from>
    <cdr:to>
      <cdr:x>0.50127</cdr:x>
      <cdr:y>0.27827</cdr:y>
    </cdr:to>
    <cdr:cxnSp macro="">
      <cdr:nvCxnSpPr>
        <cdr:cNvPr id="80924" name="ArrowSegment11">
          <a:extLst xmlns:a="http://schemas.openxmlformats.org/drawingml/2006/main">
            <a:ext uri="{FF2B5EF4-FFF2-40B4-BE49-F238E27FC236}">
              <a16:creationId xmlns:a16="http://schemas.microsoft.com/office/drawing/2014/main" id="{BB407948-F39C-D9E0-0BBA-A2AA05B4365A}"/>
            </a:ext>
          </a:extLst>
        </cdr:cNvPr>
        <cdr:cNvCxnSpPr/>
      </cdr:nvCxnSpPr>
      <cdr:spPr bwMode="auto">
        <a:xfrm xmlns:a="http://schemas.openxmlformats.org/drawingml/2006/main" flipV="1">
          <a:off x="1885950" y="632222"/>
          <a:ext cx="0" cy="422672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0.50127</cdr:x>
      <cdr:y>0.05528</cdr:y>
    </cdr:from>
    <cdr:to>
      <cdr:x>0.50127</cdr:x>
      <cdr:y>0.16677</cdr:y>
    </cdr:to>
    <cdr:cxnSp macro="">
      <cdr:nvCxnSpPr>
        <cdr:cNvPr id="80925" name="ArrowSegment12">
          <a:extLst xmlns:a="http://schemas.openxmlformats.org/drawingml/2006/main">
            <a:ext uri="{FF2B5EF4-FFF2-40B4-BE49-F238E27FC236}">
              <a16:creationId xmlns:a16="http://schemas.microsoft.com/office/drawing/2014/main" id="{44FFB6E5-93FF-FEE3-5996-226F4BAFA3DD}"/>
            </a:ext>
          </a:extLst>
        </cdr:cNvPr>
        <cdr:cNvCxnSpPr/>
      </cdr:nvCxnSpPr>
      <cdr:spPr bwMode="auto">
        <a:xfrm xmlns:a="http://schemas.openxmlformats.org/drawingml/2006/main" flipV="1">
          <a:off x="1885950" y="209550"/>
          <a:ext cx="0" cy="422672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63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sm" len="lg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teksema" textlink="">
      <xdr:nvSpPr>
        <xdr:cNvPr id="1248464" name="Text Box 73">
          <a:extLst>
            <a:ext uri="{FF2B5EF4-FFF2-40B4-BE49-F238E27FC236}">
              <a16:creationId xmlns:a16="http://schemas.microsoft.com/office/drawing/2014/main" id="{00000000-0008-0000-0200-0000D00C13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466725" cy="161925"/>
        </a:xfrm>
        <a:prstGeom prst="rect">
          <a:avLst/>
        </a:prstGeom>
        <a:solidFill>
          <a:srgbClr val="FFFFFF">
            <a:alpha val="0"/>
          </a:srgb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8800" tIns="0" rIns="0" bIns="0" anchor="t" upright="1"/>
        <a:lstStyle/>
        <a:p>
          <a:pPr algn="l" rtl="0">
            <a:defRPr sz="1000"/>
          </a:pPr>
          <a:r>
            <a:rPr lang="hu-H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Start</a:t>
          </a:r>
          <a:endParaRPr lang="hu-HU"/>
        </a:p>
      </xdr:txBody>
    </xdr:sp>
    <xdr:clientData fPrintsWithSheet="0"/>
  </xdr:twoCellAnchor>
  <xdr:twoCellAnchor>
    <xdr:from>
      <xdr:col>0</xdr:col>
      <xdr:colOff>0</xdr:colOff>
      <xdr:row>15</xdr:row>
      <xdr:rowOff>123825</xdr:rowOff>
    </xdr:from>
    <xdr:to>
      <xdr:col>0</xdr:col>
      <xdr:colOff>0</xdr:colOff>
      <xdr:row>16</xdr:row>
      <xdr:rowOff>114300</xdr:rowOff>
    </xdr:to>
    <xdr:sp macro="" textlink="">
      <xdr:nvSpPr>
        <xdr:cNvPr id="68610" name="Line 404063">
          <a:extLst>
            <a:ext uri="{FF2B5EF4-FFF2-40B4-BE49-F238E27FC236}">
              <a16:creationId xmlns:a16="http://schemas.microsoft.com/office/drawing/2014/main" id="{00000000-0008-0000-0200-0000020C0100}"/>
            </a:ext>
          </a:extLst>
        </xdr:cNvPr>
        <xdr:cNvSpPr>
          <a:spLocks noChangeShapeType="1"/>
        </xdr:cNvSpPr>
      </xdr:nvSpPr>
      <xdr:spPr bwMode="auto">
        <a:xfrm>
          <a:off x="0" y="2552700"/>
          <a:ext cx="0" cy="15240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15</xdr:row>
      <xdr:rowOff>123825</xdr:rowOff>
    </xdr:from>
    <xdr:to>
      <xdr:col>0</xdr:col>
      <xdr:colOff>0</xdr:colOff>
      <xdr:row>16</xdr:row>
      <xdr:rowOff>114300</xdr:rowOff>
    </xdr:to>
    <xdr:sp macro="" textlink="">
      <xdr:nvSpPr>
        <xdr:cNvPr id="68611" name="Line 404093">
          <a:extLst>
            <a:ext uri="{FF2B5EF4-FFF2-40B4-BE49-F238E27FC236}">
              <a16:creationId xmlns:a16="http://schemas.microsoft.com/office/drawing/2014/main" id="{00000000-0008-0000-0200-0000030C0100}"/>
            </a:ext>
          </a:extLst>
        </xdr:cNvPr>
        <xdr:cNvSpPr>
          <a:spLocks noChangeShapeType="1"/>
        </xdr:cNvSpPr>
      </xdr:nvSpPr>
      <xdr:spPr bwMode="auto">
        <a:xfrm>
          <a:off x="0" y="2552700"/>
          <a:ext cx="0" cy="15240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15</xdr:row>
      <xdr:rowOff>123825</xdr:rowOff>
    </xdr:from>
    <xdr:to>
      <xdr:col>0</xdr:col>
      <xdr:colOff>0</xdr:colOff>
      <xdr:row>16</xdr:row>
      <xdr:rowOff>114300</xdr:rowOff>
    </xdr:to>
    <xdr:sp macro="" textlink="">
      <xdr:nvSpPr>
        <xdr:cNvPr id="68612" name="Line 404297">
          <a:extLst>
            <a:ext uri="{FF2B5EF4-FFF2-40B4-BE49-F238E27FC236}">
              <a16:creationId xmlns:a16="http://schemas.microsoft.com/office/drawing/2014/main" id="{00000000-0008-0000-0200-0000040C0100}"/>
            </a:ext>
          </a:extLst>
        </xdr:cNvPr>
        <xdr:cNvSpPr>
          <a:spLocks noChangeShapeType="1"/>
        </xdr:cNvSpPr>
      </xdr:nvSpPr>
      <xdr:spPr bwMode="auto">
        <a:xfrm>
          <a:off x="0" y="2552700"/>
          <a:ext cx="0" cy="15240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15</xdr:row>
      <xdr:rowOff>123825</xdr:rowOff>
    </xdr:from>
    <xdr:to>
      <xdr:col>0</xdr:col>
      <xdr:colOff>0</xdr:colOff>
      <xdr:row>16</xdr:row>
      <xdr:rowOff>114300</xdr:rowOff>
    </xdr:to>
    <xdr:sp macro="" textlink="">
      <xdr:nvSpPr>
        <xdr:cNvPr id="68613" name="Line 404323">
          <a:extLst>
            <a:ext uri="{FF2B5EF4-FFF2-40B4-BE49-F238E27FC236}">
              <a16:creationId xmlns:a16="http://schemas.microsoft.com/office/drawing/2014/main" id="{00000000-0008-0000-0200-0000050C0100}"/>
            </a:ext>
          </a:extLst>
        </xdr:cNvPr>
        <xdr:cNvSpPr>
          <a:spLocks noChangeShapeType="1"/>
        </xdr:cNvSpPr>
      </xdr:nvSpPr>
      <xdr:spPr bwMode="auto">
        <a:xfrm>
          <a:off x="0" y="2552700"/>
          <a:ext cx="0" cy="15240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15</xdr:row>
      <xdr:rowOff>123825</xdr:rowOff>
    </xdr:from>
    <xdr:to>
      <xdr:col>0</xdr:col>
      <xdr:colOff>0</xdr:colOff>
      <xdr:row>16</xdr:row>
      <xdr:rowOff>114300</xdr:rowOff>
    </xdr:to>
    <xdr:sp macro="" textlink="">
      <xdr:nvSpPr>
        <xdr:cNvPr id="68614" name="Line 404527">
          <a:extLst>
            <a:ext uri="{FF2B5EF4-FFF2-40B4-BE49-F238E27FC236}">
              <a16:creationId xmlns:a16="http://schemas.microsoft.com/office/drawing/2014/main" id="{00000000-0008-0000-0200-0000060C0100}"/>
            </a:ext>
          </a:extLst>
        </xdr:cNvPr>
        <xdr:cNvSpPr>
          <a:spLocks noChangeShapeType="1"/>
        </xdr:cNvSpPr>
      </xdr:nvSpPr>
      <xdr:spPr bwMode="auto">
        <a:xfrm>
          <a:off x="0" y="2552700"/>
          <a:ext cx="0" cy="15240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15</xdr:row>
      <xdr:rowOff>123825</xdr:rowOff>
    </xdr:from>
    <xdr:to>
      <xdr:col>0</xdr:col>
      <xdr:colOff>0</xdr:colOff>
      <xdr:row>16</xdr:row>
      <xdr:rowOff>114300</xdr:rowOff>
    </xdr:to>
    <xdr:sp macro="" textlink="">
      <xdr:nvSpPr>
        <xdr:cNvPr id="68615" name="Line 404553">
          <a:extLst>
            <a:ext uri="{FF2B5EF4-FFF2-40B4-BE49-F238E27FC236}">
              <a16:creationId xmlns:a16="http://schemas.microsoft.com/office/drawing/2014/main" id="{00000000-0008-0000-0200-0000070C0100}"/>
            </a:ext>
          </a:extLst>
        </xdr:cNvPr>
        <xdr:cNvSpPr>
          <a:spLocks noChangeShapeType="1"/>
        </xdr:cNvSpPr>
      </xdr:nvSpPr>
      <xdr:spPr bwMode="auto">
        <a:xfrm>
          <a:off x="0" y="2552700"/>
          <a:ext cx="0" cy="15240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15</xdr:row>
      <xdr:rowOff>123825</xdr:rowOff>
    </xdr:from>
    <xdr:to>
      <xdr:col>0</xdr:col>
      <xdr:colOff>0</xdr:colOff>
      <xdr:row>16</xdr:row>
      <xdr:rowOff>114300</xdr:rowOff>
    </xdr:to>
    <xdr:sp macro="" textlink="">
      <xdr:nvSpPr>
        <xdr:cNvPr id="68616" name="Line 404757">
          <a:extLst>
            <a:ext uri="{FF2B5EF4-FFF2-40B4-BE49-F238E27FC236}">
              <a16:creationId xmlns:a16="http://schemas.microsoft.com/office/drawing/2014/main" id="{00000000-0008-0000-0200-0000080C0100}"/>
            </a:ext>
          </a:extLst>
        </xdr:cNvPr>
        <xdr:cNvSpPr>
          <a:spLocks noChangeShapeType="1"/>
        </xdr:cNvSpPr>
      </xdr:nvSpPr>
      <xdr:spPr bwMode="auto">
        <a:xfrm>
          <a:off x="0" y="2552700"/>
          <a:ext cx="0" cy="15240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15</xdr:row>
      <xdr:rowOff>123825</xdr:rowOff>
    </xdr:from>
    <xdr:to>
      <xdr:col>0</xdr:col>
      <xdr:colOff>0</xdr:colOff>
      <xdr:row>16</xdr:row>
      <xdr:rowOff>114300</xdr:rowOff>
    </xdr:to>
    <xdr:sp macro="" textlink="">
      <xdr:nvSpPr>
        <xdr:cNvPr id="68617" name="Line 404787">
          <a:extLst>
            <a:ext uri="{FF2B5EF4-FFF2-40B4-BE49-F238E27FC236}">
              <a16:creationId xmlns:a16="http://schemas.microsoft.com/office/drawing/2014/main" id="{00000000-0008-0000-0200-0000090C0100}"/>
            </a:ext>
          </a:extLst>
        </xdr:cNvPr>
        <xdr:cNvSpPr>
          <a:spLocks noChangeShapeType="1"/>
        </xdr:cNvSpPr>
      </xdr:nvSpPr>
      <xdr:spPr bwMode="auto">
        <a:xfrm>
          <a:off x="0" y="2552700"/>
          <a:ext cx="0" cy="15240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15</xdr:row>
      <xdr:rowOff>123825</xdr:rowOff>
    </xdr:from>
    <xdr:to>
      <xdr:col>0</xdr:col>
      <xdr:colOff>0</xdr:colOff>
      <xdr:row>16</xdr:row>
      <xdr:rowOff>114300</xdr:rowOff>
    </xdr:to>
    <xdr:sp macro="" textlink="">
      <xdr:nvSpPr>
        <xdr:cNvPr id="68618" name="Line 404991">
          <a:extLst>
            <a:ext uri="{FF2B5EF4-FFF2-40B4-BE49-F238E27FC236}">
              <a16:creationId xmlns:a16="http://schemas.microsoft.com/office/drawing/2014/main" id="{00000000-0008-0000-0200-00000A0C0100}"/>
            </a:ext>
          </a:extLst>
        </xdr:cNvPr>
        <xdr:cNvSpPr>
          <a:spLocks noChangeShapeType="1"/>
        </xdr:cNvSpPr>
      </xdr:nvSpPr>
      <xdr:spPr bwMode="auto">
        <a:xfrm>
          <a:off x="0" y="2552700"/>
          <a:ext cx="0" cy="15240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15</xdr:row>
      <xdr:rowOff>123825</xdr:rowOff>
    </xdr:from>
    <xdr:to>
      <xdr:col>0</xdr:col>
      <xdr:colOff>0</xdr:colOff>
      <xdr:row>16</xdr:row>
      <xdr:rowOff>114300</xdr:rowOff>
    </xdr:to>
    <xdr:sp macro="" textlink="">
      <xdr:nvSpPr>
        <xdr:cNvPr id="68619" name="Line 405017">
          <a:extLst>
            <a:ext uri="{FF2B5EF4-FFF2-40B4-BE49-F238E27FC236}">
              <a16:creationId xmlns:a16="http://schemas.microsoft.com/office/drawing/2014/main" id="{00000000-0008-0000-0200-00000B0C0100}"/>
            </a:ext>
          </a:extLst>
        </xdr:cNvPr>
        <xdr:cNvSpPr>
          <a:spLocks noChangeShapeType="1"/>
        </xdr:cNvSpPr>
      </xdr:nvSpPr>
      <xdr:spPr bwMode="auto">
        <a:xfrm>
          <a:off x="0" y="2552700"/>
          <a:ext cx="0" cy="15240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15</xdr:row>
      <xdr:rowOff>123825</xdr:rowOff>
    </xdr:from>
    <xdr:to>
      <xdr:col>0</xdr:col>
      <xdr:colOff>0</xdr:colOff>
      <xdr:row>16</xdr:row>
      <xdr:rowOff>114300</xdr:rowOff>
    </xdr:to>
    <xdr:sp macro="" textlink="">
      <xdr:nvSpPr>
        <xdr:cNvPr id="68620" name="Line 405221">
          <a:extLst>
            <a:ext uri="{FF2B5EF4-FFF2-40B4-BE49-F238E27FC236}">
              <a16:creationId xmlns:a16="http://schemas.microsoft.com/office/drawing/2014/main" id="{00000000-0008-0000-0200-00000C0C0100}"/>
            </a:ext>
          </a:extLst>
        </xdr:cNvPr>
        <xdr:cNvSpPr>
          <a:spLocks noChangeShapeType="1"/>
        </xdr:cNvSpPr>
      </xdr:nvSpPr>
      <xdr:spPr bwMode="auto">
        <a:xfrm>
          <a:off x="0" y="2552700"/>
          <a:ext cx="0" cy="15240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15</xdr:row>
      <xdr:rowOff>123825</xdr:rowOff>
    </xdr:from>
    <xdr:to>
      <xdr:col>0</xdr:col>
      <xdr:colOff>0</xdr:colOff>
      <xdr:row>16</xdr:row>
      <xdr:rowOff>114300</xdr:rowOff>
    </xdr:to>
    <xdr:sp macro="" textlink="">
      <xdr:nvSpPr>
        <xdr:cNvPr id="68621" name="Line 405247">
          <a:extLst>
            <a:ext uri="{FF2B5EF4-FFF2-40B4-BE49-F238E27FC236}">
              <a16:creationId xmlns:a16="http://schemas.microsoft.com/office/drawing/2014/main" id="{00000000-0008-0000-0200-00000D0C0100}"/>
            </a:ext>
          </a:extLst>
        </xdr:cNvPr>
        <xdr:cNvSpPr>
          <a:spLocks noChangeShapeType="1"/>
        </xdr:cNvSpPr>
      </xdr:nvSpPr>
      <xdr:spPr bwMode="auto">
        <a:xfrm>
          <a:off x="0" y="2552700"/>
          <a:ext cx="0" cy="15240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15</xdr:row>
      <xdr:rowOff>123825</xdr:rowOff>
    </xdr:from>
    <xdr:to>
      <xdr:col>0</xdr:col>
      <xdr:colOff>0</xdr:colOff>
      <xdr:row>16</xdr:row>
      <xdr:rowOff>114300</xdr:rowOff>
    </xdr:to>
    <xdr:sp macro="" textlink="">
      <xdr:nvSpPr>
        <xdr:cNvPr id="68622" name="Line 405473">
          <a:extLst>
            <a:ext uri="{FF2B5EF4-FFF2-40B4-BE49-F238E27FC236}">
              <a16:creationId xmlns:a16="http://schemas.microsoft.com/office/drawing/2014/main" id="{00000000-0008-0000-0200-00000E0C0100}"/>
            </a:ext>
          </a:extLst>
        </xdr:cNvPr>
        <xdr:cNvSpPr>
          <a:spLocks noChangeShapeType="1"/>
        </xdr:cNvSpPr>
      </xdr:nvSpPr>
      <xdr:spPr bwMode="auto">
        <a:xfrm>
          <a:off x="0" y="2552700"/>
          <a:ext cx="0" cy="15240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15</xdr:row>
      <xdr:rowOff>123825</xdr:rowOff>
    </xdr:from>
    <xdr:to>
      <xdr:col>0</xdr:col>
      <xdr:colOff>0</xdr:colOff>
      <xdr:row>17</xdr:row>
      <xdr:rowOff>28575</xdr:rowOff>
    </xdr:to>
    <xdr:sp macro="" textlink="">
      <xdr:nvSpPr>
        <xdr:cNvPr id="68623" name="Line 425132">
          <a:extLst>
            <a:ext uri="{FF2B5EF4-FFF2-40B4-BE49-F238E27FC236}">
              <a16:creationId xmlns:a16="http://schemas.microsoft.com/office/drawing/2014/main" id="{00000000-0008-0000-0200-00000F0C0100}"/>
            </a:ext>
          </a:extLst>
        </xdr:cNvPr>
        <xdr:cNvSpPr>
          <a:spLocks noChangeShapeType="1"/>
        </xdr:cNvSpPr>
      </xdr:nvSpPr>
      <xdr:spPr bwMode="auto">
        <a:xfrm>
          <a:off x="0" y="2552700"/>
          <a:ext cx="0" cy="228600"/>
        </a:xfrm>
        <a:prstGeom prst="line">
          <a:avLst/>
        </a:prstGeom>
        <a:noFill/>
        <a:ln w="1905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sp macro="[0]!rajzmasol" textlink="">
      <xdr:nvSpPr>
        <xdr:cNvPr id="1492547" name="Text Box 978499">
          <a:extLst>
            <a:ext uri="{FF2B5EF4-FFF2-40B4-BE49-F238E27FC236}">
              <a16:creationId xmlns:a16="http://schemas.microsoft.com/office/drawing/2014/main" id="{00000000-0008-0000-0200-000043C61600}"/>
            </a:ext>
          </a:extLst>
        </xdr:cNvPr>
        <xdr:cNvSpPr txBox="1">
          <a:spLocks noChangeArrowheads="1"/>
        </xdr:cNvSpPr>
      </xdr:nvSpPr>
      <xdr:spPr bwMode="auto">
        <a:xfrm>
          <a:off x="0" y="323850"/>
          <a:ext cx="466725" cy="16192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hu-HU" sz="1000" b="0" i="0" strike="noStrike">
              <a:solidFill>
                <a:srgbClr val="000000"/>
              </a:solidFill>
              <a:latin typeface="Arial"/>
              <a:cs typeface="Arial"/>
            </a:rPr>
            <a:t>Copy</a:t>
          </a:r>
        </a:p>
      </xdr:txBody>
    </xdr:sp>
    <xdr:clientData/>
  </xdr:twoCellAnchor>
  <xdr:twoCellAnchor>
    <xdr:from>
      <xdr:col>2</xdr:col>
      <xdr:colOff>82550</xdr:colOff>
      <xdr:row>5</xdr:row>
      <xdr:rowOff>79375</xdr:rowOff>
    </xdr:from>
    <xdr:to>
      <xdr:col>3</xdr:col>
      <xdr:colOff>177800</xdr:colOff>
      <xdr:row>8</xdr:row>
      <xdr:rowOff>60960</xdr:rowOff>
    </xdr:to>
    <xdr:cxnSp macro="">
      <xdr:nvCxnSpPr>
        <xdr:cNvPr id="1495123" name="Straight Connector 1495122">
          <a:extLst>
            <a:ext uri="{FF2B5EF4-FFF2-40B4-BE49-F238E27FC236}">
              <a16:creationId xmlns:a16="http://schemas.microsoft.com/office/drawing/2014/main" id="{8B282BE5-A115-0EBE-E49B-F5B3676FFA32}"/>
            </a:ext>
          </a:extLst>
        </xdr:cNvPr>
        <xdr:cNvCxnSpPr/>
      </xdr:nvCxnSpPr>
      <xdr:spPr bwMode="auto">
        <a:xfrm flipV="1">
          <a:off x="749300" y="889000"/>
          <a:ext cx="342900" cy="4673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</xdr:col>
      <xdr:colOff>177800</xdr:colOff>
      <xdr:row>5</xdr:row>
      <xdr:rowOff>79375</xdr:rowOff>
    </xdr:from>
    <xdr:to>
      <xdr:col>3</xdr:col>
      <xdr:colOff>177800</xdr:colOff>
      <xdr:row>15</xdr:row>
      <xdr:rowOff>111125</xdr:rowOff>
    </xdr:to>
    <xdr:cxnSp macro="">
      <xdr:nvCxnSpPr>
        <xdr:cNvPr id="1495124" name="Straight Connector 1495123">
          <a:extLst>
            <a:ext uri="{FF2B5EF4-FFF2-40B4-BE49-F238E27FC236}">
              <a16:creationId xmlns:a16="http://schemas.microsoft.com/office/drawing/2014/main" id="{D2FD6615-1556-2E3F-E8B7-93B6ABA610F4}"/>
            </a:ext>
          </a:extLst>
        </xdr:cNvPr>
        <xdr:cNvCxnSpPr/>
      </xdr:nvCxnSpPr>
      <xdr:spPr bwMode="auto">
        <a:xfrm>
          <a:off x="1092200" y="889000"/>
          <a:ext cx="0" cy="1651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</xdr:col>
      <xdr:colOff>152400</xdr:colOff>
      <xdr:row>15</xdr:row>
      <xdr:rowOff>9525</xdr:rowOff>
    </xdr:from>
    <xdr:to>
      <xdr:col>3</xdr:col>
      <xdr:colOff>177800</xdr:colOff>
      <xdr:row>15</xdr:row>
      <xdr:rowOff>111125</xdr:rowOff>
    </xdr:to>
    <xdr:cxnSp macro="">
      <xdr:nvCxnSpPr>
        <xdr:cNvPr id="1495125" name="Straight Connector 1495124">
          <a:extLst>
            <a:ext uri="{FF2B5EF4-FFF2-40B4-BE49-F238E27FC236}">
              <a16:creationId xmlns:a16="http://schemas.microsoft.com/office/drawing/2014/main" id="{FCF8A1BD-78DC-B99A-3A31-50752E5A303B}"/>
            </a:ext>
          </a:extLst>
        </xdr:cNvPr>
        <xdr:cNvCxnSpPr/>
      </xdr:nvCxnSpPr>
      <xdr:spPr bwMode="auto">
        <a:xfrm>
          <a:off x="10668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</xdr:col>
      <xdr:colOff>177800</xdr:colOff>
      <xdr:row>15</xdr:row>
      <xdr:rowOff>9525</xdr:rowOff>
    </xdr:from>
    <xdr:to>
      <xdr:col>3</xdr:col>
      <xdr:colOff>203200</xdr:colOff>
      <xdr:row>15</xdr:row>
      <xdr:rowOff>111125</xdr:rowOff>
    </xdr:to>
    <xdr:cxnSp macro="">
      <xdr:nvCxnSpPr>
        <xdr:cNvPr id="1495126" name="Straight Connector 1495125">
          <a:extLst>
            <a:ext uri="{FF2B5EF4-FFF2-40B4-BE49-F238E27FC236}">
              <a16:creationId xmlns:a16="http://schemas.microsoft.com/office/drawing/2014/main" id="{EE51A474-68F2-10A7-4C75-FD666FC8B2EC}"/>
            </a:ext>
          </a:extLst>
        </xdr:cNvPr>
        <xdr:cNvCxnSpPr/>
      </xdr:nvCxnSpPr>
      <xdr:spPr bwMode="auto">
        <a:xfrm flipH="1">
          <a:off x="10922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82550</xdr:colOff>
      <xdr:row>12</xdr:row>
      <xdr:rowOff>129540</xdr:rowOff>
    </xdr:from>
    <xdr:to>
      <xdr:col>3</xdr:col>
      <xdr:colOff>177800</xdr:colOff>
      <xdr:row>15</xdr:row>
      <xdr:rowOff>111125</xdr:rowOff>
    </xdr:to>
    <xdr:cxnSp macro="">
      <xdr:nvCxnSpPr>
        <xdr:cNvPr id="1495127" name="Straight Connector 1495126">
          <a:extLst>
            <a:ext uri="{FF2B5EF4-FFF2-40B4-BE49-F238E27FC236}">
              <a16:creationId xmlns:a16="http://schemas.microsoft.com/office/drawing/2014/main" id="{B36A55BC-D5A0-0C1E-4AB4-AB593AE12C85}"/>
            </a:ext>
          </a:extLst>
        </xdr:cNvPr>
        <xdr:cNvCxnSpPr/>
      </xdr:nvCxnSpPr>
      <xdr:spPr bwMode="auto">
        <a:xfrm flipH="1" flipV="1">
          <a:off x="749300" y="2072640"/>
          <a:ext cx="342900" cy="4673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</xdr:col>
      <xdr:colOff>127000</xdr:colOff>
      <xdr:row>5</xdr:row>
      <xdr:rowOff>79375</xdr:rowOff>
    </xdr:from>
    <xdr:to>
      <xdr:col>4</xdr:col>
      <xdr:colOff>196850</xdr:colOff>
      <xdr:row>8</xdr:row>
      <xdr:rowOff>101600</xdr:rowOff>
    </xdr:to>
    <xdr:cxnSp macro="">
      <xdr:nvCxnSpPr>
        <xdr:cNvPr id="1495128" name="Straight Connector 1495127">
          <a:extLst>
            <a:ext uri="{FF2B5EF4-FFF2-40B4-BE49-F238E27FC236}">
              <a16:creationId xmlns:a16="http://schemas.microsoft.com/office/drawing/2014/main" id="{AC002B06-B852-3C9F-58D3-DF7DF0FEE281}"/>
            </a:ext>
          </a:extLst>
        </xdr:cNvPr>
        <xdr:cNvCxnSpPr/>
      </xdr:nvCxnSpPr>
      <xdr:spPr bwMode="auto">
        <a:xfrm flipV="1">
          <a:off x="1041400" y="889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196850</xdr:colOff>
      <xdr:row>5</xdr:row>
      <xdr:rowOff>79375</xdr:rowOff>
    </xdr:from>
    <xdr:to>
      <xdr:col>4</xdr:col>
      <xdr:colOff>196850</xdr:colOff>
      <xdr:row>15</xdr:row>
      <xdr:rowOff>111125</xdr:rowOff>
    </xdr:to>
    <xdr:cxnSp macro="">
      <xdr:nvCxnSpPr>
        <xdr:cNvPr id="1495129" name="Straight Connector 1495128">
          <a:extLst>
            <a:ext uri="{FF2B5EF4-FFF2-40B4-BE49-F238E27FC236}">
              <a16:creationId xmlns:a16="http://schemas.microsoft.com/office/drawing/2014/main" id="{9BF8DC24-480D-6313-851C-58A7D0A998C3}"/>
            </a:ext>
          </a:extLst>
        </xdr:cNvPr>
        <xdr:cNvCxnSpPr/>
      </xdr:nvCxnSpPr>
      <xdr:spPr bwMode="auto">
        <a:xfrm>
          <a:off x="1358900" y="889000"/>
          <a:ext cx="0" cy="1651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171450</xdr:colOff>
      <xdr:row>15</xdr:row>
      <xdr:rowOff>9525</xdr:rowOff>
    </xdr:from>
    <xdr:to>
      <xdr:col>4</xdr:col>
      <xdr:colOff>196850</xdr:colOff>
      <xdr:row>15</xdr:row>
      <xdr:rowOff>111125</xdr:rowOff>
    </xdr:to>
    <xdr:cxnSp macro="">
      <xdr:nvCxnSpPr>
        <xdr:cNvPr id="1495130" name="Straight Connector 1495129">
          <a:extLst>
            <a:ext uri="{FF2B5EF4-FFF2-40B4-BE49-F238E27FC236}">
              <a16:creationId xmlns:a16="http://schemas.microsoft.com/office/drawing/2014/main" id="{4B5BFE8E-3902-FC74-31A1-889A0E7ECD92}"/>
            </a:ext>
          </a:extLst>
        </xdr:cNvPr>
        <xdr:cNvCxnSpPr/>
      </xdr:nvCxnSpPr>
      <xdr:spPr bwMode="auto">
        <a:xfrm>
          <a:off x="13335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196850</xdr:colOff>
      <xdr:row>15</xdr:row>
      <xdr:rowOff>9525</xdr:rowOff>
    </xdr:from>
    <xdr:to>
      <xdr:col>4</xdr:col>
      <xdr:colOff>222250</xdr:colOff>
      <xdr:row>15</xdr:row>
      <xdr:rowOff>111125</xdr:rowOff>
    </xdr:to>
    <xdr:cxnSp macro="">
      <xdr:nvCxnSpPr>
        <xdr:cNvPr id="1495131" name="Straight Connector 1495130">
          <a:extLst>
            <a:ext uri="{FF2B5EF4-FFF2-40B4-BE49-F238E27FC236}">
              <a16:creationId xmlns:a16="http://schemas.microsoft.com/office/drawing/2014/main" id="{DBAA7C0B-5D0D-E545-F49A-6AC6D7964CC4}"/>
            </a:ext>
          </a:extLst>
        </xdr:cNvPr>
        <xdr:cNvCxnSpPr/>
      </xdr:nvCxnSpPr>
      <xdr:spPr bwMode="auto">
        <a:xfrm flipH="1">
          <a:off x="13589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</xdr:col>
      <xdr:colOff>127000</xdr:colOff>
      <xdr:row>12</xdr:row>
      <xdr:rowOff>88900</xdr:rowOff>
    </xdr:from>
    <xdr:to>
      <xdr:col>4</xdr:col>
      <xdr:colOff>196850</xdr:colOff>
      <xdr:row>15</xdr:row>
      <xdr:rowOff>111125</xdr:rowOff>
    </xdr:to>
    <xdr:cxnSp macro="">
      <xdr:nvCxnSpPr>
        <xdr:cNvPr id="1495132" name="Straight Connector 1495131">
          <a:extLst>
            <a:ext uri="{FF2B5EF4-FFF2-40B4-BE49-F238E27FC236}">
              <a16:creationId xmlns:a16="http://schemas.microsoft.com/office/drawing/2014/main" id="{AC156FA4-DDD0-6B2A-F7C0-DD362E22FFE5}"/>
            </a:ext>
          </a:extLst>
        </xdr:cNvPr>
        <xdr:cNvCxnSpPr/>
      </xdr:nvCxnSpPr>
      <xdr:spPr bwMode="auto">
        <a:xfrm flipH="1" flipV="1">
          <a:off x="1041400" y="2032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</xdr:col>
      <xdr:colOff>127000</xdr:colOff>
      <xdr:row>8</xdr:row>
      <xdr:rowOff>101600</xdr:rowOff>
    </xdr:from>
    <xdr:to>
      <xdr:col>3</xdr:col>
      <xdr:colOff>127000</xdr:colOff>
      <xdr:row>12</xdr:row>
      <xdr:rowOff>88900</xdr:rowOff>
    </xdr:to>
    <xdr:cxnSp macro="">
      <xdr:nvCxnSpPr>
        <xdr:cNvPr id="1495133" name="Straight Connector 1495132">
          <a:extLst>
            <a:ext uri="{FF2B5EF4-FFF2-40B4-BE49-F238E27FC236}">
              <a16:creationId xmlns:a16="http://schemas.microsoft.com/office/drawing/2014/main" id="{D3497624-8210-B37E-C26D-445CDD3A9E5C}"/>
            </a:ext>
          </a:extLst>
        </xdr:cNvPr>
        <xdr:cNvCxnSpPr/>
      </xdr:nvCxnSpPr>
      <xdr:spPr bwMode="auto">
        <a:xfrm flipV="1">
          <a:off x="1041400" y="1397000"/>
          <a:ext cx="0" cy="635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</xdr:col>
      <xdr:colOff>101600</xdr:colOff>
      <xdr:row>8</xdr:row>
      <xdr:rowOff>101600</xdr:rowOff>
    </xdr:from>
    <xdr:to>
      <xdr:col>3</xdr:col>
      <xdr:colOff>127000</xdr:colOff>
      <xdr:row>9</xdr:row>
      <xdr:rowOff>41275</xdr:rowOff>
    </xdr:to>
    <xdr:cxnSp macro="">
      <xdr:nvCxnSpPr>
        <xdr:cNvPr id="1495134" name="Straight Connector 1495133">
          <a:extLst>
            <a:ext uri="{FF2B5EF4-FFF2-40B4-BE49-F238E27FC236}">
              <a16:creationId xmlns:a16="http://schemas.microsoft.com/office/drawing/2014/main" id="{3F32F592-1E23-51BB-48BA-93A5748F538A}"/>
            </a:ext>
          </a:extLst>
        </xdr:cNvPr>
        <xdr:cNvCxnSpPr/>
      </xdr:nvCxnSpPr>
      <xdr:spPr bwMode="auto">
        <a:xfrm flipV="1">
          <a:off x="10160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</xdr:col>
      <xdr:colOff>127000</xdr:colOff>
      <xdr:row>8</xdr:row>
      <xdr:rowOff>101600</xdr:rowOff>
    </xdr:from>
    <xdr:to>
      <xdr:col>3</xdr:col>
      <xdr:colOff>152400</xdr:colOff>
      <xdr:row>9</xdr:row>
      <xdr:rowOff>41275</xdr:rowOff>
    </xdr:to>
    <xdr:cxnSp macro="">
      <xdr:nvCxnSpPr>
        <xdr:cNvPr id="1495135" name="Straight Connector 1495134">
          <a:extLst>
            <a:ext uri="{FF2B5EF4-FFF2-40B4-BE49-F238E27FC236}">
              <a16:creationId xmlns:a16="http://schemas.microsoft.com/office/drawing/2014/main" id="{F8DC26C5-F679-2B8B-F798-661BA0C167E7}"/>
            </a:ext>
          </a:extLst>
        </xdr:cNvPr>
        <xdr:cNvCxnSpPr/>
      </xdr:nvCxnSpPr>
      <xdr:spPr bwMode="auto">
        <a:xfrm flipH="1" flipV="1">
          <a:off x="10414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</xdr:col>
      <xdr:colOff>19050</xdr:colOff>
      <xdr:row>9</xdr:row>
      <xdr:rowOff>111125</xdr:rowOff>
    </xdr:from>
    <xdr:to>
      <xdr:col>4</xdr:col>
      <xdr:colOff>38100</xdr:colOff>
      <xdr:row>9</xdr:row>
      <xdr:rowOff>111125</xdr:rowOff>
    </xdr:to>
    <xdr:cxnSp macro="">
      <xdr:nvCxnSpPr>
        <xdr:cNvPr id="1495136" name="Straight Connector 1495135">
          <a:extLst>
            <a:ext uri="{FF2B5EF4-FFF2-40B4-BE49-F238E27FC236}">
              <a16:creationId xmlns:a16="http://schemas.microsoft.com/office/drawing/2014/main" id="{916DF13E-AA02-FA60-22E6-F4777E01F3DA}"/>
            </a:ext>
          </a:extLst>
        </xdr:cNvPr>
        <xdr:cNvCxnSpPr/>
      </xdr:nvCxnSpPr>
      <xdr:spPr bwMode="auto">
        <a:xfrm>
          <a:off x="933450" y="15684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38100</xdr:colOff>
      <xdr:row>9</xdr:row>
      <xdr:rowOff>111125</xdr:rowOff>
    </xdr:from>
    <xdr:to>
      <xdr:col>4</xdr:col>
      <xdr:colOff>38100</xdr:colOff>
      <xdr:row>11</xdr:row>
      <xdr:rowOff>79375</xdr:rowOff>
    </xdr:to>
    <xdr:cxnSp macro="">
      <xdr:nvCxnSpPr>
        <xdr:cNvPr id="1495137" name="Straight Connector 1495136">
          <a:extLst>
            <a:ext uri="{FF2B5EF4-FFF2-40B4-BE49-F238E27FC236}">
              <a16:creationId xmlns:a16="http://schemas.microsoft.com/office/drawing/2014/main" id="{5E6B4913-DF65-B8AA-AD48-C6740B55881E}"/>
            </a:ext>
          </a:extLst>
        </xdr:cNvPr>
        <xdr:cNvCxnSpPr/>
      </xdr:nvCxnSpPr>
      <xdr:spPr bwMode="auto">
        <a:xfrm>
          <a:off x="1200150" y="1568450"/>
          <a:ext cx="0" cy="2921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</xdr:col>
      <xdr:colOff>19050</xdr:colOff>
      <xdr:row>11</xdr:row>
      <xdr:rowOff>79375</xdr:rowOff>
    </xdr:from>
    <xdr:to>
      <xdr:col>4</xdr:col>
      <xdr:colOff>38100</xdr:colOff>
      <xdr:row>11</xdr:row>
      <xdr:rowOff>79375</xdr:rowOff>
    </xdr:to>
    <xdr:cxnSp macro="">
      <xdr:nvCxnSpPr>
        <xdr:cNvPr id="1248448" name="Straight Connector 1248447">
          <a:extLst>
            <a:ext uri="{FF2B5EF4-FFF2-40B4-BE49-F238E27FC236}">
              <a16:creationId xmlns:a16="http://schemas.microsoft.com/office/drawing/2014/main" id="{8EF5B3C8-0D54-8019-B929-94E7028BDA87}"/>
            </a:ext>
          </a:extLst>
        </xdr:cNvPr>
        <xdr:cNvCxnSpPr/>
      </xdr:nvCxnSpPr>
      <xdr:spPr bwMode="auto">
        <a:xfrm flipH="1">
          <a:off x="933450" y="18605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</xdr:col>
      <xdr:colOff>19050</xdr:colOff>
      <xdr:row>9</xdr:row>
      <xdr:rowOff>111125</xdr:rowOff>
    </xdr:from>
    <xdr:to>
      <xdr:col>3</xdr:col>
      <xdr:colOff>19050</xdr:colOff>
      <xdr:row>11</xdr:row>
      <xdr:rowOff>79375</xdr:rowOff>
    </xdr:to>
    <xdr:cxnSp macro="">
      <xdr:nvCxnSpPr>
        <xdr:cNvPr id="1248449" name="Straight Connector 1248448">
          <a:extLst>
            <a:ext uri="{FF2B5EF4-FFF2-40B4-BE49-F238E27FC236}">
              <a16:creationId xmlns:a16="http://schemas.microsoft.com/office/drawing/2014/main" id="{0FD810D6-1F16-AD6C-60CB-21B8E6947DD3}"/>
            </a:ext>
          </a:extLst>
        </xdr:cNvPr>
        <xdr:cNvCxnSpPr/>
      </xdr:nvCxnSpPr>
      <xdr:spPr bwMode="auto">
        <a:xfrm flipV="1">
          <a:off x="933450" y="1568450"/>
          <a:ext cx="0" cy="2921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146050</xdr:colOff>
      <xdr:row>5</xdr:row>
      <xdr:rowOff>79375</xdr:rowOff>
    </xdr:from>
    <xdr:to>
      <xdr:col>5</xdr:col>
      <xdr:colOff>215900</xdr:colOff>
      <xdr:row>8</xdr:row>
      <xdr:rowOff>101600</xdr:rowOff>
    </xdr:to>
    <xdr:cxnSp macro="">
      <xdr:nvCxnSpPr>
        <xdr:cNvPr id="1248450" name="Straight Connector 1248449">
          <a:extLst>
            <a:ext uri="{FF2B5EF4-FFF2-40B4-BE49-F238E27FC236}">
              <a16:creationId xmlns:a16="http://schemas.microsoft.com/office/drawing/2014/main" id="{AD88DD49-64B5-E16A-43DF-6F1AE179358C}"/>
            </a:ext>
          </a:extLst>
        </xdr:cNvPr>
        <xdr:cNvCxnSpPr/>
      </xdr:nvCxnSpPr>
      <xdr:spPr bwMode="auto">
        <a:xfrm flipV="1">
          <a:off x="1308100" y="889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215900</xdr:colOff>
      <xdr:row>5</xdr:row>
      <xdr:rowOff>79375</xdr:rowOff>
    </xdr:from>
    <xdr:to>
      <xdr:col>5</xdr:col>
      <xdr:colOff>215900</xdr:colOff>
      <xdr:row>15</xdr:row>
      <xdr:rowOff>111125</xdr:rowOff>
    </xdr:to>
    <xdr:cxnSp macro="">
      <xdr:nvCxnSpPr>
        <xdr:cNvPr id="1248451" name="Straight Connector 1248450">
          <a:extLst>
            <a:ext uri="{FF2B5EF4-FFF2-40B4-BE49-F238E27FC236}">
              <a16:creationId xmlns:a16="http://schemas.microsoft.com/office/drawing/2014/main" id="{27E21F2B-7D4A-68B8-0EAC-BBB2A10C33F8}"/>
            </a:ext>
          </a:extLst>
        </xdr:cNvPr>
        <xdr:cNvCxnSpPr/>
      </xdr:nvCxnSpPr>
      <xdr:spPr bwMode="auto">
        <a:xfrm>
          <a:off x="1625600" y="889000"/>
          <a:ext cx="0" cy="1651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190500</xdr:colOff>
      <xdr:row>15</xdr:row>
      <xdr:rowOff>9525</xdr:rowOff>
    </xdr:from>
    <xdr:to>
      <xdr:col>5</xdr:col>
      <xdr:colOff>215900</xdr:colOff>
      <xdr:row>15</xdr:row>
      <xdr:rowOff>111125</xdr:rowOff>
    </xdr:to>
    <xdr:cxnSp macro="">
      <xdr:nvCxnSpPr>
        <xdr:cNvPr id="1248452" name="Straight Connector 1248451">
          <a:extLst>
            <a:ext uri="{FF2B5EF4-FFF2-40B4-BE49-F238E27FC236}">
              <a16:creationId xmlns:a16="http://schemas.microsoft.com/office/drawing/2014/main" id="{57173E72-3795-DDA3-D23C-0BC23D34A9D9}"/>
            </a:ext>
          </a:extLst>
        </xdr:cNvPr>
        <xdr:cNvCxnSpPr/>
      </xdr:nvCxnSpPr>
      <xdr:spPr bwMode="auto">
        <a:xfrm>
          <a:off x="16002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215900</xdr:colOff>
      <xdr:row>15</xdr:row>
      <xdr:rowOff>9525</xdr:rowOff>
    </xdr:from>
    <xdr:to>
      <xdr:col>5</xdr:col>
      <xdr:colOff>241300</xdr:colOff>
      <xdr:row>15</xdr:row>
      <xdr:rowOff>111125</xdr:rowOff>
    </xdr:to>
    <xdr:cxnSp macro="">
      <xdr:nvCxnSpPr>
        <xdr:cNvPr id="1248453" name="Straight Connector 1248452">
          <a:extLst>
            <a:ext uri="{FF2B5EF4-FFF2-40B4-BE49-F238E27FC236}">
              <a16:creationId xmlns:a16="http://schemas.microsoft.com/office/drawing/2014/main" id="{A4E978D5-058B-AC63-56C4-639FC6389F34}"/>
            </a:ext>
          </a:extLst>
        </xdr:cNvPr>
        <xdr:cNvCxnSpPr/>
      </xdr:nvCxnSpPr>
      <xdr:spPr bwMode="auto">
        <a:xfrm flipH="1">
          <a:off x="16256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146050</xdr:colOff>
      <xdr:row>12</xdr:row>
      <xdr:rowOff>88900</xdr:rowOff>
    </xdr:from>
    <xdr:to>
      <xdr:col>5</xdr:col>
      <xdr:colOff>215900</xdr:colOff>
      <xdr:row>15</xdr:row>
      <xdr:rowOff>111125</xdr:rowOff>
    </xdr:to>
    <xdr:cxnSp macro="">
      <xdr:nvCxnSpPr>
        <xdr:cNvPr id="1248454" name="Straight Connector 1248453">
          <a:extLst>
            <a:ext uri="{FF2B5EF4-FFF2-40B4-BE49-F238E27FC236}">
              <a16:creationId xmlns:a16="http://schemas.microsoft.com/office/drawing/2014/main" id="{37222875-23E6-4290-41C2-39C6A649ED8F}"/>
            </a:ext>
          </a:extLst>
        </xdr:cNvPr>
        <xdr:cNvCxnSpPr/>
      </xdr:nvCxnSpPr>
      <xdr:spPr bwMode="auto">
        <a:xfrm flipH="1" flipV="1">
          <a:off x="1308100" y="2032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146050</xdr:colOff>
      <xdr:row>8</xdr:row>
      <xdr:rowOff>101600</xdr:rowOff>
    </xdr:from>
    <xdr:to>
      <xdr:col>4</xdr:col>
      <xdr:colOff>146050</xdr:colOff>
      <xdr:row>12</xdr:row>
      <xdr:rowOff>88900</xdr:rowOff>
    </xdr:to>
    <xdr:cxnSp macro="">
      <xdr:nvCxnSpPr>
        <xdr:cNvPr id="1248455" name="Straight Connector 1248454">
          <a:extLst>
            <a:ext uri="{FF2B5EF4-FFF2-40B4-BE49-F238E27FC236}">
              <a16:creationId xmlns:a16="http://schemas.microsoft.com/office/drawing/2014/main" id="{0E88AEC4-26B9-A475-B4C8-B40AF617D1B5}"/>
            </a:ext>
          </a:extLst>
        </xdr:cNvPr>
        <xdr:cNvCxnSpPr/>
      </xdr:nvCxnSpPr>
      <xdr:spPr bwMode="auto">
        <a:xfrm flipV="1">
          <a:off x="1308100" y="1397000"/>
          <a:ext cx="0" cy="635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120650</xdr:colOff>
      <xdr:row>8</xdr:row>
      <xdr:rowOff>101600</xdr:rowOff>
    </xdr:from>
    <xdr:to>
      <xdr:col>4</xdr:col>
      <xdr:colOff>146050</xdr:colOff>
      <xdr:row>9</xdr:row>
      <xdr:rowOff>41275</xdr:rowOff>
    </xdr:to>
    <xdr:cxnSp macro="">
      <xdr:nvCxnSpPr>
        <xdr:cNvPr id="1248456" name="Straight Connector 1248455">
          <a:extLst>
            <a:ext uri="{FF2B5EF4-FFF2-40B4-BE49-F238E27FC236}">
              <a16:creationId xmlns:a16="http://schemas.microsoft.com/office/drawing/2014/main" id="{4DEDB4F9-D125-8AF2-44A8-D216AAB91EFB}"/>
            </a:ext>
          </a:extLst>
        </xdr:cNvPr>
        <xdr:cNvCxnSpPr/>
      </xdr:nvCxnSpPr>
      <xdr:spPr bwMode="auto">
        <a:xfrm flipV="1">
          <a:off x="12827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146050</xdr:colOff>
      <xdr:row>8</xdr:row>
      <xdr:rowOff>101600</xdr:rowOff>
    </xdr:from>
    <xdr:to>
      <xdr:col>4</xdr:col>
      <xdr:colOff>171450</xdr:colOff>
      <xdr:row>9</xdr:row>
      <xdr:rowOff>41275</xdr:rowOff>
    </xdr:to>
    <xdr:cxnSp macro="">
      <xdr:nvCxnSpPr>
        <xdr:cNvPr id="1248457" name="Straight Connector 1248456">
          <a:extLst>
            <a:ext uri="{FF2B5EF4-FFF2-40B4-BE49-F238E27FC236}">
              <a16:creationId xmlns:a16="http://schemas.microsoft.com/office/drawing/2014/main" id="{A59B4344-B4BE-B8DE-17A3-FCE9AC66BEA3}"/>
            </a:ext>
          </a:extLst>
        </xdr:cNvPr>
        <xdr:cNvCxnSpPr/>
      </xdr:nvCxnSpPr>
      <xdr:spPr bwMode="auto">
        <a:xfrm flipH="1" flipV="1">
          <a:off x="13081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38100</xdr:colOff>
      <xdr:row>9</xdr:row>
      <xdr:rowOff>111125</xdr:rowOff>
    </xdr:from>
    <xdr:to>
      <xdr:col>5</xdr:col>
      <xdr:colOff>57150</xdr:colOff>
      <xdr:row>9</xdr:row>
      <xdr:rowOff>111125</xdr:rowOff>
    </xdr:to>
    <xdr:cxnSp macro="">
      <xdr:nvCxnSpPr>
        <xdr:cNvPr id="1248458" name="Straight Connector 1248457">
          <a:extLst>
            <a:ext uri="{FF2B5EF4-FFF2-40B4-BE49-F238E27FC236}">
              <a16:creationId xmlns:a16="http://schemas.microsoft.com/office/drawing/2014/main" id="{F66C1152-6DCF-D810-20C0-CAA0704C2851}"/>
            </a:ext>
          </a:extLst>
        </xdr:cNvPr>
        <xdr:cNvCxnSpPr/>
      </xdr:nvCxnSpPr>
      <xdr:spPr bwMode="auto">
        <a:xfrm>
          <a:off x="1200150" y="15684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57150</xdr:colOff>
      <xdr:row>9</xdr:row>
      <xdr:rowOff>111125</xdr:rowOff>
    </xdr:from>
    <xdr:to>
      <xdr:col>5</xdr:col>
      <xdr:colOff>57150</xdr:colOff>
      <xdr:row>11</xdr:row>
      <xdr:rowOff>79375</xdr:rowOff>
    </xdr:to>
    <xdr:cxnSp macro="">
      <xdr:nvCxnSpPr>
        <xdr:cNvPr id="1248459" name="Straight Connector 1248458">
          <a:extLst>
            <a:ext uri="{FF2B5EF4-FFF2-40B4-BE49-F238E27FC236}">
              <a16:creationId xmlns:a16="http://schemas.microsoft.com/office/drawing/2014/main" id="{237C9A69-3733-5619-FBB2-4C6E2D9094DF}"/>
            </a:ext>
          </a:extLst>
        </xdr:cNvPr>
        <xdr:cNvCxnSpPr/>
      </xdr:nvCxnSpPr>
      <xdr:spPr bwMode="auto">
        <a:xfrm>
          <a:off x="1466850" y="1568450"/>
          <a:ext cx="0" cy="2921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38100</xdr:colOff>
      <xdr:row>11</xdr:row>
      <xdr:rowOff>79375</xdr:rowOff>
    </xdr:from>
    <xdr:to>
      <xdr:col>5</xdr:col>
      <xdr:colOff>57150</xdr:colOff>
      <xdr:row>11</xdr:row>
      <xdr:rowOff>79375</xdr:rowOff>
    </xdr:to>
    <xdr:cxnSp macro="">
      <xdr:nvCxnSpPr>
        <xdr:cNvPr id="1248460" name="Straight Connector 1248459">
          <a:extLst>
            <a:ext uri="{FF2B5EF4-FFF2-40B4-BE49-F238E27FC236}">
              <a16:creationId xmlns:a16="http://schemas.microsoft.com/office/drawing/2014/main" id="{59637334-7D99-72D7-6DDA-3301A49C612B}"/>
            </a:ext>
          </a:extLst>
        </xdr:cNvPr>
        <xdr:cNvCxnSpPr/>
      </xdr:nvCxnSpPr>
      <xdr:spPr bwMode="auto">
        <a:xfrm flipH="1">
          <a:off x="1200150" y="18605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165100</xdr:colOff>
      <xdr:row>5</xdr:row>
      <xdr:rowOff>79375</xdr:rowOff>
    </xdr:from>
    <xdr:to>
      <xdr:col>6</xdr:col>
      <xdr:colOff>234950</xdr:colOff>
      <xdr:row>8</xdr:row>
      <xdr:rowOff>101600</xdr:rowOff>
    </xdr:to>
    <xdr:cxnSp macro="">
      <xdr:nvCxnSpPr>
        <xdr:cNvPr id="1248461" name="Straight Connector 1248460">
          <a:extLst>
            <a:ext uri="{FF2B5EF4-FFF2-40B4-BE49-F238E27FC236}">
              <a16:creationId xmlns:a16="http://schemas.microsoft.com/office/drawing/2014/main" id="{4B34388B-CF75-6C98-653C-497AF1454AF4}"/>
            </a:ext>
          </a:extLst>
        </xdr:cNvPr>
        <xdr:cNvCxnSpPr/>
      </xdr:nvCxnSpPr>
      <xdr:spPr bwMode="auto">
        <a:xfrm flipV="1">
          <a:off x="1574800" y="889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234950</xdr:colOff>
      <xdr:row>5</xdr:row>
      <xdr:rowOff>79375</xdr:rowOff>
    </xdr:from>
    <xdr:to>
      <xdr:col>6</xdr:col>
      <xdr:colOff>234950</xdr:colOff>
      <xdr:row>15</xdr:row>
      <xdr:rowOff>111125</xdr:rowOff>
    </xdr:to>
    <xdr:cxnSp macro="">
      <xdr:nvCxnSpPr>
        <xdr:cNvPr id="1248462" name="Straight Connector 1248461">
          <a:extLst>
            <a:ext uri="{FF2B5EF4-FFF2-40B4-BE49-F238E27FC236}">
              <a16:creationId xmlns:a16="http://schemas.microsoft.com/office/drawing/2014/main" id="{CA42F8D6-EE84-E730-C0E6-C32E40AD616D}"/>
            </a:ext>
          </a:extLst>
        </xdr:cNvPr>
        <xdr:cNvCxnSpPr/>
      </xdr:nvCxnSpPr>
      <xdr:spPr bwMode="auto">
        <a:xfrm>
          <a:off x="1892300" y="889000"/>
          <a:ext cx="0" cy="1651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209550</xdr:colOff>
      <xdr:row>15</xdr:row>
      <xdr:rowOff>9525</xdr:rowOff>
    </xdr:from>
    <xdr:to>
      <xdr:col>6</xdr:col>
      <xdr:colOff>234950</xdr:colOff>
      <xdr:row>15</xdr:row>
      <xdr:rowOff>111125</xdr:rowOff>
    </xdr:to>
    <xdr:cxnSp macro="">
      <xdr:nvCxnSpPr>
        <xdr:cNvPr id="1248463" name="Straight Connector 1248462">
          <a:extLst>
            <a:ext uri="{FF2B5EF4-FFF2-40B4-BE49-F238E27FC236}">
              <a16:creationId xmlns:a16="http://schemas.microsoft.com/office/drawing/2014/main" id="{B3065FA2-A3AB-116C-4EEA-2B93997C5516}"/>
            </a:ext>
          </a:extLst>
        </xdr:cNvPr>
        <xdr:cNvCxnSpPr/>
      </xdr:nvCxnSpPr>
      <xdr:spPr bwMode="auto">
        <a:xfrm>
          <a:off x="18669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234950</xdr:colOff>
      <xdr:row>15</xdr:row>
      <xdr:rowOff>9525</xdr:rowOff>
    </xdr:from>
    <xdr:to>
      <xdr:col>7</xdr:col>
      <xdr:colOff>12700</xdr:colOff>
      <xdr:row>15</xdr:row>
      <xdr:rowOff>111125</xdr:rowOff>
    </xdr:to>
    <xdr:cxnSp macro="">
      <xdr:nvCxnSpPr>
        <xdr:cNvPr id="1248465" name="Straight Connector 1248464">
          <a:extLst>
            <a:ext uri="{FF2B5EF4-FFF2-40B4-BE49-F238E27FC236}">
              <a16:creationId xmlns:a16="http://schemas.microsoft.com/office/drawing/2014/main" id="{624036E8-9373-FA4A-C84E-FC0326F200A0}"/>
            </a:ext>
          </a:extLst>
        </xdr:cNvPr>
        <xdr:cNvCxnSpPr/>
      </xdr:nvCxnSpPr>
      <xdr:spPr bwMode="auto">
        <a:xfrm flipH="1">
          <a:off x="18923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165100</xdr:colOff>
      <xdr:row>12</xdr:row>
      <xdr:rowOff>88900</xdr:rowOff>
    </xdr:from>
    <xdr:to>
      <xdr:col>6</xdr:col>
      <xdr:colOff>234950</xdr:colOff>
      <xdr:row>15</xdr:row>
      <xdr:rowOff>111125</xdr:rowOff>
    </xdr:to>
    <xdr:cxnSp macro="">
      <xdr:nvCxnSpPr>
        <xdr:cNvPr id="1248466" name="Straight Connector 1248465">
          <a:extLst>
            <a:ext uri="{FF2B5EF4-FFF2-40B4-BE49-F238E27FC236}">
              <a16:creationId xmlns:a16="http://schemas.microsoft.com/office/drawing/2014/main" id="{1B534F69-0077-274E-9172-84CF592A71BE}"/>
            </a:ext>
          </a:extLst>
        </xdr:cNvPr>
        <xdr:cNvCxnSpPr/>
      </xdr:nvCxnSpPr>
      <xdr:spPr bwMode="auto">
        <a:xfrm flipH="1" flipV="1">
          <a:off x="1574800" y="2032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165100</xdr:colOff>
      <xdr:row>8</xdr:row>
      <xdr:rowOff>101600</xdr:rowOff>
    </xdr:from>
    <xdr:to>
      <xdr:col>5</xdr:col>
      <xdr:colOff>165100</xdr:colOff>
      <xdr:row>12</xdr:row>
      <xdr:rowOff>88900</xdr:rowOff>
    </xdr:to>
    <xdr:cxnSp macro="">
      <xdr:nvCxnSpPr>
        <xdr:cNvPr id="1248467" name="Straight Connector 1248466">
          <a:extLst>
            <a:ext uri="{FF2B5EF4-FFF2-40B4-BE49-F238E27FC236}">
              <a16:creationId xmlns:a16="http://schemas.microsoft.com/office/drawing/2014/main" id="{33EA8B80-635D-C364-21F1-4A4114CFBF9A}"/>
            </a:ext>
          </a:extLst>
        </xdr:cNvPr>
        <xdr:cNvCxnSpPr/>
      </xdr:nvCxnSpPr>
      <xdr:spPr bwMode="auto">
        <a:xfrm flipV="1">
          <a:off x="1574800" y="1397000"/>
          <a:ext cx="0" cy="635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139700</xdr:colOff>
      <xdr:row>8</xdr:row>
      <xdr:rowOff>101600</xdr:rowOff>
    </xdr:from>
    <xdr:to>
      <xdr:col>5</xdr:col>
      <xdr:colOff>165100</xdr:colOff>
      <xdr:row>9</xdr:row>
      <xdr:rowOff>41275</xdr:rowOff>
    </xdr:to>
    <xdr:cxnSp macro="">
      <xdr:nvCxnSpPr>
        <xdr:cNvPr id="1248468" name="Straight Connector 1248467">
          <a:extLst>
            <a:ext uri="{FF2B5EF4-FFF2-40B4-BE49-F238E27FC236}">
              <a16:creationId xmlns:a16="http://schemas.microsoft.com/office/drawing/2014/main" id="{77E7ECF6-A2E0-F7FD-0700-E4673F33561B}"/>
            </a:ext>
          </a:extLst>
        </xdr:cNvPr>
        <xdr:cNvCxnSpPr/>
      </xdr:nvCxnSpPr>
      <xdr:spPr bwMode="auto">
        <a:xfrm flipV="1">
          <a:off x="15494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165100</xdr:colOff>
      <xdr:row>8</xdr:row>
      <xdr:rowOff>101600</xdr:rowOff>
    </xdr:from>
    <xdr:to>
      <xdr:col>5</xdr:col>
      <xdr:colOff>190500</xdr:colOff>
      <xdr:row>9</xdr:row>
      <xdr:rowOff>41275</xdr:rowOff>
    </xdr:to>
    <xdr:cxnSp macro="">
      <xdr:nvCxnSpPr>
        <xdr:cNvPr id="1248469" name="Straight Connector 1248468">
          <a:extLst>
            <a:ext uri="{FF2B5EF4-FFF2-40B4-BE49-F238E27FC236}">
              <a16:creationId xmlns:a16="http://schemas.microsoft.com/office/drawing/2014/main" id="{6E93FA03-6802-3051-BA89-AA743FF1D4B8}"/>
            </a:ext>
          </a:extLst>
        </xdr:cNvPr>
        <xdr:cNvCxnSpPr/>
      </xdr:nvCxnSpPr>
      <xdr:spPr bwMode="auto">
        <a:xfrm flipH="1" flipV="1">
          <a:off x="15748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57150</xdr:colOff>
      <xdr:row>9</xdr:row>
      <xdr:rowOff>111125</xdr:rowOff>
    </xdr:from>
    <xdr:to>
      <xdr:col>6</xdr:col>
      <xdr:colOff>76200</xdr:colOff>
      <xdr:row>9</xdr:row>
      <xdr:rowOff>111125</xdr:rowOff>
    </xdr:to>
    <xdr:cxnSp macro="">
      <xdr:nvCxnSpPr>
        <xdr:cNvPr id="1248470" name="Straight Connector 1248469">
          <a:extLst>
            <a:ext uri="{FF2B5EF4-FFF2-40B4-BE49-F238E27FC236}">
              <a16:creationId xmlns:a16="http://schemas.microsoft.com/office/drawing/2014/main" id="{CCE5AD82-3071-109E-7592-5BFF81F7BA11}"/>
            </a:ext>
          </a:extLst>
        </xdr:cNvPr>
        <xdr:cNvCxnSpPr/>
      </xdr:nvCxnSpPr>
      <xdr:spPr bwMode="auto">
        <a:xfrm>
          <a:off x="1466850" y="15684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76200</xdr:colOff>
      <xdr:row>9</xdr:row>
      <xdr:rowOff>111125</xdr:rowOff>
    </xdr:from>
    <xdr:to>
      <xdr:col>6</xdr:col>
      <xdr:colOff>76200</xdr:colOff>
      <xdr:row>11</xdr:row>
      <xdr:rowOff>79375</xdr:rowOff>
    </xdr:to>
    <xdr:cxnSp macro="">
      <xdr:nvCxnSpPr>
        <xdr:cNvPr id="1248471" name="Straight Connector 1248470">
          <a:extLst>
            <a:ext uri="{FF2B5EF4-FFF2-40B4-BE49-F238E27FC236}">
              <a16:creationId xmlns:a16="http://schemas.microsoft.com/office/drawing/2014/main" id="{865A2DB6-32C6-191E-0228-66B8FE5ED7A3}"/>
            </a:ext>
          </a:extLst>
        </xdr:cNvPr>
        <xdr:cNvCxnSpPr/>
      </xdr:nvCxnSpPr>
      <xdr:spPr bwMode="auto">
        <a:xfrm>
          <a:off x="1733550" y="1568450"/>
          <a:ext cx="0" cy="2921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57150</xdr:colOff>
      <xdr:row>11</xdr:row>
      <xdr:rowOff>79375</xdr:rowOff>
    </xdr:from>
    <xdr:to>
      <xdr:col>6</xdr:col>
      <xdr:colOff>76200</xdr:colOff>
      <xdr:row>11</xdr:row>
      <xdr:rowOff>79375</xdr:rowOff>
    </xdr:to>
    <xdr:cxnSp macro="">
      <xdr:nvCxnSpPr>
        <xdr:cNvPr id="1248472" name="Straight Connector 1248471">
          <a:extLst>
            <a:ext uri="{FF2B5EF4-FFF2-40B4-BE49-F238E27FC236}">
              <a16:creationId xmlns:a16="http://schemas.microsoft.com/office/drawing/2014/main" id="{3D42D87F-3171-3C67-B8CD-FC0A565695D3}"/>
            </a:ext>
          </a:extLst>
        </xdr:cNvPr>
        <xdr:cNvCxnSpPr/>
      </xdr:nvCxnSpPr>
      <xdr:spPr bwMode="auto">
        <a:xfrm flipH="1">
          <a:off x="1466850" y="18605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184150</xdr:colOff>
      <xdr:row>5</xdr:row>
      <xdr:rowOff>79375</xdr:rowOff>
    </xdr:from>
    <xdr:to>
      <xdr:col>8</xdr:col>
      <xdr:colOff>6350</xdr:colOff>
      <xdr:row>8</xdr:row>
      <xdr:rowOff>101600</xdr:rowOff>
    </xdr:to>
    <xdr:cxnSp macro="">
      <xdr:nvCxnSpPr>
        <xdr:cNvPr id="1248473" name="Straight Connector 1248472">
          <a:extLst>
            <a:ext uri="{FF2B5EF4-FFF2-40B4-BE49-F238E27FC236}">
              <a16:creationId xmlns:a16="http://schemas.microsoft.com/office/drawing/2014/main" id="{8ADA12C4-D7E5-E1E0-DD11-7C6F70C189CF}"/>
            </a:ext>
          </a:extLst>
        </xdr:cNvPr>
        <xdr:cNvCxnSpPr/>
      </xdr:nvCxnSpPr>
      <xdr:spPr bwMode="auto">
        <a:xfrm flipV="1">
          <a:off x="1841500" y="889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6350</xdr:colOff>
      <xdr:row>5</xdr:row>
      <xdr:rowOff>79375</xdr:rowOff>
    </xdr:from>
    <xdr:to>
      <xdr:col>8</xdr:col>
      <xdr:colOff>6350</xdr:colOff>
      <xdr:row>15</xdr:row>
      <xdr:rowOff>111125</xdr:rowOff>
    </xdr:to>
    <xdr:cxnSp macro="">
      <xdr:nvCxnSpPr>
        <xdr:cNvPr id="1248474" name="Straight Connector 1248473">
          <a:extLst>
            <a:ext uri="{FF2B5EF4-FFF2-40B4-BE49-F238E27FC236}">
              <a16:creationId xmlns:a16="http://schemas.microsoft.com/office/drawing/2014/main" id="{C12681F0-30AE-789B-FEE0-8C2434BC9BC5}"/>
            </a:ext>
          </a:extLst>
        </xdr:cNvPr>
        <xdr:cNvCxnSpPr/>
      </xdr:nvCxnSpPr>
      <xdr:spPr bwMode="auto">
        <a:xfrm>
          <a:off x="2159000" y="889000"/>
          <a:ext cx="0" cy="1651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228600</xdr:colOff>
      <xdr:row>15</xdr:row>
      <xdr:rowOff>9525</xdr:rowOff>
    </xdr:from>
    <xdr:to>
      <xdr:col>8</xdr:col>
      <xdr:colOff>6350</xdr:colOff>
      <xdr:row>15</xdr:row>
      <xdr:rowOff>111125</xdr:rowOff>
    </xdr:to>
    <xdr:cxnSp macro="">
      <xdr:nvCxnSpPr>
        <xdr:cNvPr id="1248475" name="Straight Connector 1248474">
          <a:extLst>
            <a:ext uri="{FF2B5EF4-FFF2-40B4-BE49-F238E27FC236}">
              <a16:creationId xmlns:a16="http://schemas.microsoft.com/office/drawing/2014/main" id="{CBB83FCC-C62C-3E09-9CE3-E7D39BE91ECD}"/>
            </a:ext>
          </a:extLst>
        </xdr:cNvPr>
        <xdr:cNvCxnSpPr/>
      </xdr:nvCxnSpPr>
      <xdr:spPr bwMode="auto">
        <a:xfrm>
          <a:off x="21336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6350</xdr:colOff>
      <xdr:row>15</xdr:row>
      <xdr:rowOff>9525</xdr:rowOff>
    </xdr:from>
    <xdr:to>
      <xdr:col>8</xdr:col>
      <xdr:colOff>31750</xdr:colOff>
      <xdr:row>15</xdr:row>
      <xdr:rowOff>111125</xdr:rowOff>
    </xdr:to>
    <xdr:cxnSp macro="">
      <xdr:nvCxnSpPr>
        <xdr:cNvPr id="1248476" name="Straight Connector 1248475">
          <a:extLst>
            <a:ext uri="{FF2B5EF4-FFF2-40B4-BE49-F238E27FC236}">
              <a16:creationId xmlns:a16="http://schemas.microsoft.com/office/drawing/2014/main" id="{F65C66BA-7AE5-EEAE-C7F9-3095C65003DA}"/>
            </a:ext>
          </a:extLst>
        </xdr:cNvPr>
        <xdr:cNvCxnSpPr/>
      </xdr:nvCxnSpPr>
      <xdr:spPr bwMode="auto">
        <a:xfrm flipH="1">
          <a:off x="21590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184150</xdr:colOff>
      <xdr:row>12</xdr:row>
      <xdr:rowOff>88900</xdr:rowOff>
    </xdr:from>
    <xdr:to>
      <xdr:col>8</xdr:col>
      <xdr:colOff>6350</xdr:colOff>
      <xdr:row>15</xdr:row>
      <xdr:rowOff>111125</xdr:rowOff>
    </xdr:to>
    <xdr:cxnSp macro="">
      <xdr:nvCxnSpPr>
        <xdr:cNvPr id="1248477" name="Straight Connector 1248476">
          <a:extLst>
            <a:ext uri="{FF2B5EF4-FFF2-40B4-BE49-F238E27FC236}">
              <a16:creationId xmlns:a16="http://schemas.microsoft.com/office/drawing/2014/main" id="{8A00ED87-C034-E839-BDC1-6E5A564E050C}"/>
            </a:ext>
          </a:extLst>
        </xdr:cNvPr>
        <xdr:cNvCxnSpPr/>
      </xdr:nvCxnSpPr>
      <xdr:spPr bwMode="auto">
        <a:xfrm flipH="1" flipV="1">
          <a:off x="1841500" y="2032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184150</xdr:colOff>
      <xdr:row>8</xdr:row>
      <xdr:rowOff>101600</xdr:rowOff>
    </xdr:from>
    <xdr:to>
      <xdr:col>6</xdr:col>
      <xdr:colOff>184150</xdr:colOff>
      <xdr:row>12</xdr:row>
      <xdr:rowOff>88900</xdr:rowOff>
    </xdr:to>
    <xdr:cxnSp macro="">
      <xdr:nvCxnSpPr>
        <xdr:cNvPr id="1248478" name="Straight Connector 1248477">
          <a:extLst>
            <a:ext uri="{FF2B5EF4-FFF2-40B4-BE49-F238E27FC236}">
              <a16:creationId xmlns:a16="http://schemas.microsoft.com/office/drawing/2014/main" id="{2ED19C22-2B35-A93B-5D01-47FC50D9A19F}"/>
            </a:ext>
          </a:extLst>
        </xdr:cNvPr>
        <xdr:cNvCxnSpPr/>
      </xdr:nvCxnSpPr>
      <xdr:spPr bwMode="auto">
        <a:xfrm flipV="1">
          <a:off x="1841500" y="1397000"/>
          <a:ext cx="0" cy="635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158750</xdr:colOff>
      <xdr:row>8</xdr:row>
      <xdr:rowOff>101600</xdr:rowOff>
    </xdr:from>
    <xdr:to>
      <xdr:col>6</xdr:col>
      <xdr:colOff>184150</xdr:colOff>
      <xdr:row>9</xdr:row>
      <xdr:rowOff>41275</xdr:rowOff>
    </xdr:to>
    <xdr:cxnSp macro="">
      <xdr:nvCxnSpPr>
        <xdr:cNvPr id="1248479" name="Straight Connector 1248478">
          <a:extLst>
            <a:ext uri="{FF2B5EF4-FFF2-40B4-BE49-F238E27FC236}">
              <a16:creationId xmlns:a16="http://schemas.microsoft.com/office/drawing/2014/main" id="{E24CBDF0-56DE-5579-02BD-40DB7BD5489B}"/>
            </a:ext>
          </a:extLst>
        </xdr:cNvPr>
        <xdr:cNvCxnSpPr/>
      </xdr:nvCxnSpPr>
      <xdr:spPr bwMode="auto">
        <a:xfrm flipV="1">
          <a:off x="18161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184150</xdr:colOff>
      <xdr:row>8</xdr:row>
      <xdr:rowOff>101600</xdr:rowOff>
    </xdr:from>
    <xdr:to>
      <xdr:col>6</xdr:col>
      <xdr:colOff>209550</xdr:colOff>
      <xdr:row>9</xdr:row>
      <xdr:rowOff>41275</xdr:rowOff>
    </xdr:to>
    <xdr:cxnSp macro="">
      <xdr:nvCxnSpPr>
        <xdr:cNvPr id="1248480" name="Straight Connector 1248479">
          <a:extLst>
            <a:ext uri="{FF2B5EF4-FFF2-40B4-BE49-F238E27FC236}">
              <a16:creationId xmlns:a16="http://schemas.microsoft.com/office/drawing/2014/main" id="{07EEFD90-67F8-12F2-5357-412786D824FC}"/>
            </a:ext>
          </a:extLst>
        </xdr:cNvPr>
        <xdr:cNvCxnSpPr/>
      </xdr:nvCxnSpPr>
      <xdr:spPr bwMode="auto">
        <a:xfrm flipH="1" flipV="1">
          <a:off x="18415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76200</xdr:colOff>
      <xdr:row>9</xdr:row>
      <xdr:rowOff>111125</xdr:rowOff>
    </xdr:from>
    <xdr:to>
      <xdr:col>7</xdr:col>
      <xdr:colOff>95250</xdr:colOff>
      <xdr:row>9</xdr:row>
      <xdr:rowOff>111125</xdr:rowOff>
    </xdr:to>
    <xdr:cxnSp macro="">
      <xdr:nvCxnSpPr>
        <xdr:cNvPr id="1248481" name="Straight Connector 1248480">
          <a:extLst>
            <a:ext uri="{FF2B5EF4-FFF2-40B4-BE49-F238E27FC236}">
              <a16:creationId xmlns:a16="http://schemas.microsoft.com/office/drawing/2014/main" id="{9E2C4B6B-0FD9-764B-5893-E8866E45F4CA}"/>
            </a:ext>
          </a:extLst>
        </xdr:cNvPr>
        <xdr:cNvCxnSpPr/>
      </xdr:nvCxnSpPr>
      <xdr:spPr bwMode="auto">
        <a:xfrm>
          <a:off x="1733550" y="15684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95250</xdr:colOff>
      <xdr:row>9</xdr:row>
      <xdr:rowOff>111125</xdr:rowOff>
    </xdr:from>
    <xdr:to>
      <xdr:col>7</xdr:col>
      <xdr:colOff>95250</xdr:colOff>
      <xdr:row>11</xdr:row>
      <xdr:rowOff>79375</xdr:rowOff>
    </xdr:to>
    <xdr:cxnSp macro="">
      <xdr:nvCxnSpPr>
        <xdr:cNvPr id="1248482" name="Straight Connector 1248481">
          <a:extLst>
            <a:ext uri="{FF2B5EF4-FFF2-40B4-BE49-F238E27FC236}">
              <a16:creationId xmlns:a16="http://schemas.microsoft.com/office/drawing/2014/main" id="{2927B667-A103-8A30-4C0D-D4151A89B78B}"/>
            </a:ext>
          </a:extLst>
        </xdr:cNvPr>
        <xdr:cNvCxnSpPr/>
      </xdr:nvCxnSpPr>
      <xdr:spPr bwMode="auto">
        <a:xfrm>
          <a:off x="2000250" y="1568450"/>
          <a:ext cx="0" cy="2921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76200</xdr:colOff>
      <xdr:row>11</xdr:row>
      <xdr:rowOff>79375</xdr:rowOff>
    </xdr:from>
    <xdr:to>
      <xdr:col>7</xdr:col>
      <xdr:colOff>95250</xdr:colOff>
      <xdr:row>11</xdr:row>
      <xdr:rowOff>79375</xdr:rowOff>
    </xdr:to>
    <xdr:cxnSp macro="">
      <xdr:nvCxnSpPr>
        <xdr:cNvPr id="1248483" name="Straight Connector 1248482">
          <a:extLst>
            <a:ext uri="{FF2B5EF4-FFF2-40B4-BE49-F238E27FC236}">
              <a16:creationId xmlns:a16="http://schemas.microsoft.com/office/drawing/2014/main" id="{D4339064-7736-6D61-F5EB-B8258B426967}"/>
            </a:ext>
          </a:extLst>
        </xdr:cNvPr>
        <xdr:cNvCxnSpPr/>
      </xdr:nvCxnSpPr>
      <xdr:spPr bwMode="auto">
        <a:xfrm flipH="1">
          <a:off x="1733550" y="18605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203200</xdr:colOff>
      <xdr:row>5</xdr:row>
      <xdr:rowOff>79375</xdr:rowOff>
    </xdr:from>
    <xdr:to>
      <xdr:col>9</xdr:col>
      <xdr:colOff>25400</xdr:colOff>
      <xdr:row>8</xdr:row>
      <xdr:rowOff>101600</xdr:rowOff>
    </xdr:to>
    <xdr:cxnSp macro="">
      <xdr:nvCxnSpPr>
        <xdr:cNvPr id="1248484" name="Straight Connector 1248483">
          <a:extLst>
            <a:ext uri="{FF2B5EF4-FFF2-40B4-BE49-F238E27FC236}">
              <a16:creationId xmlns:a16="http://schemas.microsoft.com/office/drawing/2014/main" id="{D8C0A44B-7AFE-0ED5-04D5-8A83A62EDE8F}"/>
            </a:ext>
          </a:extLst>
        </xdr:cNvPr>
        <xdr:cNvCxnSpPr/>
      </xdr:nvCxnSpPr>
      <xdr:spPr bwMode="auto">
        <a:xfrm flipV="1">
          <a:off x="2108200" y="889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25400</xdr:colOff>
      <xdr:row>5</xdr:row>
      <xdr:rowOff>79375</xdr:rowOff>
    </xdr:from>
    <xdr:to>
      <xdr:col>9</xdr:col>
      <xdr:colOff>25400</xdr:colOff>
      <xdr:row>15</xdr:row>
      <xdr:rowOff>111125</xdr:rowOff>
    </xdr:to>
    <xdr:cxnSp macro="">
      <xdr:nvCxnSpPr>
        <xdr:cNvPr id="1248485" name="Straight Connector 1248484">
          <a:extLst>
            <a:ext uri="{FF2B5EF4-FFF2-40B4-BE49-F238E27FC236}">
              <a16:creationId xmlns:a16="http://schemas.microsoft.com/office/drawing/2014/main" id="{C729498D-5F9A-6E60-CF0B-A6BAD5EE2777}"/>
            </a:ext>
          </a:extLst>
        </xdr:cNvPr>
        <xdr:cNvCxnSpPr/>
      </xdr:nvCxnSpPr>
      <xdr:spPr bwMode="auto">
        <a:xfrm>
          <a:off x="2425700" y="889000"/>
          <a:ext cx="0" cy="1651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0</xdr:colOff>
      <xdr:row>15</xdr:row>
      <xdr:rowOff>9525</xdr:rowOff>
    </xdr:from>
    <xdr:to>
      <xdr:col>9</xdr:col>
      <xdr:colOff>25400</xdr:colOff>
      <xdr:row>15</xdr:row>
      <xdr:rowOff>111125</xdr:rowOff>
    </xdr:to>
    <xdr:cxnSp macro="">
      <xdr:nvCxnSpPr>
        <xdr:cNvPr id="1248486" name="Straight Connector 1248485">
          <a:extLst>
            <a:ext uri="{FF2B5EF4-FFF2-40B4-BE49-F238E27FC236}">
              <a16:creationId xmlns:a16="http://schemas.microsoft.com/office/drawing/2014/main" id="{1BB2DA34-3090-3471-FE8B-FED2E6DCDC04}"/>
            </a:ext>
          </a:extLst>
        </xdr:cNvPr>
        <xdr:cNvCxnSpPr/>
      </xdr:nvCxnSpPr>
      <xdr:spPr bwMode="auto">
        <a:xfrm>
          <a:off x="24003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25400</xdr:colOff>
      <xdr:row>15</xdr:row>
      <xdr:rowOff>9525</xdr:rowOff>
    </xdr:from>
    <xdr:to>
      <xdr:col>9</xdr:col>
      <xdr:colOff>50800</xdr:colOff>
      <xdr:row>15</xdr:row>
      <xdr:rowOff>111125</xdr:rowOff>
    </xdr:to>
    <xdr:cxnSp macro="">
      <xdr:nvCxnSpPr>
        <xdr:cNvPr id="1248487" name="Straight Connector 1248486">
          <a:extLst>
            <a:ext uri="{FF2B5EF4-FFF2-40B4-BE49-F238E27FC236}">
              <a16:creationId xmlns:a16="http://schemas.microsoft.com/office/drawing/2014/main" id="{24684744-9B4C-0AE8-C926-9B08831AB494}"/>
            </a:ext>
          </a:extLst>
        </xdr:cNvPr>
        <xdr:cNvCxnSpPr/>
      </xdr:nvCxnSpPr>
      <xdr:spPr bwMode="auto">
        <a:xfrm flipH="1">
          <a:off x="24257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203200</xdr:colOff>
      <xdr:row>12</xdr:row>
      <xdr:rowOff>88900</xdr:rowOff>
    </xdr:from>
    <xdr:to>
      <xdr:col>9</xdr:col>
      <xdr:colOff>25400</xdr:colOff>
      <xdr:row>15</xdr:row>
      <xdr:rowOff>111125</xdr:rowOff>
    </xdr:to>
    <xdr:cxnSp macro="">
      <xdr:nvCxnSpPr>
        <xdr:cNvPr id="1248488" name="Straight Connector 1248487">
          <a:extLst>
            <a:ext uri="{FF2B5EF4-FFF2-40B4-BE49-F238E27FC236}">
              <a16:creationId xmlns:a16="http://schemas.microsoft.com/office/drawing/2014/main" id="{08BE2BAE-FBD1-FFE1-5C87-C9B05B04A81A}"/>
            </a:ext>
          </a:extLst>
        </xdr:cNvPr>
        <xdr:cNvCxnSpPr/>
      </xdr:nvCxnSpPr>
      <xdr:spPr bwMode="auto">
        <a:xfrm flipH="1" flipV="1">
          <a:off x="2108200" y="2032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203200</xdr:colOff>
      <xdr:row>8</xdr:row>
      <xdr:rowOff>101600</xdr:rowOff>
    </xdr:from>
    <xdr:to>
      <xdr:col>7</xdr:col>
      <xdr:colOff>203200</xdr:colOff>
      <xdr:row>12</xdr:row>
      <xdr:rowOff>88900</xdr:rowOff>
    </xdr:to>
    <xdr:cxnSp macro="">
      <xdr:nvCxnSpPr>
        <xdr:cNvPr id="1248489" name="Straight Connector 1248488">
          <a:extLst>
            <a:ext uri="{FF2B5EF4-FFF2-40B4-BE49-F238E27FC236}">
              <a16:creationId xmlns:a16="http://schemas.microsoft.com/office/drawing/2014/main" id="{A001C2DD-E0DE-DC87-60D1-6277A8762E2E}"/>
            </a:ext>
          </a:extLst>
        </xdr:cNvPr>
        <xdr:cNvCxnSpPr/>
      </xdr:nvCxnSpPr>
      <xdr:spPr bwMode="auto">
        <a:xfrm flipV="1">
          <a:off x="2108200" y="1397000"/>
          <a:ext cx="0" cy="635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177800</xdr:colOff>
      <xdr:row>8</xdr:row>
      <xdr:rowOff>101600</xdr:rowOff>
    </xdr:from>
    <xdr:to>
      <xdr:col>7</xdr:col>
      <xdr:colOff>203200</xdr:colOff>
      <xdr:row>9</xdr:row>
      <xdr:rowOff>41275</xdr:rowOff>
    </xdr:to>
    <xdr:cxnSp macro="">
      <xdr:nvCxnSpPr>
        <xdr:cNvPr id="1248490" name="Straight Connector 1248489">
          <a:extLst>
            <a:ext uri="{FF2B5EF4-FFF2-40B4-BE49-F238E27FC236}">
              <a16:creationId xmlns:a16="http://schemas.microsoft.com/office/drawing/2014/main" id="{16198EAF-8E9D-900E-E15D-CF047ED5EDBD}"/>
            </a:ext>
          </a:extLst>
        </xdr:cNvPr>
        <xdr:cNvCxnSpPr/>
      </xdr:nvCxnSpPr>
      <xdr:spPr bwMode="auto">
        <a:xfrm flipV="1">
          <a:off x="20828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203200</xdr:colOff>
      <xdr:row>8</xdr:row>
      <xdr:rowOff>101600</xdr:rowOff>
    </xdr:from>
    <xdr:to>
      <xdr:col>7</xdr:col>
      <xdr:colOff>228600</xdr:colOff>
      <xdr:row>9</xdr:row>
      <xdr:rowOff>41275</xdr:rowOff>
    </xdr:to>
    <xdr:cxnSp macro="">
      <xdr:nvCxnSpPr>
        <xdr:cNvPr id="1248491" name="Straight Connector 1248490">
          <a:extLst>
            <a:ext uri="{FF2B5EF4-FFF2-40B4-BE49-F238E27FC236}">
              <a16:creationId xmlns:a16="http://schemas.microsoft.com/office/drawing/2014/main" id="{A4A5FB8E-691B-91DB-B068-EDA81E4744E7}"/>
            </a:ext>
          </a:extLst>
        </xdr:cNvPr>
        <xdr:cNvCxnSpPr/>
      </xdr:nvCxnSpPr>
      <xdr:spPr bwMode="auto">
        <a:xfrm flipH="1" flipV="1">
          <a:off x="21082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95250</xdr:colOff>
      <xdr:row>9</xdr:row>
      <xdr:rowOff>111125</xdr:rowOff>
    </xdr:from>
    <xdr:to>
      <xdr:col>8</xdr:col>
      <xdr:colOff>114300</xdr:colOff>
      <xdr:row>9</xdr:row>
      <xdr:rowOff>111125</xdr:rowOff>
    </xdr:to>
    <xdr:cxnSp macro="">
      <xdr:nvCxnSpPr>
        <xdr:cNvPr id="1248492" name="Straight Connector 1248491">
          <a:extLst>
            <a:ext uri="{FF2B5EF4-FFF2-40B4-BE49-F238E27FC236}">
              <a16:creationId xmlns:a16="http://schemas.microsoft.com/office/drawing/2014/main" id="{C4AB4FC1-304C-E146-371D-092FB5488D01}"/>
            </a:ext>
          </a:extLst>
        </xdr:cNvPr>
        <xdr:cNvCxnSpPr/>
      </xdr:nvCxnSpPr>
      <xdr:spPr bwMode="auto">
        <a:xfrm>
          <a:off x="2000250" y="15684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114300</xdr:colOff>
      <xdr:row>9</xdr:row>
      <xdr:rowOff>111125</xdr:rowOff>
    </xdr:from>
    <xdr:to>
      <xdr:col>8</xdr:col>
      <xdr:colOff>114300</xdr:colOff>
      <xdr:row>11</xdr:row>
      <xdr:rowOff>79375</xdr:rowOff>
    </xdr:to>
    <xdr:cxnSp macro="">
      <xdr:nvCxnSpPr>
        <xdr:cNvPr id="1248493" name="Straight Connector 1248492">
          <a:extLst>
            <a:ext uri="{FF2B5EF4-FFF2-40B4-BE49-F238E27FC236}">
              <a16:creationId xmlns:a16="http://schemas.microsoft.com/office/drawing/2014/main" id="{8D91349F-C38C-26FD-1491-B923CE212E61}"/>
            </a:ext>
          </a:extLst>
        </xdr:cNvPr>
        <xdr:cNvCxnSpPr/>
      </xdr:nvCxnSpPr>
      <xdr:spPr bwMode="auto">
        <a:xfrm>
          <a:off x="2266950" y="1568450"/>
          <a:ext cx="0" cy="2921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95250</xdr:colOff>
      <xdr:row>11</xdr:row>
      <xdr:rowOff>79375</xdr:rowOff>
    </xdr:from>
    <xdr:to>
      <xdr:col>8</xdr:col>
      <xdr:colOff>114300</xdr:colOff>
      <xdr:row>11</xdr:row>
      <xdr:rowOff>79375</xdr:rowOff>
    </xdr:to>
    <xdr:cxnSp macro="">
      <xdr:nvCxnSpPr>
        <xdr:cNvPr id="1248494" name="Straight Connector 1248493">
          <a:extLst>
            <a:ext uri="{FF2B5EF4-FFF2-40B4-BE49-F238E27FC236}">
              <a16:creationId xmlns:a16="http://schemas.microsoft.com/office/drawing/2014/main" id="{16EB61CD-42A5-EE5B-7ECE-4418E481EC15}"/>
            </a:ext>
          </a:extLst>
        </xdr:cNvPr>
        <xdr:cNvCxnSpPr/>
      </xdr:nvCxnSpPr>
      <xdr:spPr bwMode="auto">
        <a:xfrm flipH="1">
          <a:off x="2000250" y="18605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222250</xdr:colOff>
      <xdr:row>5</xdr:row>
      <xdr:rowOff>79375</xdr:rowOff>
    </xdr:from>
    <xdr:to>
      <xdr:col>10</xdr:col>
      <xdr:colOff>44450</xdr:colOff>
      <xdr:row>8</xdr:row>
      <xdr:rowOff>101600</xdr:rowOff>
    </xdr:to>
    <xdr:cxnSp macro="">
      <xdr:nvCxnSpPr>
        <xdr:cNvPr id="1248495" name="Straight Connector 1248494">
          <a:extLst>
            <a:ext uri="{FF2B5EF4-FFF2-40B4-BE49-F238E27FC236}">
              <a16:creationId xmlns:a16="http://schemas.microsoft.com/office/drawing/2014/main" id="{AB27FBD0-E7BA-0E3C-6AA8-FCB1BCB3F49F}"/>
            </a:ext>
          </a:extLst>
        </xdr:cNvPr>
        <xdr:cNvCxnSpPr/>
      </xdr:nvCxnSpPr>
      <xdr:spPr bwMode="auto">
        <a:xfrm flipV="1">
          <a:off x="2374900" y="889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44450</xdr:colOff>
      <xdr:row>5</xdr:row>
      <xdr:rowOff>79375</xdr:rowOff>
    </xdr:from>
    <xdr:to>
      <xdr:col>10</xdr:col>
      <xdr:colOff>44450</xdr:colOff>
      <xdr:row>15</xdr:row>
      <xdr:rowOff>111125</xdr:rowOff>
    </xdr:to>
    <xdr:cxnSp macro="">
      <xdr:nvCxnSpPr>
        <xdr:cNvPr id="1248496" name="Straight Connector 1248495">
          <a:extLst>
            <a:ext uri="{FF2B5EF4-FFF2-40B4-BE49-F238E27FC236}">
              <a16:creationId xmlns:a16="http://schemas.microsoft.com/office/drawing/2014/main" id="{6527CE3A-F38F-1E9C-9AA6-29EDF5DCE368}"/>
            </a:ext>
          </a:extLst>
        </xdr:cNvPr>
        <xdr:cNvCxnSpPr/>
      </xdr:nvCxnSpPr>
      <xdr:spPr bwMode="auto">
        <a:xfrm>
          <a:off x="2692400" y="889000"/>
          <a:ext cx="0" cy="1651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19050</xdr:colOff>
      <xdr:row>15</xdr:row>
      <xdr:rowOff>9525</xdr:rowOff>
    </xdr:from>
    <xdr:to>
      <xdr:col>10</xdr:col>
      <xdr:colOff>44450</xdr:colOff>
      <xdr:row>15</xdr:row>
      <xdr:rowOff>111125</xdr:rowOff>
    </xdr:to>
    <xdr:cxnSp macro="">
      <xdr:nvCxnSpPr>
        <xdr:cNvPr id="1248497" name="Straight Connector 1248496">
          <a:extLst>
            <a:ext uri="{FF2B5EF4-FFF2-40B4-BE49-F238E27FC236}">
              <a16:creationId xmlns:a16="http://schemas.microsoft.com/office/drawing/2014/main" id="{62A0FB63-21DC-9CB8-B99B-7672BFA28D69}"/>
            </a:ext>
          </a:extLst>
        </xdr:cNvPr>
        <xdr:cNvCxnSpPr/>
      </xdr:nvCxnSpPr>
      <xdr:spPr bwMode="auto">
        <a:xfrm>
          <a:off x="26670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44450</xdr:colOff>
      <xdr:row>15</xdr:row>
      <xdr:rowOff>9525</xdr:rowOff>
    </xdr:from>
    <xdr:to>
      <xdr:col>10</xdr:col>
      <xdr:colOff>69850</xdr:colOff>
      <xdr:row>15</xdr:row>
      <xdr:rowOff>111125</xdr:rowOff>
    </xdr:to>
    <xdr:cxnSp macro="">
      <xdr:nvCxnSpPr>
        <xdr:cNvPr id="1248498" name="Straight Connector 1248497">
          <a:extLst>
            <a:ext uri="{FF2B5EF4-FFF2-40B4-BE49-F238E27FC236}">
              <a16:creationId xmlns:a16="http://schemas.microsoft.com/office/drawing/2014/main" id="{C62E479E-7F44-6C64-6DF8-3783BB1ACCC7}"/>
            </a:ext>
          </a:extLst>
        </xdr:cNvPr>
        <xdr:cNvCxnSpPr/>
      </xdr:nvCxnSpPr>
      <xdr:spPr bwMode="auto">
        <a:xfrm flipH="1">
          <a:off x="26924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222250</xdr:colOff>
      <xdr:row>12</xdr:row>
      <xdr:rowOff>88900</xdr:rowOff>
    </xdr:from>
    <xdr:to>
      <xdr:col>10</xdr:col>
      <xdr:colOff>44450</xdr:colOff>
      <xdr:row>15</xdr:row>
      <xdr:rowOff>111125</xdr:rowOff>
    </xdr:to>
    <xdr:cxnSp macro="">
      <xdr:nvCxnSpPr>
        <xdr:cNvPr id="1248499" name="Straight Connector 1248498">
          <a:extLst>
            <a:ext uri="{FF2B5EF4-FFF2-40B4-BE49-F238E27FC236}">
              <a16:creationId xmlns:a16="http://schemas.microsoft.com/office/drawing/2014/main" id="{E7A7E293-F700-2195-DF9D-F095AF405644}"/>
            </a:ext>
          </a:extLst>
        </xdr:cNvPr>
        <xdr:cNvCxnSpPr/>
      </xdr:nvCxnSpPr>
      <xdr:spPr bwMode="auto">
        <a:xfrm flipH="1" flipV="1">
          <a:off x="2374900" y="2032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222250</xdr:colOff>
      <xdr:row>8</xdr:row>
      <xdr:rowOff>101600</xdr:rowOff>
    </xdr:from>
    <xdr:to>
      <xdr:col>8</xdr:col>
      <xdr:colOff>222250</xdr:colOff>
      <xdr:row>12</xdr:row>
      <xdr:rowOff>88900</xdr:rowOff>
    </xdr:to>
    <xdr:cxnSp macro="">
      <xdr:nvCxnSpPr>
        <xdr:cNvPr id="1248500" name="Straight Connector 1248499">
          <a:extLst>
            <a:ext uri="{FF2B5EF4-FFF2-40B4-BE49-F238E27FC236}">
              <a16:creationId xmlns:a16="http://schemas.microsoft.com/office/drawing/2014/main" id="{7CA7AFDF-9D8A-5DB3-F1F8-C6217EE46A1B}"/>
            </a:ext>
          </a:extLst>
        </xdr:cNvPr>
        <xdr:cNvCxnSpPr/>
      </xdr:nvCxnSpPr>
      <xdr:spPr bwMode="auto">
        <a:xfrm flipV="1">
          <a:off x="2374900" y="1397000"/>
          <a:ext cx="0" cy="635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196850</xdr:colOff>
      <xdr:row>8</xdr:row>
      <xdr:rowOff>101600</xdr:rowOff>
    </xdr:from>
    <xdr:to>
      <xdr:col>8</xdr:col>
      <xdr:colOff>222250</xdr:colOff>
      <xdr:row>9</xdr:row>
      <xdr:rowOff>41275</xdr:rowOff>
    </xdr:to>
    <xdr:cxnSp macro="">
      <xdr:nvCxnSpPr>
        <xdr:cNvPr id="1248501" name="Straight Connector 1248500">
          <a:extLst>
            <a:ext uri="{FF2B5EF4-FFF2-40B4-BE49-F238E27FC236}">
              <a16:creationId xmlns:a16="http://schemas.microsoft.com/office/drawing/2014/main" id="{46894B80-99F4-088E-5BAA-40412D74BF2E}"/>
            </a:ext>
          </a:extLst>
        </xdr:cNvPr>
        <xdr:cNvCxnSpPr/>
      </xdr:nvCxnSpPr>
      <xdr:spPr bwMode="auto">
        <a:xfrm flipV="1">
          <a:off x="23495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222250</xdr:colOff>
      <xdr:row>8</xdr:row>
      <xdr:rowOff>101600</xdr:rowOff>
    </xdr:from>
    <xdr:to>
      <xdr:col>9</xdr:col>
      <xdr:colOff>0</xdr:colOff>
      <xdr:row>9</xdr:row>
      <xdr:rowOff>41275</xdr:rowOff>
    </xdr:to>
    <xdr:cxnSp macro="">
      <xdr:nvCxnSpPr>
        <xdr:cNvPr id="1248502" name="Straight Connector 1248501">
          <a:extLst>
            <a:ext uri="{FF2B5EF4-FFF2-40B4-BE49-F238E27FC236}">
              <a16:creationId xmlns:a16="http://schemas.microsoft.com/office/drawing/2014/main" id="{338B174D-418A-2A71-45CA-FB333A1FA3CC}"/>
            </a:ext>
          </a:extLst>
        </xdr:cNvPr>
        <xdr:cNvCxnSpPr/>
      </xdr:nvCxnSpPr>
      <xdr:spPr bwMode="auto">
        <a:xfrm flipH="1" flipV="1">
          <a:off x="23749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114300</xdr:colOff>
      <xdr:row>9</xdr:row>
      <xdr:rowOff>111125</xdr:rowOff>
    </xdr:from>
    <xdr:to>
      <xdr:col>9</xdr:col>
      <xdr:colOff>133350</xdr:colOff>
      <xdr:row>9</xdr:row>
      <xdr:rowOff>111125</xdr:rowOff>
    </xdr:to>
    <xdr:cxnSp macro="">
      <xdr:nvCxnSpPr>
        <xdr:cNvPr id="1248503" name="Straight Connector 1248502">
          <a:extLst>
            <a:ext uri="{FF2B5EF4-FFF2-40B4-BE49-F238E27FC236}">
              <a16:creationId xmlns:a16="http://schemas.microsoft.com/office/drawing/2014/main" id="{87C98158-5403-4174-5EBD-D0779CAC6ADD}"/>
            </a:ext>
          </a:extLst>
        </xdr:cNvPr>
        <xdr:cNvCxnSpPr/>
      </xdr:nvCxnSpPr>
      <xdr:spPr bwMode="auto">
        <a:xfrm>
          <a:off x="2266950" y="15684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133350</xdr:colOff>
      <xdr:row>9</xdr:row>
      <xdr:rowOff>111125</xdr:rowOff>
    </xdr:from>
    <xdr:to>
      <xdr:col>9</xdr:col>
      <xdr:colOff>133350</xdr:colOff>
      <xdr:row>11</xdr:row>
      <xdr:rowOff>79375</xdr:rowOff>
    </xdr:to>
    <xdr:cxnSp macro="">
      <xdr:nvCxnSpPr>
        <xdr:cNvPr id="1248504" name="Straight Connector 1248503">
          <a:extLst>
            <a:ext uri="{FF2B5EF4-FFF2-40B4-BE49-F238E27FC236}">
              <a16:creationId xmlns:a16="http://schemas.microsoft.com/office/drawing/2014/main" id="{EFD32FEA-CAB5-6B49-3E68-2BFD04A222FE}"/>
            </a:ext>
          </a:extLst>
        </xdr:cNvPr>
        <xdr:cNvCxnSpPr/>
      </xdr:nvCxnSpPr>
      <xdr:spPr bwMode="auto">
        <a:xfrm>
          <a:off x="2533650" y="1568450"/>
          <a:ext cx="0" cy="2921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114300</xdr:colOff>
      <xdr:row>11</xdr:row>
      <xdr:rowOff>79375</xdr:rowOff>
    </xdr:from>
    <xdr:to>
      <xdr:col>9</xdr:col>
      <xdr:colOff>133350</xdr:colOff>
      <xdr:row>11</xdr:row>
      <xdr:rowOff>79375</xdr:rowOff>
    </xdr:to>
    <xdr:cxnSp macro="">
      <xdr:nvCxnSpPr>
        <xdr:cNvPr id="1248505" name="Straight Connector 1248504">
          <a:extLst>
            <a:ext uri="{FF2B5EF4-FFF2-40B4-BE49-F238E27FC236}">
              <a16:creationId xmlns:a16="http://schemas.microsoft.com/office/drawing/2014/main" id="{5415EC24-5F59-1C5A-CBFE-6D27896A6961}"/>
            </a:ext>
          </a:extLst>
        </xdr:cNvPr>
        <xdr:cNvCxnSpPr/>
      </xdr:nvCxnSpPr>
      <xdr:spPr bwMode="auto">
        <a:xfrm flipH="1">
          <a:off x="2266950" y="18605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241300</xdr:colOff>
      <xdr:row>5</xdr:row>
      <xdr:rowOff>79375</xdr:rowOff>
    </xdr:from>
    <xdr:to>
      <xdr:col>11</xdr:col>
      <xdr:colOff>63500</xdr:colOff>
      <xdr:row>8</xdr:row>
      <xdr:rowOff>101600</xdr:rowOff>
    </xdr:to>
    <xdr:cxnSp macro="">
      <xdr:nvCxnSpPr>
        <xdr:cNvPr id="1248506" name="Straight Connector 1248505">
          <a:extLst>
            <a:ext uri="{FF2B5EF4-FFF2-40B4-BE49-F238E27FC236}">
              <a16:creationId xmlns:a16="http://schemas.microsoft.com/office/drawing/2014/main" id="{FC712D27-E41C-C0A4-4FDF-A12F73206C09}"/>
            </a:ext>
          </a:extLst>
        </xdr:cNvPr>
        <xdr:cNvCxnSpPr/>
      </xdr:nvCxnSpPr>
      <xdr:spPr bwMode="auto">
        <a:xfrm flipV="1">
          <a:off x="2641600" y="889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63500</xdr:colOff>
      <xdr:row>5</xdr:row>
      <xdr:rowOff>79375</xdr:rowOff>
    </xdr:from>
    <xdr:to>
      <xdr:col>11</xdr:col>
      <xdr:colOff>63500</xdr:colOff>
      <xdr:row>15</xdr:row>
      <xdr:rowOff>111125</xdr:rowOff>
    </xdr:to>
    <xdr:cxnSp macro="">
      <xdr:nvCxnSpPr>
        <xdr:cNvPr id="1248507" name="Straight Connector 1248506">
          <a:extLst>
            <a:ext uri="{FF2B5EF4-FFF2-40B4-BE49-F238E27FC236}">
              <a16:creationId xmlns:a16="http://schemas.microsoft.com/office/drawing/2014/main" id="{76A208BE-06E4-D2EF-0E49-7974E741C05A}"/>
            </a:ext>
          </a:extLst>
        </xdr:cNvPr>
        <xdr:cNvCxnSpPr/>
      </xdr:nvCxnSpPr>
      <xdr:spPr bwMode="auto">
        <a:xfrm>
          <a:off x="2959100" y="889000"/>
          <a:ext cx="0" cy="1651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38100</xdr:colOff>
      <xdr:row>15</xdr:row>
      <xdr:rowOff>9525</xdr:rowOff>
    </xdr:from>
    <xdr:to>
      <xdr:col>11</xdr:col>
      <xdr:colOff>63500</xdr:colOff>
      <xdr:row>15</xdr:row>
      <xdr:rowOff>111125</xdr:rowOff>
    </xdr:to>
    <xdr:cxnSp macro="">
      <xdr:nvCxnSpPr>
        <xdr:cNvPr id="1248508" name="Straight Connector 1248507">
          <a:extLst>
            <a:ext uri="{FF2B5EF4-FFF2-40B4-BE49-F238E27FC236}">
              <a16:creationId xmlns:a16="http://schemas.microsoft.com/office/drawing/2014/main" id="{AF12412B-C38A-F454-33DD-008F80EA79E4}"/>
            </a:ext>
          </a:extLst>
        </xdr:cNvPr>
        <xdr:cNvCxnSpPr/>
      </xdr:nvCxnSpPr>
      <xdr:spPr bwMode="auto">
        <a:xfrm>
          <a:off x="29337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63500</xdr:colOff>
      <xdr:row>15</xdr:row>
      <xdr:rowOff>9525</xdr:rowOff>
    </xdr:from>
    <xdr:to>
      <xdr:col>11</xdr:col>
      <xdr:colOff>88900</xdr:colOff>
      <xdr:row>15</xdr:row>
      <xdr:rowOff>111125</xdr:rowOff>
    </xdr:to>
    <xdr:cxnSp macro="">
      <xdr:nvCxnSpPr>
        <xdr:cNvPr id="1248509" name="Straight Connector 1248508">
          <a:extLst>
            <a:ext uri="{FF2B5EF4-FFF2-40B4-BE49-F238E27FC236}">
              <a16:creationId xmlns:a16="http://schemas.microsoft.com/office/drawing/2014/main" id="{18FE5894-EABF-2441-B29B-947EAD95A439}"/>
            </a:ext>
          </a:extLst>
        </xdr:cNvPr>
        <xdr:cNvCxnSpPr/>
      </xdr:nvCxnSpPr>
      <xdr:spPr bwMode="auto">
        <a:xfrm flipH="1">
          <a:off x="29591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241300</xdr:colOff>
      <xdr:row>12</xdr:row>
      <xdr:rowOff>88900</xdr:rowOff>
    </xdr:from>
    <xdr:to>
      <xdr:col>11</xdr:col>
      <xdr:colOff>63500</xdr:colOff>
      <xdr:row>15</xdr:row>
      <xdr:rowOff>111125</xdr:rowOff>
    </xdr:to>
    <xdr:cxnSp macro="">
      <xdr:nvCxnSpPr>
        <xdr:cNvPr id="1248510" name="Straight Connector 1248509">
          <a:extLst>
            <a:ext uri="{FF2B5EF4-FFF2-40B4-BE49-F238E27FC236}">
              <a16:creationId xmlns:a16="http://schemas.microsoft.com/office/drawing/2014/main" id="{AAA5A447-BD7F-DB3C-A3D3-E1EB541E0E44}"/>
            </a:ext>
          </a:extLst>
        </xdr:cNvPr>
        <xdr:cNvCxnSpPr/>
      </xdr:nvCxnSpPr>
      <xdr:spPr bwMode="auto">
        <a:xfrm flipH="1" flipV="1">
          <a:off x="2641600" y="2032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241300</xdr:colOff>
      <xdr:row>8</xdr:row>
      <xdr:rowOff>101600</xdr:rowOff>
    </xdr:from>
    <xdr:to>
      <xdr:col>9</xdr:col>
      <xdr:colOff>241300</xdr:colOff>
      <xdr:row>12</xdr:row>
      <xdr:rowOff>88900</xdr:rowOff>
    </xdr:to>
    <xdr:cxnSp macro="">
      <xdr:nvCxnSpPr>
        <xdr:cNvPr id="1248511" name="Straight Connector 1248510">
          <a:extLst>
            <a:ext uri="{FF2B5EF4-FFF2-40B4-BE49-F238E27FC236}">
              <a16:creationId xmlns:a16="http://schemas.microsoft.com/office/drawing/2014/main" id="{12BE9A0E-753F-F22F-E312-BF0F366F6E5A}"/>
            </a:ext>
          </a:extLst>
        </xdr:cNvPr>
        <xdr:cNvCxnSpPr/>
      </xdr:nvCxnSpPr>
      <xdr:spPr bwMode="auto">
        <a:xfrm flipV="1">
          <a:off x="2641600" y="1397000"/>
          <a:ext cx="0" cy="635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215900</xdr:colOff>
      <xdr:row>8</xdr:row>
      <xdr:rowOff>101600</xdr:rowOff>
    </xdr:from>
    <xdr:to>
      <xdr:col>9</xdr:col>
      <xdr:colOff>241300</xdr:colOff>
      <xdr:row>9</xdr:row>
      <xdr:rowOff>41275</xdr:rowOff>
    </xdr:to>
    <xdr:cxnSp macro="">
      <xdr:nvCxnSpPr>
        <xdr:cNvPr id="1495552" name="Straight Connector 1495551">
          <a:extLst>
            <a:ext uri="{FF2B5EF4-FFF2-40B4-BE49-F238E27FC236}">
              <a16:creationId xmlns:a16="http://schemas.microsoft.com/office/drawing/2014/main" id="{71FC86E4-3A64-0AA1-B1B1-2E41B1B1FCB4}"/>
            </a:ext>
          </a:extLst>
        </xdr:cNvPr>
        <xdr:cNvCxnSpPr/>
      </xdr:nvCxnSpPr>
      <xdr:spPr bwMode="auto">
        <a:xfrm flipV="1">
          <a:off x="26162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241300</xdr:colOff>
      <xdr:row>8</xdr:row>
      <xdr:rowOff>101600</xdr:rowOff>
    </xdr:from>
    <xdr:to>
      <xdr:col>10</xdr:col>
      <xdr:colOff>19050</xdr:colOff>
      <xdr:row>9</xdr:row>
      <xdr:rowOff>41275</xdr:rowOff>
    </xdr:to>
    <xdr:cxnSp macro="">
      <xdr:nvCxnSpPr>
        <xdr:cNvPr id="1495553" name="Straight Connector 1495552">
          <a:extLst>
            <a:ext uri="{FF2B5EF4-FFF2-40B4-BE49-F238E27FC236}">
              <a16:creationId xmlns:a16="http://schemas.microsoft.com/office/drawing/2014/main" id="{6AD37D6F-DE7B-7D8B-4459-903F501D43B2}"/>
            </a:ext>
          </a:extLst>
        </xdr:cNvPr>
        <xdr:cNvCxnSpPr/>
      </xdr:nvCxnSpPr>
      <xdr:spPr bwMode="auto">
        <a:xfrm flipH="1" flipV="1">
          <a:off x="26416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133350</xdr:colOff>
      <xdr:row>9</xdr:row>
      <xdr:rowOff>111125</xdr:rowOff>
    </xdr:from>
    <xdr:to>
      <xdr:col>10</xdr:col>
      <xdr:colOff>152400</xdr:colOff>
      <xdr:row>9</xdr:row>
      <xdr:rowOff>111125</xdr:rowOff>
    </xdr:to>
    <xdr:cxnSp macro="">
      <xdr:nvCxnSpPr>
        <xdr:cNvPr id="1495554" name="Straight Connector 1495553">
          <a:extLst>
            <a:ext uri="{FF2B5EF4-FFF2-40B4-BE49-F238E27FC236}">
              <a16:creationId xmlns:a16="http://schemas.microsoft.com/office/drawing/2014/main" id="{CEC0874B-C755-52A5-4A77-76FCCD79D532}"/>
            </a:ext>
          </a:extLst>
        </xdr:cNvPr>
        <xdr:cNvCxnSpPr/>
      </xdr:nvCxnSpPr>
      <xdr:spPr bwMode="auto">
        <a:xfrm>
          <a:off x="2533650" y="15684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152400</xdr:colOff>
      <xdr:row>9</xdr:row>
      <xdr:rowOff>111125</xdr:rowOff>
    </xdr:from>
    <xdr:to>
      <xdr:col>10</xdr:col>
      <xdr:colOff>152400</xdr:colOff>
      <xdr:row>11</xdr:row>
      <xdr:rowOff>79375</xdr:rowOff>
    </xdr:to>
    <xdr:cxnSp macro="">
      <xdr:nvCxnSpPr>
        <xdr:cNvPr id="1495555" name="Straight Connector 1495554">
          <a:extLst>
            <a:ext uri="{FF2B5EF4-FFF2-40B4-BE49-F238E27FC236}">
              <a16:creationId xmlns:a16="http://schemas.microsoft.com/office/drawing/2014/main" id="{FBC1D596-2BB9-63FD-8C49-C9ED08BADCC3}"/>
            </a:ext>
          </a:extLst>
        </xdr:cNvPr>
        <xdr:cNvCxnSpPr/>
      </xdr:nvCxnSpPr>
      <xdr:spPr bwMode="auto">
        <a:xfrm>
          <a:off x="2800350" y="1568450"/>
          <a:ext cx="0" cy="2921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133350</xdr:colOff>
      <xdr:row>11</xdr:row>
      <xdr:rowOff>79375</xdr:rowOff>
    </xdr:from>
    <xdr:to>
      <xdr:col>10</xdr:col>
      <xdr:colOff>152400</xdr:colOff>
      <xdr:row>11</xdr:row>
      <xdr:rowOff>79375</xdr:rowOff>
    </xdr:to>
    <xdr:cxnSp macro="">
      <xdr:nvCxnSpPr>
        <xdr:cNvPr id="1495556" name="Straight Connector 1495555">
          <a:extLst>
            <a:ext uri="{FF2B5EF4-FFF2-40B4-BE49-F238E27FC236}">
              <a16:creationId xmlns:a16="http://schemas.microsoft.com/office/drawing/2014/main" id="{59AACE31-6C30-EE5A-1CBD-5F561E80C453}"/>
            </a:ext>
          </a:extLst>
        </xdr:cNvPr>
        <xdr:cNvCxnSpPr/>
      </xdr:nvCxnSpPr>
      <xdr:spPr bwMode="auto">
        <a:xfrm flipH="1">
          <a:off x="2533650" y="18605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12700</xdr:colOff>
      <xdr:row>5</xdr:row>
      <xdr:rowOff>79375</xdr:rowOff>
    </xdr:from>
    <xdr:to>
      <xdr:col>12</xdr:col>
      <xdr:colOff>82550</xdr:colOff>
      <xdr:row>8</xdr:row>
      <xdr:rowOff>101600</xdr:rowOff>
    </xdr:to>
    <xdr:cxnSp macro="">
      <xdr:nvCxnSpPr>
        <xdr:cNvPr id="1495557" name="Straight Connector 1495556">
          <a:extLst>
            <a:ext uri="{FF2B5EF4-FFF2-40B4-BE49-F238E27FC236}">
              <a16:creationId xmlns:a16="http://schemas.microsoft.com/office/drawing/2014/main" id="{41A4AC3C-9DE0-CCAA-E450-454796697F7F}"/>
            </a:ext>
          </a:extLst>
        </xdr:cNvPr>
        <xdr:cNvCxnSpPr/>
      </xdr:nvCxnSpPr>
      <xdr:spPr bwMode="auto">
        <a:xfrm flipV="1">
          <a:off x="2908300" y="889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82550</xdr:colOff>
      <xdr:row>5</xdr:row>
      <xdr:rowOff>79375</xdr:rowOff>
    </xdr:from>
    <xdr:to>
      <xdr:col>12</xdr:col>
      <xdr:colOff>82550</xdr:colOff>
      <xdr:row>15</xdr:row>
      <xdr:rowOff>111125</xdr:rowOff>
    </xdr:to>
    <xdr:cxnSp macro="">
      <xdr:nvCxnSpPr>
        <xdr:cNvPr id="1495558" name="Straight Connector 1495557">
          <a:extLst>
            <a:ext uri="{FF2B5EF4-FFF2-40B4-BE49-F238E27FC236}">
              <a16:creationId xmlns:a16="http://schemas.microsoft.com/office/drawing/2014/main" id="{A845EFAF-64F0-6E3C-6710-177BA2287916}"/>
            </a:ext>
          </a:extLst>
        </xdr:cNvPr>
        <xdr:cNvCxnSpPr/>
      </xdr:nvCxnSpPr>
      <xdr:spPr bwMode="auto">
        <a:xfrm>
          <a:off x="3225800" y="889000"/>
          <a:ext cx="0" cy="1651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57150</xdr:colOff>
      <xdr:row>15</xdr:row>
      <xdr:rowOff>9525</xdr:rowOff>
    </xdr:from>
    <xdr:to>
      <xdr:col>12</xdr:col>
      <xdr:colOff>82550</xdr:colOff>
      <xdr:row>15</xdr:row>
      <xdr:rowOff>111125</xdr:rowOff>
    </xdr:to>
    <xdr:cxnSp macro="">
      <xdr:nvCxnSpPr>
        <xdr:cNvPr id="1495559" name="Straight Connector 1495558">
          <a:extLst>
            <a:ext uri="{FF2B5EF4-FFF2-40B4-BE49-F238E27FC236}">
              <a16:creationId xmlns:a16="http://schemas.microsoft.com/office/drawing/2014/main" id="{853EEF73-8A36-2980-E3E0-2F3E1FA31F5D}"/>
            </a:ext>
          </a:extLst>
        </xdr:cNvPr>
        <xdr:cNvCxnSpPr/>
      </xdr:nvCxnSpPr>
      <xdr:spPr bwMode="auto">
        <a:xfrm>
          <a:off x="32004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82550</xdr:colOff>
      <xdr:row>15</xdr:row>
      <xdr:rowOff>9525</xdr:rowOff>
    </xdr:from>
    <xdr:to>
      <xdr:col>12</xdr:col>
      <xdr:colOff>107950</xdr:colOff>
      <xdr:row>15</xdr:row>
      <xdr:rowOff>111125</xdr:rowOff>
    </xdr:to>
    <xdr:cxnSp macro="">
      <xdr:nvCxnSpPr>
        <xdr:cNvPr id="1495560" name="Straight Connector 1495559">
          <a:extLst>
            <a:ext uri="{FF2B5EF4-FFF2-40B4-BE49-F238E27FC236}">
              <a16:creationId xmlns:a16="http://schemas.microsoft.com/office/drawing/2014/main" id="{0966255E-4014-5D9A-A641-FC934F030943}"/>
            </a:ext>
          </a:extLst>
        </xdr:cNvPr>
        <xdr:cNvCxnSpPr/>
      </xdr:nvCxnSpPr>
      <xdr:spPr bwMode="auto">
        <a:xfrm flipH="1">
          <a:off x="32258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12700</xdr:colOff>
      <xdr:row>12</xdr:row>
      <xdr:rowOff>88900</xdr:rowOff>
    </xdr:from>
    <xdr:to>
      <xdr:col>12</xdr:col>
      <xdr:colOff>82550</xdr:colOff>
      <xdr:row>15</xdr:row>
      <xdr:rowOff>111125</xdr:rowOff>
    </xdr:to>
    <xdr:cxnSp macro="">
      <xdr:nvCxnSpPr>
        <xdr:cNvPr id="1495561" name="Straight Connector 1495560">
          <a:extLst>
            <a:ext uri="{FF2B5EF4-FFF2-40B4-BE49-F238E27FC236}">
              <a16:creationId xmlns:a16="http://schemas.microsoft.com/office/drawing/2014/main" id="{C5CC195C-1284-DBEA-8001-E48EDC7D5BF8}"/>
            </a:ext>
          </a:extLst>
        </xdr:cNvPr>
        <xdr:cNvCxnSpPr/>
      </xdr:nvCxnSpPr>
      <xdr:spPr bwMode="auto">
        <a:xfrm flipH="1" flipV="1">
          <a:off x="2908300" y="2032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12700</xdr:colOff>
      <xdr:row>8</xdr:row>
      <xdr:rowOff>101600</xdr:rowOff>
    </xdr:from>
    <xdr:to>
      <xdr:col>11</xdr:col>
      <xdr:colOff>12700</xdr:colOff>
      <xdr:row>12</xdr:row>
      <xdr:rowOff>88900</xdr:rowOff>
    </xdr:to>
    <xdr:cxnSp macro="">
      <xdr:nvCxnSpPr>
        <xdr:cNvPr id="1495562" name="Straight Connector 1495561">
          <a:extLst>
            <a:ext uri="{FF2B5EF4-FFF2-40B4-BE49-F238E27FC236}">
              <a16:creationId xmlns:a16="http://schemas.microsoft.com/office/drawing/2014/main" id="{E02A14E7-87AF-D301-5997-9B8656FEB21B}"/>
            </a:ext>
          </a:extLst>
        </xdr:cNvPr>
        <xdr:cNvCxnSpPr/>
      </xdr:nvCxnSpPr>
      <xdr:spPr bwMode="auto">
        <a:xfrm flipV="1">
          <a:off x="2908300" y="1397000"/>
          <a:ext cx="0" cy="635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234950</xdr:colOff>
      <xdr:row>8</xdr:row>
      <xdr:rowOff>101600</xdr:rowOff>
    </xdr:from>
    <xdr:to>
      <xdr:col>11</xdr:col>
      <xdr:colOff>12700</xdr:colOff>
      <xdr:row>9</xdr:row>
      <xdr:rowOff>41275</xdr:rowOff>
    </xdr:to>
    <xdr:cxnSp macro="">
      <xdr:nvCxnSpPr>
        <xdr:cNvPr id="1495563" name="Straight Connector 1495562">
          <a:extLst>
            <a:ext uri="{FF2B5EF4-FFF2-40B4-BE49-F238E27FC236}">
              <a16:creationId xmlns:a16="http://schemas.microsoft.com/office/drawing/2014/main" id="{D82D3CA4-D6D1-93E0-3A9E-E96FC5AF21FA}"/>
            </a:ext>
          </a:extLst>
        </xdr:cNvPr>
        <xdr:cNvCxnSpPr/>
      </xdr:nvCxnSpPr>
      <xdr:spPr bwMode="auto">
        <a:xfrm flipV="1">
          <a:off x="28829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12700</xdr:colOff>
      <xdr:row>8</xdr:row>
      <xdr:rowOff>101600</xdr:rowOff>
    </xdr:from>
    <xdr:to>
      <xdr:col>11</xdr:col>
      <xdr:colOff>38100</xdr:colOff>
      <xdr:row>9</xdr:row>
      <xdr:rowOff>41275</xdr:rowOff>
    </xdr:to>
    <xdr:cxnSp macro="">
      <xdr:nvCxnSpPr>
        <xdr:cNvPr id="1495564" name="Straight Connector 1495563">
          <a:extLst>
            <a:ext uri="{FF2B5EF4-FFF2-40B4-BE49-F238E27FC236}">
              <a16:creationId xmlns:a16="http://schemas.microsoft.com/office/drawing/2014/main" id="{D4D18F10-EA1C-0F0F-2131-4765ED8EF4F3}"/>
            </a:ext>
          </a:extLst>
        </xdr:cNvPr>
        <xdr:cNvCxnSpPr/>
      </xdr:nvCxnSpPr>
      <xdr:spPr bwMode="auto">
        <a:xfrm flipH="1" flipV="1">
          <a:off x="29083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152400</xdr:colOff>
      <xdr:row>9</xdr:row>
      <xdr:rowOff>111125</xdr:rowOff>
    </xdr:from>
    <xdr:to>
      <xdr:col>11</xdr:col>
      <xdr:colOff>171450</xdr:colOff>
      <xdr:row>9</xdr:row>
      <xdr:rowOff>111125</xdr:rowOff>
    </xdr:to>
    <xdr:cxnSp macro="">
      <xdr:nvCxnSpPr>
        <xdr:cNvPr id="1495565" name="Straight Connector 1495564">
          <a:extLst>
            <a:ext uri="{FF2B5EF4-FFF2-40B4-BE49-F238E27FC236}">
              <a16:creationId xmlns:a16="http://schemas.microsoft.com/office/drawing/2014/main" id="{24D37305-4884-EE16-8ECC-60AC323C3E54}"/>
            </a:ext>
          </a:extLst>
        </xdr:cNvPr>
        <xdr:cNvCxnSpPr/>
      </xdr:nvCxnSpPr>
      <xdr:spPr bwMode="auto">
        <a:xfrm>
          <a:off x="2800350" y="15684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171450</xdr:colOff>
      <xdr:row>9</xdr:row>
      <xdr:rowOff>111125</xdr:rowOff>
    </xdr:from>
    <xdr:to>
      <xdr:col>11</xdr:col>
      <xdr:colOff>171450</xdr:colOff>
      <xdr:row>11</xdr:row>
      <xdr:rowOff>79375</xdr:rowOff>
    </xdr:to>
    <xdr:cxnSp macro="">
      <xdr:nvCxnSpPr>
        <xdr:cNvPr id="1495566" name="Straight Connector 1495565">
          <a:extLst>
            <a:ext uri="{FF2B5EF4-FFF2-40B4-BE49-F238E27FC236}">
              <a16:creationId xmlns:a16="http://schemas.microsoft.com/office/drawing/2014/main" id="{4CADF57C-DBB3-EF7E-DF5A-2EDF0D440CBE}"/>
            </a:ext>
          </a:extLst>
        </xdr:cNvPr>
        <xdr:cNvCxnSpPr/>
      </xdr:nvCxnSpPr>
      <xdr:spPr bwMode="auto">
        <a:xfrm>
          <a:off x="3067050" y="1568450"/>
          <a:ext cx="0" cy="2921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152400</xdr:colOff>
      <xdr:row>11</xdr:row>
      <xdr:rowOff>79375</xdr:rowOff>
    </xdr:from>
    <xdr:to>
      <xdr:col>11</xdr:col>
      <xdr:colOff>171450</xdr:colOff>
      <xdr:row>11</xdr:row>
      <xdr:rowOff>79375</xdr:rowOff>
    </xdr:to>
    <xdr:cxnSp macro="">
      <xdr:nvCxnSpPr>
        <xdr:cNvPr id="1495567" name="Straight Connector 1495566">
          <a:extLst>
            <a:ext uri="{FF2B5EF4-FFF2-40B4-BE49-F238E27FC236}">
              <a16:creationId xmlns:a16="http://schemas.microsoft.com/office/drawing/2014/main" id="{848419E6-AB53-4D92-7BD7-44B137C726D4}"/>
            </a:ext>
          </a:extLst>
        </xdr:cNvPr>
        <xdr:cNvCxnSpPr/>
      </xdr:nvCxnSpPr>
      <xdr:spPr bwMode="auto">
        <a:xfrm flipH="1">
          <a:off x="2800350" y="18605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31750</xdr:colOff>
      <xdr:row>5</xdr:row>
      <xdr:rowOff>79375</xdr:rowOff>
    </xdr:from>
    <xdr:to>
      <xdr:col>13</xdr:col>
      <xdr:colOff>101600</xdr:colOff>
      <xdr:row>8</xdr:row>
      <xdr:rowOff>101600</xdr:rowOff>
    </xdr:to>
    <xdr:cxnSp macro="">
      <xdr:nvCxnSpPr>
        <xdr:cNvPr id="1495568" name="Straight Connector 1495567">
          <a:extLst>
            <a:ext uri="{FF2B5EF4-FFF2-40B4-BE49-F238E27FC236}">
              <a16:creationId xmlns:a16="http://schemas.microsoft.com/office/drawing/2014/main" id="{D57F2B6D-1487-80AF-375C-6087A70B1029}"/>
            </a:ext>
          </a:extLst>
        </xdr:cNvPr>
        <xdr:cNvCxnSpPr/>
      </xdr:nvCxnSpPr>
      <xdr:spPr bwMode="auto">
        <a:xfrm flipV="1">
          <a:off x="3175000" y="889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101600</xdr:colOff>
      <xdr:row>5</xdr:row>
      <xdr:rowOff>79375</xdr:rowOff>
    </xdr:from>
    <xdr:to>
      <xdr:col>13</xdr:col>
      <xdr:colOff>101600</xdr:colOff>
      <xdr:row>15</xdr:row>
      <xdr:rowOff>111125</xdr:rowOff>
    </xdr:to>
    <xdr:cxnSp macro="">
      <xdr:nvCxnSpPr>
        <xdr:cNvPr id="1495569" name="Straight Connector 1495568">
          <a:extLst>
            <a:ext uri="{FF2B5EF4-FFF2-40B4-BE49-F238E27FC236}">
              <a16:creationId xmlns:a16="http://schemas.microsoft.com/office/drawing/2014/main" id="{796792F6-01C6-5331-842B-C3081E603096}"/>
            </a:ext>
          </a:extLst>
        </xdr:cNvPr>
        <xdr:cNvCxnSpPr/>
      </xdr:nvCxnSpPr>
      <xdr:spPr bwMode="auto">
        <a:xfrm>
          <a:off x="3492500" y="889000"/>
          <a:ext cx="0" cy="1651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76200</xdr:colOff>
      <xdr:row>15</xdr:row>
      <xdr:rowOff>9525</xdr:rowOff>
    </xdr:from>
    <xdr:to>
      <xdr:col>13</xdr:col>
      <xdr:colOff>101600</xdr:colOff>
      <xdr:row>15</xdr:row>
      <xdr:rowOff>111125</xdr:rowOff>
    </xdr:to>
    <xdr:cxnSp macro="">
      <xdr:nvCxnSpPr>
        <xdr:cNvPr id="1495570" name="Straight Connector 1495569">
          <a:extLst>
            <a:ext uri="{FF2B5EF4-FFF2-40B4-BE49-F238E27FC236}">
              <a16:creationId xmlns:a16="http://schemas.microsoft.com/office/drawing/2014/main" id="{8EDF88A9-FE2C-C6D7-CAD1-8D46E7D29F8B}"/>
            </a:ext>
          </a:extLst>
        </xdr:cNvPr>
        <xdr:cNvCxnSpPr/>
      </xdr:nvCxnSpPr>
      <xdr:spPr bwMode="auto">
        <a:xfrm>
          <a:off x="34671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101600</xdr:colOff>
      <xdr:row>15</xdr:row>
      <xdr:rowOff>9525</xdr:rowOff>
    </xdr:from>
    <xdr:to>
      <xdr:col>13</xdr:col>
      <xdr:colOff>127000</xdr:colOff>
      <xdr:row>15</xdr:row>
      <xdr:rowOff>111125</xdr:rowOff>
    </xdr:to>
    <xdr:cxnSp macro="">
      <xdr:nvCxnSpPr>
        <xdr:cNvPr id="1495571" name="Straight Connector 1495570">
          <a:extLst>
            <a:ext uri="{FF2B5EF4-FFF2-40B4-BE49-F238E27FC236}">
              <a16:creationId xmlns:a16="http://schemas.microsoft.com/office/drawing/2014/main" id="{2E96EE46-42ED-8F94-FA87-EA42BC783F19}"/>
            </a:ext>
          </a:extLst>
        </xdr:cNvPr>
        <xdr:cNvCxnSpPr/>
      </xdr:nvCxnSpPr>
      <xdr:spPr bwMode="auto">
        <a:xfrm flipH="1">
          <a:off x="34925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31750</xdr:colOff>
      <xdr:row>12</xdr:row>
      <xdr:rowOff>88900</xdr:rowOff>
    </xdr:from>
    <xdr:to>
      <xdr:col>13</xdr:col>
      <xdr:colOff>101600</xdr:colOff>
      <xdr:row>15</xdr:row>
      <xdr:rowOff>111125</xdr:rowOff>
    </xdr:to>
    <xdr:cxnSp macro="">
      <xdr:nvCxnSpPr>
        <xdr:cNvPr id="1495572" name="Straight Connector 1495571">
          <a:extLst>
            <a:ext uri="{FF2B5EF4-FFF2-40B4-BE49-F238E27FC236}">
              <a16:creationId xmlns:a16="http://schemas.microsoft.com/office/drawing/2014/main" id="{1FD1864A-463B-DC1A-679A-3093AE965B89}"/>
            </a:ext>
          </a:extLst>
        </xdr:cNvPr>
        <xdr:cNvCxnSpPr/>
      </xdr:nvCxnSpPr>
      <xdr:spPr bwMode="auto">
        <a:xfrm flipH="1" flipV="1">
          <a:off x="3175000" y="2032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31750</xdr:colOff>
      <xdr:row>8</xdr:row>
      <xdr:rowOff>101600</xdr:rowOff>
    </xdr:from>
    <xdr:to>
      <xdr:col>12</xdr:col>
      <xdr:colOff>31750</xdr:colOff>
      <xdr:row>12</xdr:row>
      <xdr:rowOff>88900</xdr:rowOff>
    </xdr:to>
    <xdr:cxnSp macro="">
      <xdr:nvCxnSpPr>
        <xdr:cNvPr id="1495573" name="Straight Connector 1495572">
          <a:extLst>
            <a:ext uri="{FF2B5EF4-FFF2-40B4-BE49-F238E27FC236}">
              <a16:creationId xmlns:a16="http://schemas.microsoft.com/office/drawing/2014/main" id="{FF60853C-5EE7-2AC1-50A7-D55A3F24C97D}"/>
            </a:ext>
          </a:extLst>
        </xdr:cNvPr>
        <xdr:cNvCxnSpPr/>
      </xdr:nvCxnSpPr>
      <xdr:spPr bwMode="auto">
        <a:xfrm flipV="1">
          <a:off x="3175000" y="1397000"/>
          <a:ext cx="0" cy="635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6350</xdr:colOff>
      <xdr:row>8</xdr:row>
      <xdr:rowOff>101600</xdr:rowOff>
    </xdr:from>
    <xdr:to>
      <xdr:col>12</xdr:col>
      <xdr:colOff>31750</xdr:colOff>
      <xdr:row>9</xdr:row>
      <xdr:rowOff>41275</xdr:rowOff>
    </xdr:to>
    <xdr:cxnSp macro="">
      <xdr:nvCxnSpPr>
        <xdr:cNvPr id="1495574" name="Straight Connector 1495573">
          <a:extLst>
            <a:ext uri="{FF2B5EF4-FFF2-40B4-BE49-F238E27FC236}">
              <a16:creationId xmlns:a16="http://schemas.microsoft.com/office/drawing/2014/main" id="{A6BBC0DA-DC72-3AF5-F81E-746A813903E9}"/>
            </a:ext>
          </a:extLst>
        </xdr:cNvPr>
        <xdr:cNvCxnSpPr/>
      </xdr:nvCxnSpPr>
      <xdr:spPr bwMode="auto">
        <a:xfrm flipV="1">
          <a:off x="31496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31750</xdr:colOff>
      <xdr:row>8</xdr:row>
      <xdr:rowOff>101600</xdr:rowOff>
    </xdr:from>
    <xdr:to>
      <xdr:col>12</xdr:col>
      <xdr:colOff>57150</xdr:colOff>
      <xdr:row>9</xdr:row>
      <xdr:rowOff>41275</xdr:rowOff>
    </xdr:to>
    <xdr:cxnSp macro="">
      <xdr:nvCxnSpPr>
        <xdr:cNvPr id="1495575" name="Straight Connector 1495574">
          <a:extLst>
            <a:ext uri="{FF2B5EF4-FFF2-40B4-BE49-F238E27FC236}">
              <a16:creationId xmlns:a16="http://schemas.microsoft.com/office/drawing/2014/main" id="{A628E051-4400-E765-D294-C5C3753E98D8}"/>
            </a:ext>
          </a:extLst>
        </xdr:cNvPr>
        <xdr:cNvCxnSpPr/>
      </xdr:nvCxnSpPr>
      <xdr:spPr bwMode="auto">
        <a:xfrm flipH="1" flipV="1">
          <a:off x="31750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171450</xdr:colOff>
      <xdr:row>9</xdr:row>
      <xdr:rowOff>111125</xdr:rowOff>
    </xdr:from>
    <xdr:to>
      <xdr:col>12</xdr:col>
      <xdr:colOff>190500</xdr:colOff>
      <xdr:row>9</xdr:row>
      <xdr:rowOff>111125</xdr:rowOff>
    </xdr:to>
    <xdr:cxnSp macro="">
      <xdr:nvCxnSpPr>
        <xdr:cNvPr id="1495576" name="Straight Connector 1495575">
          <a:extLst>
            <a:ext uri="{FF2B5EF4-FFF2-40B4-BE49-F238E27FC236}">
              <a16:creationId xmlns:a16="http://schemas.microsoft.com/office/drawing/2014/main" id="{C134DB1E-8FAE-F142-AFFB-E7A167E03D21}"/>
            </a:ext>
          </a:extLst>
        </xdr:cNvPr>
        <xdr:cNvCxnSpPr/>
      </xdr:nvCxnSpPr>
      <xdr:spPr bwMode="auto">
        <a:xfrm>
          <a:off x="3067050" y="15684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190500</xdr:colOff>
      <xdr:row>9</xdr:row>
      <xdr:rowOff>111125</xdr:rowOff>
    </xdr:from>
    <xdr:to>
      <xdr:col>12</xdr:col>
      <xdr:colOff>190500</xdr:colOff>
      <xdr:row>11</xdr:row>
      <xdr:rowOff>79375</xdr:rowOff>
    </xdr:to>
    <xdr:cxnSp macro="">
      <xdr:nvCxnSpPr>
        <xdr:cNvPr id="1495577" name="Straight Connector 1495576">
          <a:extLst>
            <a:ext uri="{FF2B5EF4-FFF2-40B4-BE49-F238E27FC236}">
              <a16:creationId xmlns:a16="http://schemas.microsoft.com/office/drawing/2014/main" id="{85AA80D1-AA75-AC1F-9E4C-8CF8FB5EFB64}"/>
            </a:ext>
          </a:extLst>
        </xdr:cNvPr>
        <xdr:cNvCxnSpPr/>
      </xdr:nvCxnSpPr>
      <xdr:spPr bwMode="auto">
        <a:xfrm>
          <a:off x="3333750" y="1568450"/>
          <a:ext cx="0" cy="2921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171450</xdr:colOff>
      <xdr:row>11</xdr:row>
      <xdr:rowOff>79375</xdr:rowOff>
    </xdr:from>
    <xdr:to>
      <xdr:col>12</xdr:col>
      <xdr:colOff>190500</xdr:colOff>
      <xdr:row>11</xdr:row>
      <xdr:rowOff>79375</xdr:rowOff>
    </xdr:to>
    <xdr:cxnSp macro="">
      <xdr:nvCxnSpPr>
        <xdr:cNvPr id="1495578" name="Straight Connector 1495577">
          <a:extLst>
            <a:ext uri="{FF2B5EF4-FFF2-40B4-BE49-F238E27FC236}">
              <a16:creationId xmlns:a16="http://schemas.microsoft.com/office/drawing/2014/main" id="{FB24DF19-A773-E7BF-C5B5-500D4EBEDFD3}"/>
            </a:ext>
          </a:extLst>
        </xdr:cNvPr>
        <xdr:cNvCxnSpPr/>
      </xdr:nvCxnSpPr>
      <xdr:spPr bwMode="auto">
        <a:xfrm flipH="1">
          <a:off x="3067050" y="18605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50800</xdr:colOff>
      <xdr:row>5</xdr:row>
      <xdr:rowOff>79375</xdr:rowOff>
    </xdr:from>
    <xdr:to>
      <xdr:col>14</xdr:col>
      <xdr:colOff>120650</xdr:colOff>
      <xdr:row>8</xdr:row>
      <xdr:rowOff>101600</xdr:rowOff>
    </xdr:to>
    <xdr:cxnSp macro="">
      <xdr:nvCxnSpPr>
        <xdr:cNvPr id="1495579" name="Straight Connector 1495578">
          <a:extLst>
            <a:ext uri="{FF2B5EF4-FFF2-40B4-BE49-F238E27FC236}">
              <a16:creationId xmlns:a16="http://schemas.microsoft.com/office/drawing/2014/main" id="{6C856C59-A6BA-F5FD-C337-0BEB8C734BD8}"/>
            </a:ext>
          </a:extLst>
        </xdr:cNvPr>
        <xdr:cNvCxnSpPr/>
      </xdr:nvCxnSpPr>
      <xdr:spPr bwMode="auto">
        <a:xfrm flipV="1">
          <a:off x="3441700" y="889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120650</xdr:colOff>
      <xdr:row>5</xdr:row>
      <xdr:rowOff>79375</xdr:rowOff>
    </xdr:from>
    <xdr:to>
      <xdr:col>14</xdr:col>
      <xdr:colOff>120650</xdr:colOff>
      <xdr:row>15</xdr:row>
      <xdr:rowOff>111125</xdr:rowOff>
    </xdr:to>
    <xdr:cxnSp macro="">
      <xdr:nvCxnSpPr>
        <xdr:cNvPr id="1495580" name="Straight Connector 1495579">
          <a:extLst>
            <a:ext uri="{FF2B5EF4-FFF2-40B4-BE49-F238E27FC236}">
              <a16:creationId xmlns:a16="http://schemas.microsoft.com/office/drawing/2014/main" id="{573DD3AD-BA67-B1BF-234F-1A243546B5E3}"/>
            </a:ext>
          </a:extLst>
        </xdr:cNvPr>
        <xdr:cNvCxnSpPr/>
      </xdr:nvCxnSpPr>
      <xdr:spPr bwMode="auto">
        <a:xfrm>
          <a:off x="3759200" y="889000"/>
          <a:ext cx="0" cy="1651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95250</xdr:colOff>
      <xdr:row>15</xdr:row>
      <xdr:rowOff>9525</xdr:rowOff>
    </xdr:from>
    <xdr:to>
      <xdr:col>14</xdr:col>
      <xdr:colOff>120650</xdr:colOff>
      <xdr:row>15</xdr:row>
      <xdr:rowOff>111125</xdr:rowOff>
    </xdr:to>
    <xdr:cxnSp macro="">
      <xdr:nvCxnSpPr>
        <xdr:cNvPr id="1495581" name="Straight Connector 1495580">
          <a:extLst>
            <a:ext uri="{FF2B5EF4-FFF2-40B4-BE49-F238E27FC236}">
              <a16:creationId xmlns:a16="http://schemas.microsoft.com/office/drawing/2014/main" id="{064EDBD0-0BBA-E2F1-CA0E-EF58B08F7A55}"/>
            </a:ext>
          </a:extLst>
        </xdr:cNvPr>
        <xdr:cNvCxnSpPr/>
      </xdr:nvCxnSpPr>
      <xdr:spPr bwMode="auto">
        <a:xfrm>
          <a:off x="37338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120650</xdr:colOff>
      <xdr:row>15</xdr:row>
      <xdr:rowOff>9525</xdr:rowOff>
    </xdr:from>
    <xdr:to>
      <xdr:col>14</xdr:col>
      <xdr:colOff>146050</xdr:colOff>
      <xdr:row>15</xdr:row>
      <xdr:rowOff>111125</xdr:rowOff>
    </xdr:to>
    <xdr:cxnSp macro="">
      <xdr:nvCxnSpPr>
        <xdr:cNvPr id="1495582" name="Straight Connector 1495581">
          <a:extLst>
            <a:ext uri="{FF2B5EF4-FFF2-40B4-BE49-F238E27FC236}">
              <a16:creationId xmlns:a16="http://schemas.microsoft.com/office/drawing/2014/main" id="{A4A92C4F-6708-1758-1D9A-6A1D5CBF22BE}"/>
            </a:ext>
          </a:extLst>
        </xdr:cNvPr>
        <xdr:cNvCxnSpPr/>
      </xdr:nvCxnSpPr>
      <xdr:spPr bwMode="auto">
        <a:xfrm flipH="1">
          <a:off x="37592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50800</xdr:colOff>
      <xdr:row>12</xdr:row>
      <xdr:rowOff>88900</xdr:rowOff>
    </xdr:from>
    <xdr:to>
      <xdr:col>14</xdr:col>
      <xdr:colOff>120650</xdr:colOff>
      <xdr:row>15</xdr:row>
      <xdr:rowOff>111125</xdr:rowOff>
    </xdr:to>
    <xdr:cxnSp macro="">
      <xdr:nvCxnSpPr>
        <xdr:cNvPr id="1495583" name="Straight Connector 1495582">
          <a:extLst>
            <a:ext uri="{FF2B5EF4-FFF2-40B4-BE49-F238E27FC236}">
              <a16:creationId xmlns:a16="http://schemas.microsoft.com/office/drawing/2014/main" id="{856EA2FB-D775-171B-F3EE-AA7196180D8A}"/>
            </a:ext>
          </a:extLst>
        </xdr:cNvPr>
        <xdr:cNvCxnSpPr/>
      </xdr:nvCxnSpPr>
      <xdr:spPr bwMode="auto">
        <a:xfrm flipH="1" flipV="1">
          <a:off x="3441700" y="2032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50800</xdr:colOff>
      <xdr:row>8</xdr:row>
      <xdr:rowOff>101600</xdr:rowOff>
    </xdr:from>
    <xdr:to>
      <xdr:col>13</xdr:col>
      <xdr:colOff>50800</xdr:colOff>
      <xdr:row>12</xdr:row>
      <xdr:rowOff>88900</xdr:rowOff>
    </xdr:to>
    <xdr:cxnSp macro="">
      <xdr:nvCxnSpPr>
        <xdr:cNvPr id="1495589" name="Straight Connector 1495588">
          <a:extLst>
            <a:ext uri="{FF2B5EF4-FFF2-40B4-BE49-F238E27FC236}">
              <a16:creationId xmlns:a16="http://schemas.microsoft.com/office/drawing/2014/main" id="{D894E689-09B7-F0C7-2C1C-8B9CCEC9D380}"/>
            </a:ext>
          </a:extLst>
        </xdr:cNvPr>
        <xdr:cNvCxnSpPr/>
      </xdr:nvCxnSpPr>
      <xdr:spPr bwMode="auto">
        <a:xfrm flipV="1">
          <a:off x="3441700" y="1397000"/>
          <a:ext cx="0" cy="635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25400</xdr:colOff>
      <xdr:row>8</xdr:row>
      <xdr:rowOff>101600</xdr:rowOff>
    </xdr:from>
    <xdr:to>
      <xdr:col>13</xdr:col>
      <xdr:colOff>50800</xdr:colOff>
      <xdr:row>9</xdr:row>
      <xdr:rowOff>41275</xdr:rowOff>
    </xdr:to>
    <xdr:cxnSp macro="">
      <xdr:nvCxnSpPr>
        <xdr:cNvPr id="1495590" name="Straight Connector 1495589">
          <a:extLst>
            <a:ext uri="{FF2B5EF4-FFF2-40B4-BE49-F238E27FC236}">
              <a16:creationId xmlns:a16="http://schemas.microsoft.com/office/drawing/2014/main" id="{21E5FA8B-8D9C-8E39-24EB-2EE879B82FFC}"/>
            </a:ext>
          </a:extLst>
        </xdr:cNvPr>
        <xdr:cNvCxnSpPr/>
      </xdr:nvCxnSpPr>
      <xdr:spPr bwMode="auto">
        <a:xfrm flipV="1">
          <a:off x="34163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50800</xdr:colOff>
      <xdr:row>8</xdr:row>
      <xdr:rowOff>101600</xdr:rowOff>
    </xdr:from>
    <xdr:to>
      <xdr:col>13</xdr:col>
      <xdr:colOff>76200</xdr:colOff>
      <xdr:row>9</xdr:row>
      <xdr:rowOff>41275</xdr:rowOff>
    </xdr:to>
    <xdr:cxnSp macro="">
      <xdr:nvCxnSpPr>
        <xdr:cNvPr id="1495591" name="Straight Connector 1495590">
          <a:extLst>
            <a:ext uri="{FF2B5EF4-FFF2-40B4-BE49-F238E27FC236}">
              <a16:creationId xmlns:a16="http://schemas.microsoft.com/office/drawing/2014/main" id="{C6A677A2-64BD-DA0A-7572-62CFB709366B}"/>
            </a:ext>
          </a:extLst>
        </xdr:cNvPr>
        <xdr:cNvCxnSpPr/>
      </xdr:nvCxnSpPr>
      <xdr:spPr bwMode="auto">
        <a:xfrm flipH="1" flipV="1">
          <a:off x="34417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190500</xdr:colOff>
      <xdr:row>9</xdr:row>
      <xdr:rowOff>111125</xdr:rowOff>
    </xdr:from>
    <xdr:to>
      <xdr:col>13</xdr:col>
      <xdr:colOff>209550</xdr:colOff>
      <xdr:row>9</xdr:row>
      <xdr:rowOff>111125</xdr:rowOff>
    </xdr:to>
    <xdr:cxnSp macro="">
      <xdr:nvCxnSpPr>
        <xdr:cNvPr id="1495592" name="Straight Connector 1495591">
          <a:extLst>
            <a:ext uri="{FF2B5EF4-FFF2-40B4-BE49-F238E27FC236}">
              <a16:creationId xmlns:a16="http://schemas.microsoft.com/office/drawing/2014/main" id="{68E29AF1-3122-3E66-31A2-380A8E6AB06E}"/>
            </a:ext>
          </a:extLst>
        </xdr:cNvPr>
        <xdr:cNvCxnSpPr/>
      </xdr:nvCxnSpPr>
      <xdr:spPr bwMode="auto">
        <a:xfrm>
          <a:off x="3333750" y="15684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209550</xdr:colOff>
      <xdr:row>9</xdr:row>
      <xdr:rowOff>111125</xdr:rowOff>
    </xdr:from>
    <xdr:to>
      <xdr:col>13</xdr:col>
      <xdr:colOff>209550</xdr:colOff>
      <xdr:row>11</xdr:row>
      <xdr:rowOff>79375</xdr:rowOff>
    </xdr:to>
    <xdr:cxnSp macro="">
      <xdr:nvCxnSpPr>
        <xdr:cNvPr id="1495593" name="Straight Connector 1495592">
          <a:extLst>
            <a:ext uri="{FF2B5EF4-FFF2-40B4-BE49-F238E27FC236}">
              <a16:creationId xmlns:a16="http://schemas.microsoft.com/office/drawing/2014/main" id="{45DD1605-602A-7423-2269-76C2A8EA6DDD}"/>
            </a:ext>
          </a:extLst>
        </xdr:cNvPr>
        <xdr:cNvCxnSpPr/>
      </xdr:nvCxnSpPr>
      <xdr:spPr bwMode="auto">
        <a:xfrm>
          <a:off x="3600450" y="1568450"/>
          <a:ext cx="0" cy="2921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190500</xdr:colOff>
      <xdr:row>11</xdr:row>
      <xdr:rowOff>79375</xdr:rowOff>
    </xdr:from>
    <xdr:to>
      <xdr:col>13</xdr:col>
      <xdr:colOff>209550</xdr:colOff>
      <xdr:row>11</xdr:row>
      <xdr:rowOff>79375</xdr:rowOff>
    </xdr:to>
    <xdr:cxnSp macro="">
      <xdr:nvCxnSpPr>
        <xdr:cNvPr id="1495594" name="Straight Connector 1495593">
          <a:extLst>
            <a:ext uri="{FF2B5EF4-FFF2-40B4-BE49-F238E27FC236}">
              <a16:creationId xmlns:a16="http://schemas.microsoft.com/office/drawing/2014/main" id="{9BEA68AC-0F67-A131-26A5-5CA2C0491D5C}"/>
            </a:ext>
          </a:extLst>
        </xdr:cNvPr>
        <xdr:cNvCxnSpPr/>
      </xdr:nvCxnSpPr>
      <xdr:spPr bwMode="auto">
        <a:xfrm flipH="1">
          <a:off x="3333750" y="18605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69850</xdr:colOff>
      <xdr:row>5</xdr:row>
      <xdr:rowOff>79375</xdr:rowOff>
    </xdr:from>
    <xdr:to>
      <xdr:col>15</xdr:col>
      <xdr:colOff>139700</xdr:colOff>
      <xdr:row>8</xdr:row>
      <xdr:rowOff>101600</xdr:rowOff>
    </xdr:to>
    <xdr:cxnSp macro="">
      <xdr:nvCxnSpPr>
        <xdr:cNvPr id="1495595" name="Straight Connector 1495594">
          <a:extLst>
            <a:ext uri="{FF2B5EF4-FFF2-40B4-BE49-F238E27FC236}">
              <a16:creationId xmlns:a16="http://schemas.microsoft.com/office/drawing/2014/main" id="{FC39F2C1-E356-483B-9861-CDE79285F0B9}"/>
            </a:ext>
          </a:extLst>
        </xdr:cNvPr>
        <xdr:cNvCxnSpPr/>
      </xdr:nvCxnSpPr>
      <xdr:spPr bwMode="auto">
        <a:xfrm flipV="1">
          <a:off x="3708400" y="889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139700</xdr:colOff>
      <xdr:row>5</xdr:row>
      <xdr:rowOff>79375</xdr:rowOff>
    </xdr:from>
    <xdr:to>
      <xdr:col>15</xdr:col>
      <xdr:colOff>139700</xdr:colOff>
      <xdr:row>15</xdr:row>
      <xdr:rowOff>111125</xdr:rowOff>
    </xdr:to>
    <xdr:cxnSp macro="">
      <xdr:nvCxnSpPr>
        <xdr:cNvPr id="1495596" name="Straight Connector 1495595">
          <a:extLst>
            <a:ext uri="{FF2B5EF4-FFF2-40B4-BE49-F238E27FC236}">
              <a16:creationId xmlns:a16="http://schemas.microsoft.com/office/drawing/2014/main" id="{B3A406F0-2781-D1DF-AB83-DE3F7A879EA3}"/>
            </a:ext>
          </a:extLst>
        </xdr:cNvPr>
        <xdr:cNvCxnSpPr/>
      </xdr:nvCxnSpPr>
      <xdr:spPr bwMode="auto">
        <a:xfrm>
          <a:off x="4025900" y="889000"/>
          <a:ext cx="0" cy="1651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114300</xdr:colOff>
      <xdr:row>15</xdr:row>
      <xdr:rowOff>9525</xdr:rowOff>
    </xdr:from>
    <xdr:to>
      <xdr:col>15</xdr:col>
      <xdr:colOff>139700</xdr:colOff>
      <xdr:row>15</xdr:row>
      <xdr:rowOff>111125</xdr:rowOff>
    </xdr:to>
    <xdr:cxnSp macro="">
      <xdr:nvCxnSpPr>
        <xdr:cNvPr id="1495597" name="Straight Connector 1495596">
          <a:extLst>
            <a:ext uri="{FF2B5EF4-FFF2-40B4-BE49-F238E27FC236}">
              <a16:creationId xmlns:a16="http://schemas.microsoft.com/office/drawing/2014/main" id="{7FAF7E90-7F13-1962-EC2E-8B06B159AC3A}"/>
            </a:ext>
          </a:extLst>
        </xdr:cNvPr>
        <xdr:cNvCxnSpPr/>
      </xdr:nvCxnSpPr>
      <xdr:spPr bwMode="auto">
        <a:xfrm>
          <a:off x="40005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139700</xdr:colOff>
      <xdr:row>15</xdr:row>
      <xdr:rowOff>9525</xdr:rowOff>
    </xdr:from>
    <xdr:to>
      <xdr:col>15</xdr:col>
      <xdr:colOff>165100</xdr:colOff>
      <xdr:row>15</xdr:row>
      <xdr:rowOff>111125</xdr:rowOff>
    </xdr:to>
    <xdr:cxnSp macro="">
      <xdr:nvCxnSpPr>
        <xdr:cNvPr id="1495598" name="Straight Connector 1495597">
          <a:extLst>
            <a:ext uri="{FF2B5EF4-FFF2-40B4-BE49-F238E27FC236}">
              <a16:creationId xmlns:a16="http://schemas.microsoft.com/office/drawing/2014/main" id="{FF40E565-4927-2B39-3865-9F5460203E54}"/>
            </a:ext>
          </a:extLst>
        </xdr:cNvPr>
        <xdr:cNvCxnSpPr/>
      </xdr:nvCxnSpPr>
      <xdr:spPr bwMode="auto">
        <a:xfrm flipH="1">
          <a:off x="4025900" y="24384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69850</xdr:colOff>
      <xdr:row>12</xdr:row>
      <xdr:rowOff>88900</xdr:rowOff>
    </xdr:from>
    <xdr:to>
      <xdr:col>15</xdr:col>
      <xdr:colOff>139700</xdr:colOff>
      <xdr:row>15</xdr:row>
      <xdr:rowOff>111125</xdr:rowOff>
    </xdr:to>
    <xdr:cxnSp macro="">
      <xdr:nvCxnSpPr>
        <xdr:cNvPr id="1495599" name="Straight Connector 1495598">
          <a:extLst>
            <a:ext uri="{FF2B5EF4-FFF2-40B4-BE49-F238E27FC236}">
              <a16:creationId xmlns:a16="http://schemas.microsoft.com/office/drawing/2014/main" id="{175EAA7A-D754-15CE-8D41-E5F1D24CDC2D}"/>
            </a:ext>
          </a:extLst>
        </xdr:cNvPr>
        <xdr:cNvCxnSpPr/>
      </xdr:nvCxnSpPr>
      <xdr:spPr bwMode="auto">
        <a:xfrm flipH="1" flipV="1">
          <a:off x="3708400" y="2032000"/>
          <a:ext cx="317500" cy="508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69850</xdr:colOff>
      <xdr:row>8</xdr:row>
      <xdr:rowOff>101600</xdr:rowOff>
    </xdr:from>
    <xdr:to>
      <xdr:col>14</xdr:col>
      <xdr:colOff>69850</xdr:colOff>
      <xdr:row>12</xdr:row>
      <xdr:rowOff>88900</xdr:rowOff>
    </xdr:to>
    <xdr:cxnSp macro="">
      <xdr:nvCxnSpPr>
        <xdr:cNvPr id="1495600" name="Straight Connector 1495599">
          <a:extLst>
            <a:ext uri="{FF2B5EF4-FFF2-40B4-BE49-F238E27FC236}">
              <a16:creationId xmlns:a16="http://schemas.microsoft.com/office/drawing/2014/main" id="{00A2229E-A50C-9C47-011C-0E3569B73209}"/>
            </a:ext>
          </a:extLst>
        </xdr:cNvPr>
        <xdr:cNvCxnSpPr/>
      </xdr:nvCxnSpPr>
      <xdr:spPr bwMode="auto">
        <a:xfrm flipV="1">
          <a:off x="3708400" y="1397000"/>
          <a:ext cx="0" cy="635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44450</xdr:colOff>
      <xdr:row>8</xdr:row>
      <xdr:rowOff>101600</xdr:rowOff>
    </xdr:from>
    <xdr:to>
      <xdr:col>14</xdr:col>
      <xdr:colOff>69850</xdr:colOff>
      <xdr:row>9</xdr:row>
      <xdr:rowOff>41275</xdr:rowOff>
    </xdr:to>
    <xdr:cxnSp macro="">
      <xdr:nvCxnSpPr>
        <xdr:cNvPr id="1495601" name="Straight Connector 1495600">
          <a:extLst>
            <a:ext uri="{FF2B5EF4-FFF2-40B4-BE49-F238E27FC236}">
              <a16:creationId xmlns:a16="http://schemas.microsoft.com/office/drawing/2014/main" id="{AAAD01F3-E748-222C-F4CE-F233A0C68BE3}"/>
            </a:ext>
          </a:extLst>
        </xdr:cNvPr>
        <xdr:cNvCxnSpPr/>
      </xdr:nvCxnSpPr>
      <xdr:spPr bwMode="auto">
        <a:xfrm flipV="1">
          <a:off x="36830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69850</xdr:colOff>
      <xdr:row>8</xdr:row>
      <xdr:rowOff>101600</xdr:rowOff>
    </xdr:from>
    <xdr:to>
      <xdr:col>14</xdr:col>
      <xdr:colOff>95250</xdr:colOff>
      <xdr:row>9</xdr:row>
      <xdr:rowOff>41275</xdr:rowOff>
    </xdr:to>
    <xdr:cxnSp macro="">
      <xdr:nvCxnSpPr>
        <xdr:cNvPr id="1495602" name="Straight Connector 1495601">
          <a:extLst>
            <a:ext uri="{FF2B5EF4-FFF2-40B4-BE49-F238E27FC236}">
              <a16:creationId xmlns:a16="http://schemas.microsoft.com/office/drawing/2014/main" id="{4E32FF74-88DC-1907-7280-2E13AFF57693}"/>
            </a:ext>
          </a:extLst>
        </xdr:cNvPr>
        <xdr:cNvCxnSpPr/>
      </xdr:nvCxnSpPr>
      <xdr:spPr bwMode="auto">
        <a:xfrm flipH="1" flipV="1">
          <a:off x="37084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209550</xdr:colOff>
      <xdr:row>9</xdr:row>
      <xdr:rowOff>111125</xdr:rowOff>
    </xdr:from>
    <xdr:to>
      <xdr:col>14</xdr:col>
      <xdr:colOff>228600</xdr:colOff>
      <xdr:row>9</xdr:row>
      <xdr:rowOff>111125</xdr:rowOff>
    </xdr:to>
    <xdr:cxnSp macro="">
      <xdr:nvCxnSpPr>
        <xdr:cNvPr id="1495603" name="Straight Connector 1495602">
          <a:extLst>
            <a:ext uri="{FF2B5EF4-FFF2-40B4-BE49-F238E27FC236}">
              <a16:creationId xmlns:a16="http://schemas.microsoft.com/office/drawing/2014/main" id="{9D03C718-0E27-D7C0-DBC0-37BF82997DE7}"/>
            </a:ext>
          </a:extLst>
        </xdr:cNvPr>
        <xdr:cNvCxnSpPr/>
      </xdr:nvCxnSpPr>
      <xdr:spPr bwMode="auto">
        <a:xfrm>
          <a:off x="3600450" y="15684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228600</xdr:colOff>
      <xdr:row>9</xdr:row>
      <xdr:rowOff>111125</xdr:rowOff>
    </xdr:from>
    <xdr:to>
      <xdr:col>14</xdr:col>
      <xdr:colOff>228600</xdr:colOff>
      <xdr:row>11</xdr:row>
      <xdr:rowOff>79375</xdr:rowOff>
    </xdr:to>
    <xdr:cxnSp macro="">
      <xdr:nvCxnSpPr>
        <xdr:cNvPr id="1495604" name="Straight Connector 1495603">
          <a:extLst>
            <a:ext uri="{FF2B5EF4-FFF2-40B4-BE49-F238E27FC236}">
              <a16:creationId xmlns:a16="http://schemas.microsoft.com/office/drawing/2014/main" id="{F4F9D207-F34B-4661-231E-B6D01A8DEA62}"/>
            </a:ext>
          </a:extLst>
        </xdr:cNvPr>
        <xdr:cNvCxnSpPr/>
      </xdr:nvCxnSpPr>
      <xdr:spPr bwMode="auto">
        <a:xfrm>
          <a:off x="3867150" y="1568450"/>
          <a:ext cx="0" cy="2921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209550</xdr:colOff>
      <xdr:row>11</xdr:row>
      <xdr:rowOff>79375</xdr:rowOff>
    </xdr:from>
    <xdr:to>
      <xdr:col>14</xdr:col>
      <xdr:colOff>228600</xdr:colOff>
      <xdr:row>11</xdr:row>
      <xdr:rowOff>79375</xdr:rowOff>
    </xdr:to>
    <xdr:cxnSp macro="">
      <xdr:nvCxnSpPr>
        <xdr:cNvPr id="1495605" name="Straight Connector 1495604">
          <a:extLst>
            <a:ext uri="{FF2B5EF4-FFF2-40B4-BE49-F238E27FC236}">
              <a16:creationId xmlns:a16="http://schemas.microsoft.com/office/drawing/2014/main" id="{2F5C524D-6CCA-3EF4-1142-8A6BC0B899C4}"/>
            </a:ext>
          </a:extLst>
        </xdr:cNvPr>
        <xdr:cNvCxnSpPr/>
      </xdr:nvCxnSpPr>
      <xdr:spPr bwMode="auto">
        <a:xfrm flipH="1">
          <a:off x="3600450" y="18605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88900</xdr:colOff>
      <xdr:row>5</xdr:row>
      <xdr:rowOff>120015</xdr:rowOff>
    </xdr:from>
    <xdr:to>
      <xdr:col>16</xdr:col>
      <xdr:colOff>133350</xdr:colOff>
      <xdr:row>8</xdr:row>
      <xdr:rowOff>101600</xdr:rowOff>
    </xdr:to>
    <xdr:cxnSp macro="">
      <xdr:nvCxnSpPr>
        <xdr:cNvPr id="1495606" name="Straight Connector 1495605">
          <a:extLst>
            <a:ext uri="{FF2B5EF4-FFF2-40B4-BE49-F238E27FC236}">
              <a16:creationId xmlns:a16="http://schemas.microsoft.com/office/drawing/2014/main" id="{F6CD2044-C479-A42B-ABFF-0242BB9E7759}"/>
            </a:ext>
          </a:extLst>
        </xdr:cNvPr>
        <xdr:cNvCxnSpPr/>
      </xdr:nvCxnSpPr>
      <xdr:spPr bwMode="auto">
        <a:xfrm flipV="1">
          <a:off x="3975100" y="929640"/>
          <a:ext cx="292100" cy="4673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88900</xdr:colOff>
      <xdr:row>12</xdr:row>
      <xdr:rowOff>88900</xdr:rowOff>
    </xdr:from>
    <xdr:to>
      <xdr:col>16</xdr:col>
      <xdr:colOff>133350</xdr:colOff>
      <xdr:row>15</xdr:row>
      <xdr:rowOff>70485</xdr:rowOff>
    </xdr:to>
    <xdr:cxnSp macro="">
      <xdr:nvCxnSpPr>
        <xdr:cNvPr id="1495607" name="Straight Connector 1495606">
          <a:extLst>
            <a:ext uri="{FF2B5EF4-FFF2-40B4-BE49-F238E27FC236}">
              <a16:creationId xmlns:a16="http://schemas.microsoft.com/office/drawing/2014/main" id="{9DE699DC-5D18-BBD0-7CF0-ABC83EA537AC}"/>
            </a:ext>
          </a:extLst>
        </xdr:cNvPr>
        <xdr:cNvCxnSpPr/>
      </xdr:nvCxnSpPr>
      <xdr:spPr bwMode="auto">
        <a:xfrm flipH="1" flipV="1">
          <a:off x="3975100" y="2032000"/>
          <a:ext cx="292100" cy="4673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88900</xdr:colOff>
      <xdr:row>8</xdr:row>
      <xdr:rowOff>101600</xdr:rowOff>
    </xdr:from>
    <xdr:to>
      <xdr:col>15</xdr:col>
      <xdr:colOff>88900</xdr:colOff>
      <xdr:row>12</xdr:row>
      <xdr:rowOff>88900</xdr:rowOff>
    </xdr:to>
    <xdr:cxnSp macro="">
      <xdr:nvCxnSpPr>
        <xdr:cNvPr id="1495608" name="Straight Connector 1495607">
          <a:extLst>
            <a:ext uri="{FF2B5EF4-FFF2-40B4-BE49-F238E27FC236}">
              <a16:creationId xmlns:a16="http://schemas.microsoft.com/office/drawing/2014/main" id="{51A34FE0-A0FA-E020-9E23-408FD4E599BF}"/>
            </a:ext>
          </a:extLst>
        </xdr:cNvPr>
        <xdr:cNvCxnSpPr/>
      </xdr:nvCxnSpPr>
      <xdr:spPr bwMode="auto">
        <a:xfrm flipV="1">
          <a:off x="3975100" y="1397000"/>
          <a:ext cx="0" cy="635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63500</xdr:colOff>
      <xdr:row>8</xdr:row>
      <xdr:rowOff>101600</xdr:rowOff>
    </xdr:from>
    <xdr:to>
      <xdr:col>15</xdr:col>
      <xdr:colOff>88900</xdr:colOff>
      <xdr:row>9</xdr:row>
      <xdr:rowOff>41275</xdr:rowOff>
    </xdr:to>
    <xdr:cxnSp macro="">
      <xdr:nvCxnSpPr>
        <xdr:cNvPr id="1495609" name="Straight Connector 1495608">
          <a:extLst>
            <a:ext uri="{FF2B5EF4-FFF2-40B4-BE49-F238E27FC236}">
              <a16:creationId xmlns:a16="http://schemas.microsoft.com/office/drawing/2014/main" id="{4E8B64E9-F80F-454B-1DBB-DB7A181BB225}"/>
            </a:ext>
          </a:extLst>
        </xdr:cNvPr>
        <xdr:cNvCxnSpPr/>
      </xdr:nvCxnSpPr>
      <xdr:spPr bwMode="auto">
        <a:xfrm flipV="1">
          <a:off x="39497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88900</xdr:colOff>
      <xdr:row>8</xdr:row>
      <xdr:rowOff>101600</xdr:rowOff>
    </xdr:from>
    <xdr:to>
      <xdr:col>15</xdr:col>
      <xdr:colOff>114300</xdr:colOff>
      <xdr:row>9</xdr:row>
      <xdr:rowOff>41275</xdr:rowOff>
    </xdr:to>
    <xdr:cxnSp macro="">
      <xdr:nvCxnSpPr>
        <xdr:cNvPr id="1495610" name="Straight Connector 1495609">
          <a:extLst>
            <a:ext uri="{FF2B5EF4-FFF2-40B4-BE49-F238E27FC236}">
              <a16:creationId xmlns:a16="http://schemas.microsoft.com/office/drawing/2014/main" id="{7AF80F67-A994-E203-DB4C-E53695C14BF6}"/>
            </a:ext>
          </a:extLst>
        </xdr:cNvPr>
        <xdr:cNvCxnSpPr/>
      </xdr:nvCxnSpPr>
      <xdr:spPr bwMode="auto">
        <a:xfrm flipH="1" flipV="1">
          <a:off x="3975100" y="1397000"/>
          <a:ext cx="25400" cy="10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228600</xdr:colOff>
      <xdr:row>9</xdr:row>
      <xdr:rowOff>111125</xdr:rowOff>
    </xdr:from>
    <xdr:to>
      <xdr:col>16</xdr:col>
      <xdr:colOff>0</xdr:colOff>
      <xdr:row>9</xdr:row>
      <xdr:rowOff>111125</xdr:rowOff>
    </xdr:to>
    <xdr:cxnSp macro="">
      <xdr:nvCxnSpPr>
        <xdr:cNvPr id="1495611" name="Straight Connector 1495610">
          <a:extLst>
            <a:ext uri="{FF2B5EF4-FFF2-40B4-BE49-F238E27FC236}">
              <a16:creationId xmlns:a16="http://schemas.microsoft.com/office/drawing/2014/main" id="{6D931FC9-D98C-4471-F03B-5C17FCE3FEAE}"/>
            </a:ext>
          </a:extLst>
        </xdr:cNvPr>
        <xdr:cNvCxnSpPr/>
      </xdr:nvCxnSpPr>
      <xdr:spPr bwMode="auto">
        <a:xfrm>
          <a:off x="3867150" y="15684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0</xdr:colOff>
      <xdr:row>9</xdr:row>
      <xdr:rowOff>111125</xdr:rowOff>
    </xdr:from>
    <xdr:to>
      <xdr:col>16</xdr:col>
      <xdr:colOff>0</xdr:colOff>
      <xdr:row>11</xdr:row>
      <xdr:rowOff>79375</xdr:rowOff>
    </xdr:to>
    <xdr:cxnSp macro="">
      <xdr:nvCxnSpPr>
        <xdr:cNvPr id="1495612" name="Straight Connector 1495611">
          <a:extLst>
            <a:ext uri="{FF2B5EF4-FFF2-40B4-BE49-F238E27FC236}">
              <a16:creationId xmlns:a16="http://schemas.microsoft.com/office/drawing/2014/main" id="{33A24A30-1EA1-517E-34A9-33C819104875}"/>
            </a:ext>
          </a:extLst>
        </xdr:cNvPr>
        <xdr:cNvCxnSpPr/>
      </xdr:nvCxnSpPr>
      <xdr:spPr bwMode="auto">
        <a:xfrm>
          <a:off x="4133850" y="1568450"/>
          <a:ext cx="0" cy="2921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228600</xdr:colOff>
      <xdr:row>11</xdr:row>
      <xdr:rowOff>79375</xdr:rowOff>
    </xdr:from>
    <xdr:to>
      <xdr:col>16</xdr:col>
      <xdr:colOff>0</xdr:colOff>
      <xdr:row>11</xdr:row>
      <xdr:rowOff>79375</xdr:rowOff>
    </xdr:to>
    <xdr:cxnSp macro="">
      <xdr:nvCxnSpPr>
        <xdr:cNvPr id="1495613" name="Straight Connector 1495612">
          <a:extLst>
            <a:ext uri="{FF2B5EF4-FFF2-40B4-BE49-F238E27FC236}">
              <a16:creationId xmlns:a16="http://schemas.microsoft.com/office/drawing/2014/main" id="{82DBF1F2-5852-0E49-D504-8E47A6DAC593}"/>
            </a:ext>
          </a:extLst>
        </xdr:cNvPr>
        <xdr:cNvCxnSpPr/>
      </xdr:nvCxnSpPr>
      <xdr:spPr bwMode="auto">
        <a:xfrm flipH="1">
          <a:off x="3867150" y="186055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196850</xdr:colOff>
      <xdr:row>17</xdr:row>
      <xdr:rowOff>92075</xdr:rowOff>
    </xdr:from>
    <xdr:to>
      <xdr:col>6</xdr:col>
      <xdr:colOff>184150</xdr:colOff>
      <xdr:row>17</xdr:row>
      <xdr:rowOff>92075</xdr:rowOff>
    </xdr:to>
    <xdr:cxnSp macro="">
      <xdr:nvCxnSpPr>
        <xdr:cNvPr id="1495614" name="Straight Connector 1495613">
          <a:extLst>
            <a:ext uri="{FF2B5EF4-FFF2-40B4-BE49-F238E27FC236}">
              <a16:creationId xmlns:a16="http://schemas.microsoft.com/office/drawing/2014/main" id="{233FBEF8-D2E3-069A-75E8-B6D972D3A8D3}"/>
            </a:ext>
          </a:extLst>
        </xdr:cNvPr>
        <xdr:cNvCxnSpPr/>
      </xdr:nvCxnSpPr>
      <xdr:spPr bwMode="auto">
        <a:xfrm>
          <a:off x="1358900" y="2844800"/>
          <a:ext cx="4826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196850</xdr:colOff>
      <xdr:row>15</xdr:row>
      <xdr:rowOff>111125</xdr:rowOff>
    </xdr:from>
    <xdr:to>
      <xdr:col>4</xdr:col>
      <xdr:colOff>196850</xdr:colOff>
      <xdr:row>17</xdr:row>
      <xdr:rowOff>92075</xdr:rowOff>
    </xdr:to>
    <xdr:cxnSp macro="">
      <xdr:nvCxnSpPr>
        <xdr:cNvPr id="1495615" name="Straight Connector 1495614">
          <a:extLst>
            <a:ext uri="{FF2B5EF4-FFF2-40B4-BE49-F238E27FC236}">
              <a16:creationId xmlns:a16="http://schemas.microsoft.com/office/drawing/2014/main" id="{FC4F6C60-A655-11DC-ADF7-EA31547F1049}"/>
            </a:ext>
          </a:extLst>
        </xdr:cNvPr>
        <xdr:cNvCxnSpPr/>
      </xdr:nvCxnSpPr>
      <xdr:spPr bwMode="auto">
        <a:xfrm>
          <a:off x="1358900" y="2540000"/>
          <a:ext cx="0" cy="304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184150</xdr:colOff>
      <xdr:row>12</xdr:row>
      <xdr:rowOff>88900</xdr:rowOff>
    </xdr:from>
    <xdr:to>
      <xdr:col>6</xdr:col>
      <xdr:colOff>184150</xdr:colOff>
      <xdr:row>17</xdr:row>
      <xdr:rowOff>92075</xdr:rowOff>
    </xdr:to>
    <xdr:cxnSp macro="">
      <xdr:nvCxnSpPr>
        <xdr:cNvPr id="1495872" name="Straight Connector 1495871">
          <a:extLst>
            <a:ext uri="{FF2B5EF4-FFF2-40B4-BE49-F238E27FC236}">
              <a16:creationId xmlns:a16="http://schemas.microsoft.com/office/drawing/2014/main" id="{C7C2BB9C-3CA2-6DEB-2187-BDFB6C53FCA2}"/>
            </a:ext>
          </a:extLst>
        </xdr:cNvPr>
        <xdr:cNvCxnSpPr/>
      </xdr:nvCxnSpPr>
      <xdr:spPr bwMode="auto">
        <a:xfrm>
          <a:off x="1841500" y="2032000"/>
          <a:ext cx="0" cy="812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6350</xdr:colOff>
      <xdr:row>17</xdr:row>
      <xdr:rowOff>15875</xdr:rowOff>
    </xdr:from>
    <xdr:to>
      <xdr:col>9</xdr:col>
      <xdr:colOff>241300</xdr:colOff>
      <xdr:row>17</xdr:row>
      <xdr:rowOff>15875</xdr:rowOff>
    </xdr:to>
    <xdr:cxnSp macro="">
      <xdr:nvCxnSpPr>
        <xdr:cNvPr id="1495873" name="Straight Connector 1495872">
          <a:extLst>
            <a:ext uri="{FF2B5EF4-FFF2-40B4-BE49-F238E27FC236}">
              <a16:creationId xmlns:a16="http://schemas.microsoft.com/office/drawing/2014/main" id="{E56914CC-5BEA-02D9-E22D-FEE9D38CB5ED}"/>
            </a:ext>
          </a:extLst>
        </xdr:cNvPr>
        <xdr:cNvCxnSpPr/>
      </xdr:nvCxnSpPr>
      <xdr:spPr bwMode="auto">
        <a:xfrm>
          <a:off x="2159000" y="2768600"/>
          <a:ext cx="4826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6350</xdr:colOff>
      <xdr:row>15</xdr:row>
      <xdr:rowOff>111125</xdr:rowOff>
    </xdr:from>
    <xdr:to>
      <xdr:col>8</xdr:col>
      <xdr:colOff>6350</xdr:colOff>
      <xdr:row>17</xdr:row>
      <xdr:rowOff>15875</xdr:rowOff>
    </xdr:to>
    <xdr:cxnSp macro="">
      <xdr:nvCxnSpPr>
        <xdr:cNvPr id="1495874" name="Straight Connector 1495873">
          <a:extLst>
            <a:ext uri="{FF2B5EF4-FFF2-40B4-BE49-F238E27FC236}">
              <a16:creationId xmlns:a16="http://schemas.microsoft.com/office/drawing/2014/main" id="{7AA78E6D-ED4D-10B3-3FAB-C0A6F4597195}"/>
            </a:ext>
          </a:extLst>
        </xdr:cNvPr>
        <xdr:cNvCxnSpPr/>
      </xdr:nvCxnSpPr>
      <xdr:spPr bwMode="auto">
        <a:xfrm>
          <a:off x="2159000" y="2540000"/>
          <a:ext cx="0" cy="228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241300</xdr:colOff>
      <xdr:row>12</xdr:row>
      <xdr:rowOff>88900</xdr:rowOff>
    </xdr:from>
    <xdr:to>
      <xdr:col>9</xdr:col>
      <xdr:colOff>241300</xdr:colOff>
      <xdr:row>17</xdr:row>
      <xdr:rowOff>15875</xdr:rowOff>
    </xdr:to>
    <xdr:cxnSp macro="">
      <xdr:nvCxnSpPr>
        <xdr:cNvPr id="1495875" name="Straight Connector 1495874">
          <a:extLst>
            <a:ext uri="{FF2B5EF4-FFF2-40B4-BE49-F238E27FC236}">
              <a16:creationId xmlns:a16="http://schemas.microsoft.com/office/drawing/2014/main" id="{10CEA3C7-3745-117C-055C-C0102DDB3355}"/>
            </a:ext>
          </a:extLst>
        </xdr:cNvPr>
        <xdr:cNvCxnSpPr/>
      </xdr:nvCxnSpPr>
      <xdr:spPr bwMode="auto">
        <a:xfrm>
          <a:off x="2641600" y="2032000"/>
          <a:ext cx="0" cy="736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63500</xdr:colOff>
      <xdr:row>17</xdr:row>
      <xdr:rowOff>92075</xdr:rowOff>
    </xdr:from>
    <xdr:to>
      <xdr:col>13</xdr:col>
      <xdr:colOff>50800</xdr:colOff>
      <xdr:row>17</xdr:row>
      <xdr:rowOff>92075</xdr:rowOff>
    </xdr:to>
    <xdr:cxnSp macro="">
      <xdr:nvCxnSpPr>
        <xdr:cNvPr id="1495876" name="Straight Connector 1495875">
          <a:extLst>
            <a:ext uri="{FF2B5EF4-FFF2-40B4-BE49-F238E27FC236}">
              <a16:creationId xmlns:a16="http://schemas.microsoft.com/office/drawing/2014/main" id="{C1B2D35B-27B0-AB74-5ADB-A32C84765402}"/>
            </a:ext>
          </a:extLst>
        </xdr:cNvPr>
        <xdr:cNvCxnSpPr/>
      </xdr:nvCxnSpPr>
      <xdr:spPr bwMode="auto">
        <a:xfrm>
          <a:off x="2959100" y="2844800"/>
          <a:ext cx="4826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63500</xdr:colOff>
      <xdr:row>15</xdr:row>
      <xdr:rowOff>111125</xdr:rowOff>
    </xdr:from>
    <xdr:to>
      <xdr:col>11</xdr:col>
      <xdr:colOff>63500</xdr:colOff>
      <xdr:row>17</xdr:row>
      <xdr:rowOff>92075</xdr:rowOff>
    </xdr:to>
    <xdr:cxnSp macro="">
      <xdr:nvCxnSpPr>
        <xdr:cNvPr id="1495877" name="Straight Connector 1495876">
          <a:extLst>
            <a:ext uri="{FF2B5EF4-FFF2-40B4-BE49-F238E27FC236}">
              <a16:creationId xmlns:a16="http://schemas.microsoft.com/office/drawing/2014/main" id="{2E543205-136E-7197-BEB1-77F47F5A70C1}"/>
            </a:ext>
          </a:extLst>
        </xdr:cNvPr>
        <xdr:cNvCxnSpPr/>
      </xdr:nvCxnSpPr>
      <xdr:spPr bwMode="auto">
        <a:xfrm>
          <a:off x="2959100" y="2540000"/>
          <a:ext cx="0" cy="304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50800</xdr:colOff>
      <xdr:row>12</xdr:row>
      <xdr:rowOff>88900</xdr:rowOff>
    </xdr:from>
    <xdr:to>
      <xdr:col>13</xdr:col>
      <xdr:colOff>50800</xdr:colOff>
      <xdr:row>17</xdr:row>
      <xdr:rowOff>92075</xdr:rowOff>
    </xdr:to>
    <xdr:cxnSp macro="">
      <xdr:nvCxnSpPr>
        <xdr:cNvPr id="1495878" name="Straight Connector 1495877">
          <a:extLst>
            <a:ext uri="{FF2B5EF4-FFF2-40B4-BE49-F238E27FC236}">
              <a16:creationId xmlns:a16="http://schemas.microsoft.com/office/drawing/2014/main" id="{27A95436-2E78-6630-A619-1F06E17387DF}"/>
            </a:ext>
          </a:extLst>
        </xdr:cNvPr>
        <xdr:cNvCxnSpPr/>
      </xdr:nvCxnSpPr>
      <xdr:spPr bwMode="auto">
        <a:xfrm>
          <a:off x="3441700" y="2032000"/>
          <a:ext cx="0" cy="812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</xdr:col>
      <xdr:colOff>127000</xdr:colOff>
      <xdr:row>12</xdr:row>
      <xdr:rowOff>88900</xdr:rowOff>
    </xdr:from>
    <xdr:to>
      <xdr:col>3</xdr:col>
      <xdr:colOff>127000</xdr:colOff>
      <xdr:row>23</xdr:row>
      <xdr:rowOff>34925</xdr:rowOff>
    </xdr:to>
    <xdr:cxnSp macro="">
      <xdr:nvCxnSpPr>
        <xdr:cNvPr id="1495879" name="Straight Connector 1495878">
          <a:extLst>
            <a:ext uri="{FF2B5EF4-FFF2-40B4-BE49-F238E27FC236}">
              <a16:creationId xmlns:a16="http://schemas.microsoft.com/office/drawing/2014/main" id="{DA13BF33-8605-2C42-385A-87C85E36D108}"/>
            </a:ext>
          </a:extLst>
        </xdr:cNvPr>
        <xdr:cNvCxnSpPr/>
      </xdr:nvCxnSpPr>
      <xdr:spPr bwMode="auto">
        <a:xfrm>
          <a:off x="1041400" y="2032000"/>
          <a:ext cx="0" cy="17272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120650</xdr:colOff>
      <xdr:row>16</xdr:row>
      <xdr:rowOff>25400</xdr:rowOff>
    </xdr:from>
    <xdr:to>
      <xdr:col>14</xdr:col>
      <xdr:colOff>120650</xdr:colOff>
      <xdr:row>23</xdr:row>
      <xdr:rowOff>34925</xdr:rowOff>
    </xdr:to>
    <xdr:cxnSp macro="">
      <xdr:nvCxnSpPr>
        <xdr:cNvPr id="1495880" name="Straight Connector 1495879">
          <a:extLst>
            <a:ext uri="{FF2B5EF4-FFF2-40B4-BE49-F238E27FC236}">
              <a16:creationId xmlns:a16="http://schemas.microsoft.com/office/drawing/2014/main" id="{EB721FF3-0105-D318-2499-2472E4D797DD}"/>
            </a:ext>
          </a:extLst>
        </xdr:cNvPr>
        <xdr:cNvCxnSpPr/>
      </xdr:nvCxnSpPr>
      <xdr:spPr bwMode="auto">
        <a:xfrm>
          <a:off x="3759200" y="2616200"/>
          <a:ext cx="0" cy="1143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146050</xdr:colOff>
      <xdr:row>12</xdr:row>
      <xdr:rowOff>88900</xdr:rowOff>
    </xdr:from>
    <xdr:to>
      <xdr:col>4</xdr:col>
      <xdr:colOff>146050</xdr:colOff>
      <xdr:row>23</xdr:row>
      <xdr:rowOff>34925</xdr:rowOff>
    </xdr:to>
    <xdr:cxnSp macro="">
      <xdr:nvCxnSpPr>
        <xdr:cNvPr id="1495881" name="Straight Connector 1495880">
          <a:extLst>
            <a:ext uri="{FF2B5EF4-FFF2-40B4-BE49-F238E27FC236}">
              <a16:creationId xmlns:a16="http://schemas.microsoft.com/office/drawing/2014/main" id="{F3741FCC-235C-058F-41C6-DF9CEDBCB767}"/>
            </a:ext>
          </a:extLst>
        </xdr:cNvPr>
        <xdr:cNvCxnSpPr/>
      </xdr:nvCxnSpPr>
      <xdr:spPr bwMode="auto">
        <a:xfrm>
          <a:off x="1308100" y="2032000"/>
          <a:ext cx="0" cy="17272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139700</xdr:colOff>
      <xdr:row>12</xdr:row>
      <xdr:rowOff>88900</xdr:rowOff>
    </xdr:from>
    <xdr:to>
      <xdr:col>15</xdr:col>
      <xdr:colOff>139700</xdr:colOff>
      <xdr:row>23</xdr:row>
      <xdr:rowOff>34925</xdr:rowOff>
    </xdr:to>
    <xdr:cxnSp macro="">
      <xdr:nvCxnSpPr>
        <xdr:cNvPr id="1495882" name="Straight Connector 1495881">
          <a:extLst>
            <a:ext uri="{FF2B5EF4-FFF2-40B4-BE49-F238E27FC236}">
              <a16:creationId xmlns:a16="http://schemas.microsoft.com/office/drawing/2014/main" id="{A96A1D8D-BB5C-CED5-F228-FD57A30EE2F7}"/>
            </a:ext>
          </a:extLst>
        </xdr:cNvPr>
        <xdr:cNvCxnSpPr/>
      </xdr:nvCxnSpPr>
      <xdr:spPr bwMode="auto">
        <a:xfrm>
          <a:off x="4025900" y="2032000"/>
          <a:ext cx="0" cy="17272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165100</xdr:colOff>
      <xdr:row>12</xdr:row>
      <xdr:rowOff>88900</xdr:rowOff>
    </xdr:from>
    <xdr:to>
      <xdr:col>5</xdr:col>
      <xdr:colOff>165100</xdr:colOff>
      <xdr:row>23</xdr:row>
      <xdr:rowOff>34925</xdr:rowOff>
    </xdr:to>
    <xdr:cxnSp macro="">
      <xdr:nvCxnSpPr>
        <xdr:cNvPr id="1495883" name="Straight Connector 1495882">
          <a:extLst>
            <a:ext uri="{FF2B5EF4-FFF2-40B4-BE49-F238E27FC236}">
              <a16:creationId xmlns:a16="http://schemas.microsoft.com/office/drawing/2014/main" id="{D4C1B808-B408-7E86-C6D8-0158C5A61323}"/>
            </a:ext>
          </a:extLst>
        </xdr:cNvPr>
        <xdr:cNvCxnSpPr/>
      </xdr:nvCxnSpPr>
      <xdr:spPr bwMode="auto">
        <a:xfrm>
          <a:off x="1574800" y="2032000"/>
          <a:ext cx="0" cy="17272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</xdr:col>
      <xdr:colOff>177800</xdr:colOff>
      <xdr:row>12</xdr:row>
      <xdr:rowOff>88900</xdr:rowOff>
    </xdr:from>
    <xdr:to>
      <xdr:col>3</xdr:col>
      <xdr:colOff>177800</xdr:colOff>
      <xdr:row>23</xdr:row>
      <xdr:rowOff>34925</xdr:rowOff>
    </xdr:to>
    <xdr:cxnSp macro="">
      <xdr:nvCxnSpPr>
        <xdr:cNvPr id="1495884" name="Straight Connector 1495883">
          <a:extLst>
            <a:ext uri="{FF2B5EF4-FFF2-40B4-BE49-F238E27FC236}">
              <a16:creationId xmlns:a16="http://schemas.microsoft.com/office/drawing/2014/main" id="{DCEB238B-60F2-B69B-D9F4-03F5E18A40FB}"/>
            </a:ext>
          </a:extLst>
        </xdr:cNvPr>
        <xdr:cNvCxnSpPr/>
      </xdr:nvCxnSpPr>
      <xdr:spPr bwMode="auto">
        <a:xfrm>
          <a:off x="1092200" y="2032000"/>
          <a:ext cx="0" cy="17272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123825</xdr:colOff>
      <xdr:row>3</xdr:row>
      <xdr:rowOff>152400</xdr:rowOff>
    </xdr:from>
    <xdr:to>
      <xdr:col>10</xdr:col>
      <xdr:colOff>419100</xdr:colOff>
      <xdr:row>23</xdr:row>
      <xdr:rowOff>19050</xdr:rowOff>
    </xdr:to>
    <xdr:pic>
      <xdr:nvPicPr>
        <xdr:cNvPr id="69633" name="Picture 19" descr="Winding-hu-1">
          <a:extLst>
            <a:ext uri="{FF2B5EF4-FFF2-40B4-BE49-F238E27FC236}">
              <a16:creationId xmlns:a16="http://schemas.microsoft.com/office/drawing/2014/main" id="{00000000-0008-0000-0300-0000011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28975" y="638175"/>
          <a:ext cx="3343275" cy="3105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[0]!elemzes2" textlink="">
      <xdr:nvSpPr>
        <xdr:cNvPr id="1027" name="Text Box 3">
          <a:extLst>
            <a:ext uri="{FF2B5EF4-FFF2-40B4-BE49-F238E27FC236}">
              <a16:creationId xmlns:a16="http://schemas.microsoft.com/office/drawing/2014/main" id="{00000000-0008-0000-0400-000003040000}"/>
            </a:ext>
          </a:extLst>
        </xdr:cNvPr>
        <xdr:cNvSpPr txBox="1">
          <a:spLocks noChangeArrowheads="1"/>
        </xdr:cNvSpPr>
      </xdr:nvSpPr>
      <xdr:spPr bwMode="auto">
        <a:xfrm>
          <a:off x="0" y="161925"/>
          <a:ext cx="333375" cy="161925"/>
        </a:xfrm>
        <a:prstGeom prst="rect">
          <a:avLst/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hu-H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Start</a:t>
          </a:r>
          <a:endParaRPr lang="hu-HU"/>
        </a:p>
      </xdr:txBody>
    </xdr:sp>
    <xdr:clientData/>
  </xdr:twoCellAnchor>
  <xdr:twoCellAnchor>
    <xdr:from>
      <xdr:col>12</xdr:col>
      <xdr:colOff>9525</xdr:colOff>
      <xdr:row>0</xdr:row>
      <xdr:rowOff>9525</xdr:rowOff>
    </xdr:from>
    <xdr:to>
      <xdr:col>13</xdr:col>
      <xdr:colOff>123825</xdr:colOff>
      <xdr:row>1</xdr:row>
      <xdr:rowOff>9525</xdr:rowOff>
    </xdr:to>
    <xdr:sp macro="[0]!szuro2" textlink="">
      <xdr:nvSpPr>
        <xdr:cNvPr id="2" name="Text Box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0" y="161925"/>
          <a:ext cx="333375" cy="161925"/>
        </a:xfrm>
        <a:prstGeom prst="rect">
          <a:avLst/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hu-H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Szűrő </a:t>
          </a:r>
          <a:r>
            <a:rPr lang="hu-H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</a:t>
          </a:r>
        </a:p>
      </xdr:txBody>
    </xdr:sp>
    <xdr:clientData/>
  </xdr:twoCellAnchor>
  <xdr:twoCellAnchor>
    <xdr:from>
      <xdr:col>13</xdr:col>
      <xdr:colOff>447675</xdr:colOff>
      <xdr:row>0</xdr:row>
      <xdr:rowOff>9525</xdr:rowOff>
    </xdr:from>
    <xdr:to>
      <xdr:col>15</xdr:col>
      <xdr:colOff>76200</xdr:colOff>
      <xdr:row>1</xdr:row>
      <xdr:rowOff>9525</xdr:rowOff>
    </xdr:to>
    <xdr:sp macro="[0]!szuroki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>
          <a:spLocks noChangeArrowheads="1"/>
        </xdr:cNvSpPr>
      </xdr:nvSpPr>
      <xdr:spPr bwMode="auto">
        <a:xfrm>
          <a:off x="0" y="161925"/>
          <a:ext cx="333375" cy="161925"/>
        </a:xfrm>
        <a:prstGeom prst="rect">
          <a:avLst/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hu-H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Szűrő </a:t>
          </a:r>
          <a:r>
            <a:rPr lang="hu-H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KI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11</xdr:row>
      <xdr:rowOff>38100</xdr:rowOff>
    </xdr:from>
    <xdr:to>
      <xdr:col>14</xdr:col>
      <xdr:colOff>314325</xdr:colOff>
      <xdr:row>25</xdr:row>
      <xdr:rowOff>142875</xdr:rowOff>
    </xdr:to>
    <xdr:graphicFrame macro="">
      <xdr:nvGraphicFramePr>
        <xdr:cNvPr id="71681" name="Diagram 1">
          <a:extLst>
            <a:ext uri="{FF2B5EF4-FFF2-40B4-BE49-F238E27FC236}">
              <a16:creationId xmlns:a16="http://schemas.microsoft.com/office/drawing/2014/main" id="{00000000-0008-0000-0500-00000118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7</xdr:col>
          <xdr:colOff>581025</xdr:colOff>
          <xdr:row>15</xdr:row>
          <xdr:rowOff>161925</xdr:rowOff>
        </xdr:to>
        <xdr:sp macro="" textlink="">
          <xdr:nvSpPr>
            <xdr:cNvPr id="71682" name="ScrollBar1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5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571500</xdr:colOff>
      <xdr:row>1</xdr:row>
      <xdr:rowOff>66675</xdr:rowOff>
    </xdr:from>
    <xdr:to>
      <xdr:col>14</xdr:col>
      <xdr:colOff>304800</xdr:colOff>
      <xdr:row>10</xdr:row>
      <xdr:rowOff>133350</xdr:rowOff>
    </xdr:to>
    <xdr:graphicFrame macro="">
      <xdr:nvGraphicFramePr>
        <xdr:cNvPr id="71696" name="Diagram 16">
          <a:extLst>
            <a:ext uri="{FF2B5EF4-FFF2-40B4-BE49-F238E27FC236}">
              <a16:creationId xmlns:a16="http://schemas.microsoft.com/office/drawing/2014/main" id="{00000000-0008-0000-0500-00001018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66675</xdr:colOff>
      <xdr:row>11</xdr:row>
      <xdr:rowOff>47625</xdr:rowOff>
    </xdr:from>
    <xdr:to>
      <xdr:col>8</xdr:col>
      <xdr:colOff>295275</xdr:colOff>
      <xdr:row>12</xdr:row>
      <xdr:rowOff>76200</xdr:rowOff>
    </xdr:to>
    <xdr:sp macro="" textlink="">
      <xdr:nvSpPr>
        <xdr:cNvPr id="71697" name="Text Box 17">
          <a:extLst>
            <a:ext uri="{FF2B5EF4-FFF2-40B4-BE49-F238E27FC236}">
              <a16:creationId xmlns:a16="http://schemas.microsoft.com/office/drawing/2014/main" id="{00000000-0008-0000-0500-000011180100}"/>
            </a:ext>
          </a:extLst>
        </xdr:cNvPr>
        <xdr:cNvSpPr txBox="1">
          <a:spLocks noChangeArrowheads="1"/>
        </xdr:cNvSpPr>
      </xdr:nvSpPr>
      <xdr:spPr bwMode="auto">
        <a:xfrm>
          <a:off x="4238625" y="1866900"/>
          <a:ext cx="228600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hu-HU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MMF</a:t>
          </a:r>
        </a:p>
      </xdr:txBody>
    </xdr:sp>
    <xdr:clientData/>
  </xdr:twoCellAnchor>
  <xdr:twoCellAnchor>
    <xdr:from>
      <xdr:col>12</xdr:col>
      <xdr:colOff>0</xdr:colOff>
      <xdr:row>1</xdr:row>
      <xdr:rowOff>123825</xdr:rowOff>
    </xdr:from>
    <xdr:to>
      <xdr:col>12</xdr:col>
      <xdr:colOff>219075</xdr:colOff>
      <xdr:row>2</xdr:row>
      <xdr:rowOff>104775</xdr:rowOff>
    </xdr:to>
    <xdr:sp macro="" textlink="">
      <xdr:nvSpPr>
        <xdr:cNvPr id="71698" name="Text Box 18">
          <a:extLst>
            <a:ext uri="{FF2B5EF4-FFF2-40B4-BE49-F238E27FC236}">
              <a16:creationId xmlns:a16="http://schemas.microsoft.com/office/drawing/2014/main" id="{00000000-0008-0000-0500-000012180100}"/>
            </a:ext>
          </a:extLst>
        </xdr:cNvPr>
        <xdr:cNvSpPr txBox="1">
          <a:spLocks noChangeArrowheads="1"/>
        </xdr:cNvSpPr>
      </xdr:nvSpPr>
      <xdr:spPr bwMode="auto">
        <a:xfrm>
          <a:off x="6610350" y="323850"/>
          <a:ext cx="2190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hu-HU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EMF</a:t>
          </a:r>
        </a:p>
      </xdr:txBody>
    </xdr:sp>
    <xdr:clientData/>
  </xdr:twoCellAnchor>
  <xdr:twoCellAnchor>
    <xdr:from>
      <xdr:col>1</xdr:col>
      <xdr:colOff>228600</xdr:colOff>
      <xdr:row>15</xdr:row>
      <xdr:rowOff>19050</xdr:rowOff>
    </xdr:from>
    <xdr:to>
      <xdr:col>1</xdr:col>
      <xdr:colOff>228600</xdr:colOff>
      <xdr:row>15</xdr:row>
      <xdr:rowOff>142875</xdr:rowOff>
    </xdr:to>
    <xdr:sp macro="" textlink="">
      <xdr:nvSpPr>
        <xdr:cNvPr id="71699" name="Line 19">
          <a:extLst>
            <a:ext uri="{FF2B5EF4-FFF2-40B4-BE49-F238E27FC236}">
              <a16:creationId xmlns:a16="http://schemas.microsoft.com/office/drawing/2014/main" id="{00000000-0008-0000-0500-000013180100}"/>
            </a:ext>
          </a:extLst>
        </xdr:cNvPr>
        <xdr:cNvSpPr>
          <a:spLocks noChangeShapeType="1"/>
        </xdr:cNvSpPr>
      </xdr:nvSpPr>
      <xdr:spPr bwMode="auto">
        <a:xfrm flipV="1">
          <a:off x="495300" y="2486025"/>
          <a:ext cx="0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228600</xdr:colOff>
      <xdr:row>16</xdr:row>
      <xdr:rowOff>28575</xdr:rowOff>
    </xdr:from>
    <xdr:to>
      <xdr:col>1</xdr:col>
      <xdr:colOff>228600</xdr:colOff>
      <xdr:row>16</xdr:row>
      <xdr:rowOff>152400</xdr:rowOff>
    </xdr:to>
    <xdr:sp macro="" textlink="">
      <xdr:nvSpPr>
        <xdr:cNvPr id="71700" name="Line 20">
          <a:extLst>
            <a:ext uri="{FF2B5EF4-FFF2-40B4-BE49-F238E27FC236}">
              <a16:creationId xmlns:a16="http://schemas.microsoft.com/office/drawing/2014/main" id="{00000000-0008-0000-0500-000014180100}"/>
            </a:ext>
          </a:extLst>
        </xdr:cNvPr>
        <xdr:cNvSpPr>
          <a:spLocks noChangeShapeType="1"/>
        </xdr:cNvSpPr>
      </xdr:nvSpPr>
      <xdr:spPr bwMode="auto">
        <a:xfrm flipV="1">
          <a:off x="495300" y="2657475"/>
          <a:ext cx="0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228600</xdr:colOff>
      <xdr:row>17</xdr:row>
      <xdr:rowOff>28575</xdr:rowOff>
    </xdr:from>
    <xdr:to>
      <xdr:col>1</xdr:col>
      <xdr:colOff>228600</xdr:colOff>
      <xdr:row>17</xdr:row>
      <xdr:rowOff>152400</xdr:rowOff>
    </xdr:to>
    <xdr:sp macro="" textlink="">
      <xdr:nvSpPr>
        <xdr:cNvPr id="71701" name="Line 21">
          <a:extLst>
            <a:ext uri="{FF2B5EF4-FFF2-40B4-BE49-F238E27FC236}">
              <a16:creationId xmlns:a16="http://schemas.microsoft.com/office/drawing/2014/main" id="{00000000-0008-0000-0500-000015180100}"/>
            </a:ext>
          </a:extLst>
        </xdr:cNvPr>
        <xdr:cNvSpPr>
          <a:spLocks noChangeShapeType="1"/>
        </xdr:cNvSpPr>
      </xdr:nvSpPr>
      <xdr:spPr bwMode="auto">
        <a:xfrm flipV="1">
          <a:off x="495300" y="2847975"/>
          <a:ext cx="0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295275</xdr:colOff>
      <xdr:row>18</xdr:row>
      <xdr:rowOff>19050</xdr:rowOff>
    </xdr:from>
    <xdr:to>
      <xdr:col>1</xdr:col>
      <xdr:colOff>295275</xdr:colOff>
      <xdr:row>18</xdr:row>
      <xdr:rowOff>142875</xdr:rowOff>
    </xdr:to>
    <xdr:sp macro="" textlink="">
      <xdr:nvSpPr>
        <xdr:cNvPr id="71702" name="Line 22">
          <a:extLst>
            <a:ext uri="{FF2B5EF4-FFF2-40B4-BE49-F238E27FC236}">
              <a16:creationId xmlns:a16="http://schemas.microsoft.com/office/drawing/2014/main" id="{00000000-0008-0000-0500-000016180100}"/>
            </a:ext>
          </a:extLst>
        </xdr:cNvPr>
        <xdr:cNvSpPr>
          <a:spLocks noChangeShapeType="1"/>
        </xdr:cNvSpPr>
      </xdr:nvSpPr>
      <xdr:spPr bwMode="auto">
        <a:xfrm flipH="1">
          <a:off x="561975" y="3000375"/>
          <a:ext cx="0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295275</xdr:colOff>
      <xdr:row>19</xdr:row>
      <xdr:rowOff>19050</xdr:rowOff>
    </xdr:from>
    <xdr:to>
      <xdr:col>1</xdr:col>
      <xdr:colOff>295275</xdr:colOff>
      <xdr:row>19</xdr:row>
      <xdr:rowOff>142875</xdr:rowOff>
    </xdr:to>
    <xdr:sp macro="" textlink="">
      <xdr:nvSpPr>
        <xdr:cNvPr id="71703" name="Line 23">
          <a:extLst>
            <a:ext uri="{FF2B5EF4-FFF2-40B4-BE49-F238E27FC236}">
              <a16:creationId xmlns:a16="http://schemas.microsoft.com/office/drawing/2014/main" id="{00000000-0008-0000-0500-000017180100}"/>
            </a:ext>
          </a:extLst>
        </xdr:cNvPr>
        <xdr:cNvSpPr>
          <a:spLocks noChangeShapeType="1"/>
        </xdr:cNvSpPr>
      </xdr:nvSpPr>
      <xdr:spPr bwMode="auto">
        <a:xfrm>
          <a:off x="561975" y="3190875"/>
          <a:ext cx="0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295275</xdr:colOff>
      <xdr:row>20</xdr:row>
      <xdr:rowOff>19050</xdr:rowOff>
    </xdr:from>
    <xdr:to>
      <xdr:col>1</xdr:col>
      <xdr:colOff>295275</xdr:colOff>
      <xdr:row>20</xdr:row>
      <xdr:rowOff>142875</xdr:rowOff>
    </xdr:to>
    <xdr:sp macro="" textlink="">
      <xdr:nvSpPr>
        <xdr:cNvPr id="71704" name="Line 24">
          <a:extLst>
            <a:ext uri="{FF2B5EF4-FFF2-40B4-BE49-F238E27FC236}">
              <a16:creationId xmlns:a16="http://schemas.microsoft.com/office/drawing/2014/main" id="{00000000-0008-0000-0500-000018180100}"/>
            </a:ext>
          </a:extLst>
        </xdr:cNvPr>
        <xdr:cNvSpPr>
          <a:spLocks noChangeShapeType="1"/>
        </xdr:cNvSpPr>
      </xdr:nvSpPr>
      <xdr:spPr bwMode="auto">
        <a:xfrm>
          <a:off x="561975" y="3390900"/>
          <a:ext cx="0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19050</xdr:colOff>
      <xdr:row>28</xdr:row>
      <xdr:rowOff>0</xdr:rowOff>
    </xdr:from>
    <xdr:to>
      <xdr:col>3</xdr:col>
      <xdr:colOff>19050</xdr:colOff>
      <xdr:row>29</xdr:row>
      <xdr:rowOff>0</xdr:rowOff>
    </xdr:to>
    <xdr:sp macro="[0]!Layoutbol" textlink="">
      <xdr:nvSpPr>
        <xdr:cNvPr id="71753" name="Rectangle 73">
          <a:extLst>
            <a:ext uri="{FF2B5EF4-FFF2-40B4-BE49-F238E27FC236}">
              <a16:creationId xmlns:a16="http://schemas.microsoft.com/office/drawing/2014/main" id="{00000000-0008-0000-0500-000049180100}"/>
            </a:ext>
          </a:extLst>
        </xdr:cNvPr>
        <xdr:cNvSpPr>
          <a:spLocks noChangeArrowheads="1"/>
        </xdr:cNvSpPr>
      </xdr:nvSpPr>
      <xdr:spPr bwMode="auto">
        <a:xfrm>
          <a:off x="285750" y="4810125"/>
          <a:ext cx="8096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adatbazisbol" textlink="">
      <xdr:nvSpPr>
        <xdr:cNvPr id="71755" name="Rectangle 75">
          <a:extLst>
            <a:ext uri="{FF2B5EF4-FFF2-40B4-BE49-F238E27FC236}">
              <a16:creationId xmlns:a16="http://schemas.microsoft.com/office/drawing/2014/main" id="{00000000-0008-0000-0500-00004B180100}"/>
            </a:ext>
          </a:extLst>
        </xdr:cNvPr>
        <xdr:cNvSpPr>
          <a:spLocks noChangeArrowheads="1"/>
        </xdr:cNvSpPr>
      </xdr:nvSpPr>
      <xdr:spPr bwMode="auto">
        <a:xfrm>
          <a:off x="1076325" y="4810125"/>
          <a:ext cx="12192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28575</xdr:colOff>
      <xdr:row>1</xdr:row>
      <xdr:rowOff>66675</xdr:rowOff>
    </xdr:from>
    <xdr:to>
      <xdr:col>5</xdr:col>
      <xdr:colOff>85725</xdr:colOff>
      <xdr:row>13</xdr:row>
      <xdr:rowOff>76200</xdr:rowOff>
    </xdr:to>
    <xdr:graphicFrame macro="">
      <xdr:nvGraphicFramePr>
        <xdr:cNvPr id="71758" name="Diagram 78">
          <a:extLst>
            <a:ext uri="{FF2B5EF4-FFF2-40B4-BE49-F238E27FC236}">
              <a16:creationId xmlns:a16="http://schemas.microsoft.com/office/drawing/2014/main" id="{00000000-0008-0000-0500-00004E18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95250</xdr:colOff>
      <xdr:row>7</xdr:row>
      <xdr:rowOff>57150</xdr:rowOff>
    </xdr:from>
    <xdr:to>
      <xdr:col>1</xdr:col>
      <xdr:colOff>285750</xdr:colOff>
      <xdr:row>8</xdr:row>
      <xdr:rowOff>66675</xdr:rowOff>
    </xdr:to>
    <xdr:sp macro="" textlink="">
      <xdr:nvSpPr>
        <xdr:cNvPr id="71759" name="Text Box 79">
          <a:extLst>
            <a:ext uri="{FF2B5EF4-FFF2-40B4-BE49-F238E27FC236}">
              <a16:creationId xmlns:a16="http://schemas.microsoft.com/office/drawing/2014/main" id="{00000000-0008-0000-0500-00004F180100}"/>
            </a:ext>
          </a:extLst>
        </xdr:cNvPr>
        <xdr:cNvSpPr txBox="1">
          <a:spLocks noChangeArrowheads="1"/>
        </xdr:cNvSpPr>
      </xdr:nvSpPr>
      <xdr:spPr bwMode="auto">
        <a:xfrm>
          <a:off x="361950" y="1228725"/>
          <a:ext cx="19050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hu-H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+j</a:t>
          </a:r>
        </a:p>
      </xdr:txBody>
    </xdr:sp>
    <xdr:clientData/>
  </xdr:twoCellAnchor>
  <xdr:twoCellAnchor>
    <xdr:from>
      <xdr:col>4</xdr:col>
      <xdr:colOff>476250</xdr:colOff>
      <xdr:row>7</xdr:row>
      <xdr:rowOff>95250</xdr:rowOff>
    </xdr:from>
    <xdr:to>
      <xdr:col>5</xdr:col>
      <xdr:colOff>57150</xdr:colOff>
      <xdr:row>8</xdr:row>
      <xdr:rowOff>104775</xdr:rowOff>
    </xdr:to>
    <xdr:sp macro="" textlink="">
      <xdr:nvSpPr>
        <xdr:cNvPr id="71760" name="Text Box 80">
          <a:extLst>
            <a:ext uri="{FF2B5EF4-FFF2-40B4-BE49-F238E27FC236}">
              <a16:creationId xmlns:a16="http://schemas.microsoft.com/office/drawing/2014/main" id="{00000000-0008-0000-0500-000050180100}"/>
            </a:ext>
          </a:extLst>
        </xdr:cNvPr>
        <xdr:cNvSpPr txBox="1">
          <a:spLocks noChangeArrowheads="1"/>
        </xdr:cNvSpPr>
      </xdr:nvSpPr>
      <xdr:spPr bwMode="auto">
        <a:xfrm>
          <a:off x="2162175" y="1266825"/>
          <a:ext cx="19050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hu-H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-j</a:t>
          </a:r>
        </a:p>
      </xdr:txBody>
    </xdr:sp>
    <xdr:clientData/>
  </xdr:twoCellAnchor>
  <xdr:twoCellAnchor>
    <xdr:from>
      <xdr:col>3</xdr:col>
      <xdr:colOff>238125</xdr:colOff>
      <xdr:row>1</xdr:row>
      <xdr:rowOff>47625</xdr:rowOff>
    </xdr:from>
    <xdr:to>
      <xdr:col>3</xdr:col>
      <xdr:colOff>352425</xdr:colOff>
      <xdr:row>2</xdr:row>
      <xdr:rowOff>19050</xdr:rowOff>
    </xdr:to>
    <xdr:sp macro="" textlink="">
      <xdr:nvSpPr>
        <xdr:cNvPr id="71761" name="Text Box 81">
          <a:extLst>
            <a:ext uri="{FF2B5EF4-FFF2-40B4-BE49-F238E27FC236}">
              <a16:creationId xmlns:a16="http://schemas.microsoft.com/office/drawing/2014/main" id="{00000000-0008-0000-0500-000051180100}"/>
            </a:ext>
          </a:extLst>
        </xdr:cNvPr>
        <xdr:cNvSpPr txBox="1">
          <a:spLocks noChangeArrowheads="1"/>
        </xdr:cNvSpPr>
      </xdr:nvSpPr>
      <xdr:spPr bwMode="auto">
        <a:xfrm>
          <a:off x="1314450" y="247650"/>
          <a:ext cx="114300" cy="133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hu-HU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A</a:t>
          </a:r>
        </a:p>
      </xdr:txBody>
    </xdr:sp>
    <xdr:clientData/>
  </xdr:twoCellAnchor>
  <xdr:twoCellAnchor>
    <xdr:from>
      <xdr:col>1</xdr:col>
      <xdr:colOff>247650</xdr:colOff>
      <xdr:row>9</xdr:row>
      <xdr:rowOff>123825</xdr:rowOff>
    </xdr:from>
    <xdr:to>
      <xdr:col>1</xdr:col>
      <xdr:colOff>390525</xdr:colOff>
      <xdr:row>10</xdr:row>
      <xdr:rowOff>133350</xdr:rowOff>
    </xdr:to>
    <xdr:sp macro="" textlink="">
      <xdr:nvSpPr>
        <xdr:cNvPr id="71762" name="Text Box 82">
          <a:extLst>
            <a:ext uri="{FF2B5EF4-FFF2-40B4-BE49-F238E27FC236}">
              <a16:creationId xmlns:a16="http://schemas.microsoft.com/office/drawing/2014/main" id="{00000000-0008-0000-0500-000052180100}"/>
            </a:ext>
          </a:extLst>
        </xdr:cNvPr>
        <xdr:cNvSpPr txBox="1">
          <a:spLocks noChangeArrowheads="1"/>
        </xdr:cNvSpPr>
      </xdr:nvSpPr>
      <xdr:spPr bwMode="auto">
        <a:xfrm>
          <a:off x="514350" y="1619250"/>
          <a:ext cx="1428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hu-HU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4</xdr:col>
      <xdr:colOff>428625</xdr:colOff>
      <xdr:row>10</xdr:row>
      <xdr:rowOff>38100</xdr:rowOff>
    </xdr:from>
    <xdr:to>
      <xdr:col>4</xdr:col>
      <xdr:colOff>571500</xdr:colOff>
      <xdr:row>11</xdr:row>
      <xdr:rowOff>47625</xdr:rowOff>
    </xdr:to>
    <xdr:sp macro="" textlink="">
      <xdr:nvSpPr>
        <xdr:cNvPr id="71763" name="Text Box 83">
          <a:extLst>
            <a:ext uri="{FF2B5EF4-FFF2-40B4-BE49-F238E27FC236}">
              <a16:creationId xmlns:a16="http://schemas.microsoft.com/office/drawing/2014/main" id="{00000000-0008-0000-0500-000053180100}"/>
            </a:ext>
          </a:extLst>
        </xdr:cNvPr>
        <xdr:cNvSpPr txBox="1">
          <a:spLocks noChangeArrowheads="1"/>
        </xdr:cNvSpPr>
      </xdr:nvSpPr>
      <xdr:spPr bwMode="auto">
        <a:xfrm>
          <a:off x="2114550" y="1695450"/>
          <a:ext cx="14287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hu-H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5</xdr:col>
      <xdr:colOff>381000</xdr:colOff>
      <xdr:row>11</xdr:row>
      <xdr:rowOff>47625</xdr:rowOff>
    </xdr:from>
    <xdr:to>
      <xdr:col>7</xdr:col>
      <xdr:colOff>457200</xdr:colOff>
      <xdr:row>13</xdr:row>
      <xdr:rowOff>85725</xdr:rowOff>
    </xdr:to>
    <xdr:sp macro="" textlink="">
      <xdr:nvSpPr>
        <xdr:cNvPr id="71764" name="Text Box 84">
          <a:extLst>
            <a:ext uri="{FF2B5EF4-FFF2-40B4-BE49-F238E27FC236}">
              <a16:creationId xmlns:a16="http://schemas.microsoft.com/office/drawing/2014/main" id="{00000000-0008-0000-0500-000054180100}"/>
            </a:ext>
          </a:extLst>
        </xdr:cNvPr>
        <xdr:cNvSpPr txBox="1">
          <a:spLocks noChangeArrowheads="1"/>
        </xdr:cNvSpPr>
      </xdr:nvSpPr>
      <xdr:spPr bwMode="auto">
        <a:xfrm>
          <a:off x="2676525" y="1866900"/>
          <a:ext cx="1295400" cy="361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hu-H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A-C=B-A=C-B=120°</a:t>
          </a:r>
        </a:p>
        <a:p>
          <a:pPr algn="l" rtl="0">
            <a:defRPr sz="1000"/>
          </a:pPr>
          <a:r>
            <a:rPr lang="hu-H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Ia+Ib+Ic=0 esetén.</a:t>
          </a:r>
        </a:p>
      </xdr:txBody>
    </xdr:sp>
    <xdr:clientData/>
  </xdr:twoCellAnchor>
  <xdr:twoCellAnchor>
    <xdr:from>
      <xdr:col>5</xdr:col>
      <xdr:colOff>152400</xdr:colOff>
      <xdr:row>1</xdr:row>
      <xdr:rowOff>76200</xdr:rowOff>
    </xdr:from>
    <xdr:to>
      <xdr:col>7</xdr:col>
      <xdr:colOff>457200</xdr:colOff>
      <xdr:row>10</xdr:row>
      <xdr:rowOff>142875</xdr:rowOff>
    </xdr:to>
    <xdr:graphicFrame macro="">
      <xdr:nvGraphicFramePr>
        <xdr:cNvPr id="71790" name="Diagram 110">
          <a:extLst>
            <a:ext uri="{FF2B5EF4-FFF2-40B4-BE49-F238E27FC236}">
              <a16:creationId xmlns:a16="http://schemas.microsoft.com/office/drawing/2014/main" id="{00000000-0008-0000-0500-00006E18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190500</xdr:colOff>
      <xdr:row>1</xdr:row>
      <xdr:rowOff>85725</xdr:rowOff>
    </xdr:from>
    <xdr:to>
      <xdr:col>6</xdr:col>
      <xdr:colOff>257175</xdr:colOff>
      <xdr:row>2</xdr:row>
      <xdr:rowOff>66675</xdr:rowOff>
    </xdr:to>
    <xdr:sp macro="" textlink="">
      <xdr:nvSpPr>
        <xdr:cNvPr id="71791" name="Text Box 111">
          <a:extLst>
            <a:ext uri="{FF2B5EF4-FFF2-40B4-BE49-F238E27FC236}">
              <a16:creationId xmlns:a16="http://schemas.microsoft.com/office/drawing/2014/main" id="{00000000-0008-0000-0500-00006F180100}"/>
            </a:ext>
          </a:extLst>
        </xdr:cNvPr>
        <xdr:cNvSpPr txBox="1">
          <a:spLocks noChangeArrowheads="1"/>
        </xdr:cNvSpPr>
      </xdr:nvSpPr>
      <xdr:spPr bwMode="auto">
        <a:xfrm>
          <a:off x="2486025" y="285750"/>
          <a:ext cx="6762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hu-HU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MMF vektorok</a:t>
          </a:r>
        </a:p>
      </xdr:txBody>
    </xdr:sp>
    <xdr:clientData/>
  </xdr:twoCellAnchor>
  <xdr:twoCellAnchor>
    <xdr:from>
      <xdr:col>1</xdr:col>
      <xdr:colOff>76200</xdr:colOff>
      <xdr:row>1</xdr:row>
      <xdr:rowOff>114300</xdr:rowOff>
    </xdr:from>
    <xdr:to>
      <xdr:col>1</xdr:col>
      <xdr:colOff>342900</xdr:colOff>
      <xdr:row>2</xdr:row>
      <xdr:rowOff>76200</xdr:rowOff>
    </xdr:to>
    <xdr:sp macro="" textlink="">
      <xdr:nvSpPr>
        <xdr:cNvPr id="71792" name="Text Box 112">
          <a:extLst>
            <a:ext uri="{FF2B5EF4-FFF2-40B4-BE49-F238E27FC236}">
              <a16:creationId xmlns:a16="http://schemas.microsoft.com/office/drawing/2014/main" id="{00000000-0008-0000-0500-000070180100}"/>
            </a:ext>
          </a:extLst>
        </xdr:cNvPr>
        <xdr:cNvSpPr txBox="1">
          <a:spLocks noChangeArrowheads="1"/>
        </xdr:cNvSpPr>
      </xdr:nvSpPr>
      <xdr:spPr bwMode="auto">
        <a:xfrm>
          <a:off x="342900" y="314325"/>
          <a:ext cx="266700" cy="123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hu-HU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Park</a:t>
          </a:r>
        </a:p>
      </xdr:txBody>
    </xdr:sp>
    <xdr:clientData/>
  </xdr:twoCellAnchor>
  <xdr:twoCellAnchor>
    <xdr:from>
      <xdr:col>5</xdr:col>
      <xdr:colOff>133350</xdr:colOff>
      <xdr:row>12</xdr:row>
      <xdr:rowOff>38100</xdr:rowOff>
    </xdr:from>
    <xdr:to>
      <xdr:col>5</xdr:col>
      <xdr:colOff>342900</xdr:colOff>
      <xdr:row>12</xdr:row>
      <xdr:rowOff>38100</xdr:rowOff>
    </xdr:to>
    <xdr:sp macro="" textlink="">
      <xdr:nvSpPr>
        <xdr:cNvPr id="71793" name="Line 113">
          <a:extLst>
            <a:ext uri="{FF2B5EF4-FFF2-40B4-BE49-F238E27FC236}">
              <a16:creationId xmlns:a16="http://schemas.microsoft.com/office/drawing/2014/main" id="{00000000-0008-0000-0500-000071180100}"/>
            </a:ext>
          </a:extLst>
        </xdr:cNvPr>
        <xdr:cNvSpPr>
          <a:spLocks noChangeShapeType="1"/>
        </xdr:cNvSpPr>
      </xdr:nvSpPr>
      <xdr:spPr bwMode="auto">
        <a:xfrm flipH="1">
          <a:off x="2428875" y="20193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dmcritchie.mvps.org/excel/colors.htm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5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5">
    <pageSetUpPr fitToPage="1"/>
  </sheetPr>
  <dimension ref="A1:IV1019"/>
  <sheetViews>
    <sheetView zoomScaleNormal="100" workbookViewId="0"/>
  </sheetViews>
  <sheetFormatPr defaultColWidth="9.140625" defaultRowHeight="12.75" x14ac:dyDescent="0.2"/>
  <cols>
    <col min="1" max="1" width="9" style="3" customWidth="1"/>
    <col min="2" max="2" width="7.140625" style="3" customWidth="1"/>
    <col min="3" max="3" width="7.28515625" style="3" customWidth="1"/>
    <col min="4" max="4" width="2" style="3" customWidth="1"/>
    <col min="5" max="5" width="5.140625" style="3" customWidth="1"/>
    <col min="6" max="53" width="4" style="4" customWidth="1"/>
    <col min="54" max="16384" width="9.140625" style="3"/>
  </cols>
  <sheetData>
    <row r="1" spans="1:256" x14ac:dyDescent="0.2">
      <c r="A1" s="1" t="s">
        <v>944</v>
      </c>
      <c r="B1" s="2"/>
      <c r="C1" s="2"/>
      <c r="H1" s="5"/>
      <c r="I1" s="5"/>
      <c r="Z1" s="4" t="s">
        <v>126</v>
      </c>
    </row>
    <row r="2" spans="1:256" x14ac:dyDescent="0.2">
      <c r="A2" s="6"/>
      <c r="B2" s="7" t="s">
        <v>83</v>
      </c>
      <c r="C2" s="8">
        <v>3</v>
      </c>
      <c r="E2" s="5" t="s">
        <v>45</v>
      </c>
      <c r="F2" s="260">
        <v>1</v>
      </c>
      <c r="G2" s="267">
        <v>2</v>
      </c>
      <c r="H2" s="268">
        <v>3</v>
      </c>
      <c r="I2" s="272">
        <v>4</v>
      </c>
      <c r="J2" s="267">
        <v>5</v>
      </c>
      <c r="K2" s="267">
        <v>6</v>
      </c>
      <c r="L2" s="260">
        <v>7</v>
      </c>
      <c r="M2" s="267">
        <v>8</v>
      </c>
      <c r="N2" s="267">
        <v>9</v>
      </c>
      <c r="O2" s="260">
        <v>10</v>
      </c>
      <c r="P2" s="267">
        <v>11</v>
      </c>
      <c r="Q2" s="267">
        <v>12</v>
      </c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267"/>
      <c r="AG2" s="267"/>
      <c r="AH2" s="267"/>
      <c r="AI2" s="267"/>
      <c r="AJ2" s="267"/>
      <c r="AK2" s="267"/>
      <c r="AL2" s="267"/>
      <c r="AM2" s="267"/>
      <c r="AN2" s="267"/>
      <c r="AO2" s="267"/>
      <c r="AP2" s="267"/>
      <c r="AQ2" s="267"/>
      <c r="AR2" s="267"/>
      <c r="AS2" s="267"/>
      <c r="AT2" s="267"/>
      <c r="AU2" s="267"/>
      <c r="AV2" s="267"/>
      <c r="AW2" s="267"/>
      <c r="AX2" s="267"/>
      <c r="AY2" s="267"/>
      <c r="AZ2" s="267"/>
      <c r="BA2" s="267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/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/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/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/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/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/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/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  <c r="HU2" s="269"/>
      <c r="HV2" s="269"/>
      <c r="HW2" s="269"/>
      <c r="HX2" s="269"/>
      <c r="HY2" s="269"/>
      <c r="HZ2" s="269"/>
      <c r="IA2" s="269"/>
      <c r="IB2" s="269"/>
      <c r="IC2" s="269"/>
      <c r="ID2" s="269"/>
      <c r="IE2" s="269"/>
      <c r="IF2" s="269"/>
      <c r="IG2" s="269"/>
      <c r="IH2" s="269"/>
      <c r="II2" s="269"/>
      <c r="IJ2" s="269"/>
      <c r="IK2" s="269"/>
      <c r="IL2" s="269"/>
      <c r="IM2" s="269"/>
      <c r="IN2" s="269"/>
      <c r="IO2" s="269"/>
      <c r="IP2" s="269"/>
      <c r="IQ2" s="269"/>
      <c r="IR2" s="269"/>
      <c r="IS2" s="269"/>
      <c r="IT2" s="269"/>
      <c r="IU2" s="269"/>
      <c r="IV2" s="269"/>
    </row>
    <row r="3" spans="1:256" x14ac:dyDescent="0.2">
      <c r="A3" s="9"/>
      <c r="B3" s="10" t="s">
        <v>84</v>
      </c>
      <c r="C3" s="8">
        <v>12</v>
      </c>
      <c r="E3" s="5" t="s">
        <v>127</v>
      </c>
      <c r="F3" s="11" t="s">
        <v>41</v>
      </c>
      <c r="G3" s="12" t="s">
        <v>46</v>
      </c>
      <c r="H3" s="271" t="s">
        <v>65</v>
      </c>
      <c r="I3" s="262" t="s">
        <v>41</v>
      </c>
      <c r="J3" s="12" t="s">
        <v>46</v>
      </c>
      <c r="K3" s="257" t="s">
        <v>65</v>
      </c>
      <c r="L3" s="11" t="s">
        <v>41</v>
      </c>
      <c r="M3" s="12" t="s">
        <v>46</v>
      </c>
      <c r="N3" s="257" t="s">
        <v>65</v>
      </c>
      <c r="O3" s="11" t="s">
        <v>41</v>
      </c>
      <c r="P3" s="12" t="s">
        <v>46</v>
      </c>
      <c r="Q3" s="257" t="s">
        <v>65</v>
      </c>
      <c r="R3" s="267"/>
      <c r="S3" s="267"/>
      <c r="T3" s="267"/>
      <c r="U3" s="267"/>
      <c r="V3" s="267"/>
      <c r="W3" s="267"/>
      <c r="X3" s="267"/>
      <c r="Y3" s="267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7"/>
      <c r="AP3" s="267"/>
      <c r="AQ3" s="267"/>
      <c r="AR3" s="267"/>
      <c r="AS3" s="267"/>
      <c r="AT3" s="267"/>
      <c r="AU3" s="267"/>
      <c r="AV3" s="267"/>
      <c r="AW3" s="267"/>
      <c r="AX3" s="267"/>
      <c r="AY3" s="267"/>
      <c r="AZ3" s="267"/>
      <c r="BA3" s="267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269"/>
      <c r="BX3" s="269"/>
      <c r="BY3" s="269"/>
      <c r="BZ3" s="269"/>
      <c r="CA3" s="269"/>
      <c r="CB3" s="269"/>
      <c r="CC3" s="269"/>
      <c r="CD3" s="269"/>
      <c r="CE3" s="269"/>
      <c r="CF3" s="269"/>
      <c r="CG3" s="269"/>
      <c r="CH3" s="269"/>
      <c r="CI3" s="269"/>
      <c r="CJ3" s="269"/>
      <c r="CK3" s="269"/>
      <c r="CL3" s="269"/>
      <c r="CM3" s="269"/>
      <c r="CN3" s="269"/>
      <c r="CO3" s="269"/>
      <c r="CP3" s="269"/>
      <c r="CQ3" s="269"/>
      <c r="CR3" s="269"/>
      <c r="CS3" s="269"/>
      <c r="CT3" s="269"/>
      <c r="CU3" s="269"/>
      <c r="CV3" s="269"/>
      <c r="CW3" s="269"/>
      <c r="CX3" s="269"/>
      <c r="CY3" s="269"/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/>
      <c r="DM3" s="269"/>
      <c r="DN3" s="269"/>
      <c r="DO3" s="269"/>
      <c r="DP3" s="269"/>
      <c r="DQ3" s="269"/>
      <c r="DR3" s="269"/>
      <c r="DS3" s="269"/>
      <c r="DT3" s="269"/>
      <c r="DU3" s="269"/>
      <c r="DV3" s="269"/>
      <c r="DW3" s="269"/>
      <c r="DX3" s="269"/>
      <c r="DY3" s="269"/>
      <c r="DZ3" s="269"/>
      <c r="EA3" s="269"/>
      <c r="EB3" s="269"/>
      <c r="EC3" s="269"/>
      <c r="ED3" s="269"/>
      <c r="EE3" s="269"/>
      <c r="EF3" s="269"/>
      <c r="EG3" s="269"/>
      <c r="EH3" s="269"/>
      <c r="EI3" s="269"/>
      <c r="EJ3" s="269"/>
      <c r="EK3" s="269"/>
      <c r="EL3" s="269"/>
      <c r="EM3" s="269"/>
      <c r="EN3" s="269"/>
      <c r="EO3" s="269"/>
      <c r="EP3" s="269"/>
      <c r="EQ3" s="269"/>
      <c r="ER3" s="269"/>
      <c r="ES3" s="269"/>
      <c r="ET3" s="269"/>
      <c r="EU3" s="269"/>
      <c r="EV3" s="269"/>
      <c r="EW3" s="269"/>
      <c r="EX3" s="269"/>
      <c r="EY3" s="269"/>
      <c r="EZ3" s="269"/>
      <c r="FA3" s="269"/>
      <c r="FB3" s="269"/>
      <c r="FC3" s="269"/>
      <c r="FD3" s="269"/>
      <c r="FE3" s="269"/>
      <c r="FF3" s="269"/>
      <c r="FG3" s="269"/>
      <c r="FH3" s="269"/>
      <c r="FI3" s="269"/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/>
      <c r="FV3" s="269"/>
      <c r="FW3" s="269"/>
      <c r="FX3" s="269"/>
      <c r="FY3" s="269"/>
      <c r="FZ3" s="269"/>
      <c r="GA3" s="269"/>
      <c r="GB3" s="269"/>
      <c r="GC3" s="269"/>
      <c r="GD3" s="269"/>
      <c r="GE3" s="269"/>
      <c r="GF3" s="269"/>
      <c r="GG3" s="269"/>
      <c r="GH3" s="269"/>
      <c r="GI3" s="269"/>
      <c r="GJ3" s="269"/>
      <c r="GK3" s="269"/>
      <c r="GL3" s="269"/>
      <c r="GM3" s="269"/>
      <c r="GN3" s="269"/>
      <c r="GO3" s="269"/>
      <c r="GP3" s="269"/>
      <c r="GQ3" s="269"/>
      <c r="GR3" s="269"/>
      <c r="GS3" s="269"/>
      <c r="GT3" s="269"/>
      <c r="GU3" s="269"/>
      <c r="GV3" s="269"/>
      <c r="GW3" s="269"/>
      <c r="GX3" s="269"/>
      <c r="GY3" s="269"/>
      <c r="GZ3" s="269"/>
      <c r="HA3" s="269"/>
      <c r="HB3" s="269"/>
      <c r="HC3" s="269"/>
      <c r="HD3" s="269"/>
      <c r="HE3" s="269"/>
      <c r="HF3" s="269"/>
      <c r="HG3" s="269"/>
      <c r="HH3" s="269"/>
      <c r="HI3" s="269"/>
      <c r="HJ3" s="269"/>
      <c r="HK3" s="269"/>
      <c r="HL3" s="269"/>
      <c r="HM3" s="269"/>
      <c r="HN3" s="269"/>
      <c r="HO3" s="269"/>
      <c r="HP3" s="269"/>
      <c r="HQ3" s="269"/>
      <c r="HR3" s="269"/>
      <c r="HS3" s="269"/>
      <c r="HT3" s="269"/>
      <c r="HU3" s="269"/>
      <c r="HV3" s="269"/>
      <c r="HW3" s="269"/>
      <c r="HX3" s="269"/>
      <c r="HY3" s="269"/>
      <c r="HZ3" s="269"/>
      <c r="IA3" s="269"/>
      <c r="IB3" s="269"/>
      <c r="IC3" s="269"/>
      <c r="ID3" s="269"/>
      <c r="IE3" s="269"/>
      <c r="IF3" s="269"/>
      <c r="IG3" s="269"/>
      <c r="IH3" s="269"/>
      <c r="II3" s="269"/>
      <c r="IJ3" s="269"/>
      <c r="IK3" s="269"/>
      <c r="IL3" s="269"/>
      <c r="IM3" s="269"/>
      <c r="IN3" s="269"/>
      <c r="IO3" s="269"/>
      <c r="IP3" s="269"/>
      <c r="IQ3" s="269"/>
      <c r="IR3" s="269"/>
      <c r="IS3" s="269"/>
      <c r="IT3" s="269"/>
      <c r="IU3" s="269"/>
      <c r="IV3" s="269"/>
    </row>
    <row r="4" spans="1:256" x14ac:dyDescent="0.2">
      <c r="A4" s="13" t="s">
        <v>948</v>
      </c>
      <c r="B4" s="14" t="s">
        <v>85</v>
      </c>
      <c r="C4" s="8">
        <v>8</v>
      </c>
      <c r="E4" s="59" t="s">
        <v>129</v>
      </c>
      <c r="F4" s="257" t="s">
        <v>120</v>
      </c>
      <c r="G4" s="11" t="s">
        <v>116</v>
      </c>
      <c r="H4" s="270" t="s">
        <v>117</v>
      </c>
      <c r="I4" s="271" t="s">
        <v>120</v>
      </c>
      <c r="J4" s="11" t="s">
        <v>116</v>
      </c>
      <c r="K4" s="12" t="s">
        <v>117</v>
      </c>
      <c r="L4" s="257" t="s">
        <v>120</v>
      </c>
      <c r="M4" s="11" t="s">
        <v>116</v>
      </c>
      <c r="N4" s="12" t="s">
        <v>117</v>
      </c>
      <c r="O4" s="257" t="s">
        <v>120</v>
      </c>
      <c r="P4" s="11" t="s">
        <v>116</v>
      </c>
      <c r="Q4" s="12" t="s">
        <v>117</v>
      </c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267"/>
      <c r="AW4" s="267"/>
      <c r="AX4" s="267"/>
      <c r="AY4" s="267"/>
      <c r="AZ4" s="267"/>
      <c r="BA4" s="267"/>
      <c r="BB4" s="269"/>
      <c r="BC4" s="269"/>
      <c r="BD4" s="269"/>
      <c r="BE4" s="269"/>
      <c r="BF4" s="269"/>
      <c r="BG4" s="269"/>
      <c r="BH4" s="269"/>
      <c r="BI4" s="269"/>
      <c r="BJ4" s="269"/>
      <c r="BK4" s="269"/>
      <c r="BL4" s="269"/>
      <c r="BM4" s="269"/>
      <c r="BN4" s="269"/>
      <c r="BO4" s="269"/>
      <c r="BP4" s="269"/>
      <c r="BQ4" s="269"/>
      <c r="BR4" s="269"/>
      <c r="BS4" s="269"/>
      <c r="BT4" s="269"/>
      <c r="BU4" s="269"/>
      <c r="BV4" s="269"/>
      <c r="BW4" s="269"/>
      <c r="BX4" s="269"/>
      <c r="BY4" s="269"/>
      <c r="BZ4" s="269"/>
      <c r="CA4" s="269"/>
      <c r="CB4" s="269"/>
      <c r="CC4" s="269"/>
      <c r="CD4" s="269"/>
      <c r="CE4" s="269"/>
      <c r="CF4" s="269"/>
      <c r="CG4" s="269"/>
      <c r="CH4" s="269"/>
      <c r="CI4" s="269"/>
      <c r="CJ4" s="269"/>
      <c r="CK4" s="269"/>
      <c r="CL4" s="269"/>
      <c r="CM4" s="269"/>
      <c r="CN4" s="269"/>
      <c r="CO4" s="269"/>
      <c r="CP4" s="269"/>
      <c r="CQ4" s="269"/>
      <c r="CR4" s="269"/>
      <c r="CS4" s="269"/>
      <c r="CT4" s="269"/>
      <c r="CU4" s="269"/>
      <c r="CV4" s="269"/>
      <c r="CW4" s="269"/>
      <c r="CX4" s="269"/>
      <c r="CY4" s="269"/>
      <c r="CZ4" s="269"/>
      <c r="DA4" s="269"/>
      <c r="DB4" s="269"/>
      <c r="DC4" s="269"/>
      <c r="DD4" s="269"/>
      <c r="DE4" s="269"/>
      <c r="DF4" s="269"/>
      <c r="DG4" s="269"/>
      <c r="DH4" s="269"/>
      <c r="DI4" s="269"/>
      <c r="DJ4" s="269"/>
      <c r="DK4" s="269"/>
      <c r="DL4" s="269"/>
      <c r="DM4" s="269"/>
      <c r="DN4" s="269"/>
      <c r="DO4" s="269"/>
      <c r="DP4" s="269"/>
      <c r="DQ4" s="269"/>
      <c r="DR4" s="269"/>
      <c r="DS4" s="269"/>
      <c r="DT4" s="269"/>
      <c r="DU4" s="269"/>
      <c r="DV4" s="269"/>
      <c r="DW4" s="269"/>
      <c r="DX4" s="269"/>
      <c r="DY4" s="269"/>
      <c r="DZ4" s="269"/>
      <c r="EA4" s="269"/>
      <c r="EB4" s="269"/>
      <c r="EC4" s="269"/>
      <c r="ED4" s="269"/>
      <c r="EE4" s="269"/>
      <c r="EF4" s="269"/>
      <c r="EG4" s="269"/>
      <c r="EH4" s="269"/>
      <c r="EI4" s="269"/>
      <c r="EJ4" s="269"/>
      <c r="EK4" s="269"/>
      <c r="EL4" s="269"/>
      <c r="EM4" s="269"/>
      <c r="EN4" s="269"/>
      <c r="EO4" s="269"/>
      <c r="EP4" s="269"/>
      <c r="EQ4" s="269"/>
      <c r="ER4" s="269"/>
      <c r="ES4" s="269"/>
      <c r="ET4" s="269"/>
      <c r="EU4" s="269"/>
      <c r="EV4" s="269"/>
      <c r="EW4" s="269"/>
      <c r="EX4" s="269"/>
      <c r="EY4" s="269"/>
      <c r="EZ4" s="269"/>
      <c r="FA4" s="269"/>
      <c r="FB4" s="269"/>
      <c r="FC4" s="269"/>
      <c r="FD4" s="269"/>
      <c r="FE4" s="269"/>
      <c r="FF4" s="269"/>
      <c r="FG4" s="269"/>
      <c r="FH4" s="269"/>
      <c r="FI4" s="269"/>
      <c r="FJ4" s="269"/>
      <c r="FK4" s="269"/>
      <c r="FL4" s="269"/>
      <c r="FM4" s="269"/>
      <c r="FN4" s="269"/>
      <c r="FO4" s="269"/>
      <c r="FP4" s="269"/>
      <c r="FQ4" s="269"/>
      <c r="FR4" s="269"/>
      <c r="FS4" s="269"/>
      <c r="FT4" s="269"/>
      <c r="FU4" s="269"/>
      <c r="FV4" s="269"/>
      <c r="FW4" s="269"/>
      <c r="FX4" s="269"/>
      <c r="FY4" s="269"/>
      <c r="FZ4" s="269"/>
      <c r="GA4" s="269"/>
      <c r="GB4" s="269"/>
      <c r="GC4" s="269"/>
      <c r="GD4" s="269"/>
      <c r="GE4" s="269"/>
      <c r="GF4" s="269"/>
      <c r="GG4" s="269"/>
      <c r="GH4" s="269"/>
      <c r="GI4" s="269"/>
      <c r="GJ4" s="269"/>
      <c r="GK4" s="269"/>
      <c r="GL4" s="269"/>
      <c r="GM4" s="269"/>
      <c r="GN4" s="269"/>
      <c r="GO4" s="269"/>
      <c r="GP4" s="269"/>
      <c r="GQ4" s="269"/>
      <c r="GR4" s="269"/>
      <c r="GS4" s="269"/>
      <c r="GT4" s="269"/>
      <c r="GU4" s="269"/>
      <c r="GV4" s="269"/>
      <c r="GW4" s="269"/>
      <c r="GX4" s="269"/>
      <c r="GY4" s="269"/>
      <c r="GZ4" s="269"/>
      <c r="HA4" s="269"/>
      <c r="HB4" s="269"/>
      <c r="HC4" s="269"/>
      <c r="HD4" s="269"/>
      <c r="HE4" s="269"/>
      <c r="HF4" s="269"/>
      <c r="HG4" s="269"/>
      <c r="HH4" s="269"/>
      <c r="HI4" s="269"/>
      <c r="HJ4" s="269"/>
      <c r="HK4" s="269"/>
      <c r="HL4" s="269"/>
      <c r="HM4" s="269"/>
      <c r="HN4" s="269"/>
      <c r="HO4" s="269"/>
      <c r="HP4" s="269"/>
      <c r="HQ4" s="269"/>
      <c r="HR4" s="269"/>
      <c r="HS4" s="269"/>
      <c r="HT4" s="269"/>
      <c r="HU4" s="269"/>
      <c r="HV4" s="269"/>
      <c r="HW4" s="269"/>
      <c r="HX4" s="269"/>
      <c r="HY4" s="269"/>
      <c r="HZ4" s="269"/>
      <c r="IA4" s="269"/>
      <c r="IB4" s="269"/>
      <c r="IC4" s="269"/>
      <c r="ID4" s="269"/>
      <c r="IE4" s="269"/>
      <c r="IF4" s="269"/>
      <c r="IG4" s="269"/>
      <c r="IH4" s="269"/>
      <c r="II4" s="269"/>
      <c r="IJ4" s="269"/>
      <c r="IK4" s="269"/>
      <c r="IL4" s="269"/>
      <c r="IM4" s="269"/>
      <c r="IN4" s="269"/>
      <c r="IO4" s="269"/>
      <c r="IP4" s="269"/>
      <c r="IQ4" s="269"/>
      <c r="IR4" s="269"/>
      <c r="IS4" s="269"/>
      <c r="IT4" s="269"/>
      <c r="IU4" s="269"/>
      <c r="IV4" s="269"/>
    </row>
    <row r="5" spans="1:256" x14ac:dyDescent="0.2">
      <c r="A5" s="15">
        <v>1</v>
      </c>
      <c r="B5" s="10" t="s">
        <v>86</v>
      </c>
      <c r="C5" s="8">
        <v>1</v>
      </c>
      <c r="E5" s="3" t="s">
        <v>130</v>
      </c>
      <c r="F5" s="4">
        <v>4</v>
      </c>
      <c r="G5" s="4">
        <v>8</v>
      </c>
      <c r="H5" s="5">
        <v>12</v>
      </c>
      <c r="I5" s="5">
        <v>4</v>
      </c>
      <c r="J5" s="4">
        <v>8</v>
      </c>
      <c r="K5" s="4">
        <v>12</v>
      </c>
      <c r="L5" s="4">
        <v>4</v>
      </c>
      <c r="M5" s="4">
        <v>8</v>
      </c>
      <c r="N5" s="4">
        <v>12</v>
      </c>
      <c r="O5" s="4">
        <v>4</v>
      </c>
      <c r="P5" s="4">
        <v>8</v>
      </c>
      <c r="Q5" s="4">
        <v>12</v>
      </c>
    </row>
    <row r="6" spans="1:256" x14ac:dyDescent="0.2">
      <c r="A6" s="16"/>
      <c r="B6" s="10" t="s">
        <v>87</v>
      </c>
      <c r="C6" s="17">
        <f>C3/C4</f>
        <v>1.5</v>
      </c>
      <c r="F6" s="18" t="s">
        <v>42</v>
      </c>
      <c r="G6" s="18" t="s">
        <v>131</v>
      </c>
      <c r="H6" s="19" t="s">
        <v>132</v>
      </c>
      <c r="I6" s="19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</row>
    <row r="7" spans="1:256" x14ac:dyDescent="0.2">
      <c r="A7" s="15">
        <v>1</v>
      </c>
      <c r="B7" s="10" t="s">
        <v>88</v>
      </c>
      <c r="C7" s="17">
        <f>IF(A5&lt;2,gcdsk(C3,(C4/2)),gcdsk(C3,(C4/2))/2)</f>
        <v>4</v>
      </c>
      <c r="F7" s="18"/>
      <c r="G7" s="18"/>
      <c r="H7" s="19"/>
      <c r="I7" s="19"/>
      <c r="J7" s="18"/>
      <c r="K7" s="18"/>
      <c r="L7" s="18"/>
      <c r="M7" s="18"/>
      <c r="N7" s="18"/>
      <c r="V7" s="20" t="s">
        <v>217</v>
      </c>
      <c r="W7" s="263">
        <f>ABS(Z8-W8)</f>
        <v>120.00000000000003</v>
      </c>
      <c r="X7" s="263"/>
      <c r="Y7" s="21" t="s">
        <v>218</v>
      </c>
      <c r="Z7" s="263">
        <f>ABS(AC8-Z8)</f>
        <v>120.00000000000001</v>
      </c>
      <c r="AA7" s="263"/>
      <c r="AB7" s="22" t="s">
        <v>219</v>
      </c>
      <c r="AC7" s="263">
        <f>ABS(W8-AC8)</f>
        <v>240.00000000000006</v>
      </c>
      <c r="AD7" s="263"/>
      <c r="AH7" s="23" t="s">
        <v>38</v>
      </c>
      <c r="AI7" s="23" t="s">
        <v>124</v>
      </c>
      <c r="AJ7" s="23" t="s">
        <v>133</v>
      </c>
      <c r="AK7" s="23" t="s">
        <v>134</v>
      </c>
      <c r="AL7" s="24">
        <v>38</v>
      </c>
      <c r="AM7" s="18">
        <v>39</v>
      </c>
      <c r="AN7" s="18">
        <v>40</v>
      </c>
      <c r="AO7" s="18">
        <v>41</v>
      </c>
      <c r="AP7" s="18">
        <v>42</v>
      </c>
      <c r="AQ7" s="18">
        <v>43</v>
      </c>
      <c r="AR7" s="18">
        <v>44</v>
      </c>
      <c r="AS7" s="18">
        <v>45</v>
      </c>
      <c r="AT7" s="24">
        <v>46</v>
      </c>
      <c r="AU7" s="18">
        <v>47</v>
      </c>
      <c r="AV7" s="18">
        <v>48</v>
      </c>
      <c r="AW7" s="18">
        <v>49</v>
      </c>
      <c r="AX7" s="18">
        <v>50</v>
      </c>
      <c r="AY7" s="18">
        <v>51</v>
      </c>
      <c r="AZ7" s="18">
        <v>52</v>
      </c>
      <c r="BA7" s="18">
        <v>53</v>
      </c>
      <c r="BB7" s="18">
        <v>54</v>
      </c>
      <c r="BC7" s="24">
        <v>55</v>
      </c>
      <c r="BD7" s="18">
        <v>56</v>
      </c>
      <c r="BE7" s="18">
        <v>57</v>
      </c>
      <c r="BF7" s="18">
        <v>58</v>
      </c>
      <c r="BG7" s="18">
        <v>59</v>
      </c>
      <c r="BH7" s="18">
        <v>60</v>
      </c>
      <c r="BI7" s="18">
        <v>61</v>
      </c>
      <c r="BJ7" s="18">
        <v>62</v>
      </c>
      <c r="BK7" s="18">
        <v>63</v>
      </c>
      <c r="BL7" s="18">
        <v>64</v>
      </c>
      <c r="BM7" s="18">
        <v>65</v>
      </c>
      <c r="BN7" s="18">
        <v>66</v>
      </c>
      <c r="BO7" s="18">
        <v>67</v>
      </c>
      <c r="BP7" s="24">
        <v>68</v>
      </c>
      <c r="BQ7" s="18">
        <v>69</v>
      </c>
      <c r="BR7" s="18">
        <v>70</v>
      </c>
      <c r="BS7" s="18">
        <v>71</v>
      </c>
      <c r="BT7" s="18">
        <v>72</v>
      </c>
      <c r="BU7" s="18">
        <v>73</v>
      </c>
      <c r="BV7" s="18">
        <v>74</v>
      </c>
      <c r="BW7" s="18">
        <v>75</v>
      </c>
      <c r="BX7" s="18">
        <v>76</v>
      </c>
      <c r="BY7" s="18">
        <v>77</v>
      </c>
      <c r="BZ7" s="18">
        <v>78</v>
      </c>
      <c r="CA7" s="18">
        <v>79</v>
      </c>
      <c r="CB7" s="18">
        <v>80</v>
      </c>
      <c r="CC7" s="18">
        <v>81</v>
      </c>
      <c r="CD7" s="18">
        <v>82</v>
      </c>
      <c r="CE7" s="18">
        <v>83</v>
      </c>
      <c r="CF7" s="18">
        <v>84</v>
      </c>
      <c r="CG7" s="18">
        <v>85</v>
      </c>
      <c r="CH7" s="18">
        <v>86</v>
      </c>
      <c r="CI7" s="18">
        <v>87</v>
      </c>
      <c r="CJ7" s="18">
        <v>88</v>
      </c>
    </row>
    <row r="8" spans="1:256" ht="13.5" thickBot="1" x14ac:dyDescent="0.25">
      <c r="A8" s="16"/>
      <c r="B8" s="10" t="s">
        <v>89</v>
      </c>
      <c r="C8" s="17">
        <f>C4*180/C3</f>
        <v>120</v>
      </c>
      <c r="E8" s="3" t="str">
        <f>IF(AND(C7&gt;1,A21="Y"),"Ismétlődés: "&amp;C3/C7&amp;" horony "&amp;C4/C7&amp;" pólusonként "&amp;C7&amp;"-szer/szor.","")</f>
        <v>Ismétlődés: 3 horony 2 pólusonként 4-szer/szor.</v>
      </c>
      <c r="H8" s="5"/>
      <c r="I8" s="5"/>
      <c r="Q8" s="4" t="s">
        <v>135</v>
      </c>
      <c r="R8" s="4" t="s">
        <v>115</v>
      </c>
      <c r="V8" s="22" t="s">
        <v>220</v>
      </c>
      <c r="W8" s="264">
        <v>330.00000000000006</v>
      </c>
      <c r="X8" s="264"/>
      <c r="Y8" s="20" t="s">
        <v>221</v>
      </c>
      <c r="Z8" s="264">
        <v>210.00000000000003</v>
      </c>
      <c r="AA8" s="264"/>
      <c r="AB8" s="21" t="s">
        <v>222</v>
      </c>
      <c r="AC8" s="264">
        <v>90.000000000000014</v>
      </c>
      <c r="AD8" s="264"/>
      <c r="AH8" s="25">
        <v>42</v>
      </c>
      <c r="AI8" s="25">
        <v>1</v>
      </c>
      <c r="AJ8" s="25"/>
      <c r="AK8" s="26"/>
      <c r="AL8" s="18" t="s">
        <v>136</v>
      </c>
      <c r="AM8" s="4" t="s">
        <v>137</v>
      </c>
      <c r="AN8" s="4" t="s">
        <v>138</v>
      </c>
      <c r="AO8" s="4" t="s">
        <v>139</v>
      </c>
      <c r="AP8" s="4" t="s">
        <v>140</v>
      </c>
      <c r="AQ8" s="4" t="s">
        <v>141</v>
      </c>
      <c r="AR8" s="4" t="s">
        <v>142</v>
      </c>
      <c r="AT8" s="4" t="s">
        <v>45</v>
      </c>
      <c r="AU8" s="4" t="s">
        <v>143</v>
      </c>
      <c r="AV8" s="4" t="s">
        <v>144</v>
      </c>
      <c r="AW8" s="4" t="s">
        <v>145</v>
      </c>
      <c r="AX8" s="4" t="s">
        <v>146</v>
      </c>
      <c r="AY8" s="4" t="s">
        <v>147</v>
      </c>
      <c r="AZ8" s="4" t="s">
        <v>148</v>
      </c>
      <c r="BA8" s="4" t="s">
        <v>149</v>
      </c>
      <c r="BB8" s="3">
        <v>3.4641016151377548</v>
      </c>
      <c r="BC8" s="4" t="s">
        <v>45</v>
      </c>
      <c r="BD8" s="3" t="s">
        <v>150</v>
      </c>
      <c r="BE8" s="3" t="s">
        <v>151</v>
      </c>
      <c r="BF8" s="3" t="s">
        <v>152</v>
      </c>
      <c r="BG8" s="3" t="s">
        <v>153</v>
      </c>
      <c r="BH8" s="3" t="s">
        <v>148</v>
      </c>
      <c r="BI8" s="3" t="s">
        <v>149</v>
      </c>
      <c r="BJ8" s="3" t="s">
        <v>154</v>
      </c>
      <c r="BP8" s="3" t="s">
        <v>155</v>
      </c>
      <c r="BQ8" s="3" t="s">
        <v>156</v>
      </c>
      <c r="BR8" s="5" t="s">
        <v>157</v>
      </c>
      <c r="BS8" s="5" t="s">
        <v>158</v>
      </c>
      <c r="BT8" s="3" t="s">
        <v>159</v>
      </c>
      <c r="BV8" s="3" t="s">
        <v>160</v>
      </c>
      <c r="BW8" s="3" t="s">
        <v>38</v>
      </c>
      <c r="BX8" s="3" t="s">
        <v>161</v>
      </c>
      <c r="BY8" s="3" t="s">
        <v>68</v>
      </c>
      <c r="BZ8" s="3" t="s">
        <v>69</v>
      </c>
      <c r="CA8" s="3" t="s">
        <v>70</v>
      </c>
      <c r="CB8" s="3" t="s">
        <v>156</v>
      </c>
      <c r="CF8" s="3" t="s">
        <v>162</v>
      </c>
      <c r="CG8" s="3" t="s">
        <v>163</v>
      </c>
      <c r="CH8" s="3" t="s">
        <v>164</v>
      </c>
      <c r="CI8" s="3" t="s">
        <v>163</v>
      </c>
      <c r="CJ8" s="3" t="s">
        <v>164</v>
      </c>
    </row>
    <row r="9" spans="1:256" x14ac:dyDescent="0.2">
      <c r="A9" s="16"/>
      <c r="B9" s="10" t="s">
        <v>90</v>
      </c>
      <c r="C9" s="17">
        <f>C4*PI()/C3</f>
        <v>2.0943951023931953</v>
      </c>
      <c r="Q9" s="4">
        <f>IF(C19&gt;0,C22*C24,0)</f>
        <v>0</v>
      </c>
      <c r="R9" s="4">
        <f>IF(Q9&gt;0,C19,0)</f>
        <v>0</v>
      </c>
      <c r="V9" s="27" t="s">
        <v>165</v>
      </c>
      <c r="W9" s="264">
        <v>6.9282032302755079</v>
      </c>
      <c r="X9" s="264"/>
      <c r="Y9" s="28" t="s">
        <v>166</v>
      </c>
      <c r="Z9" s="264">
        <v>6.9282032302755088</v>
      </c>
      <c r="AA9" s="264"/>
      <c r="AB9" s="29" t="s">
        <v>167</v>
      </c>
      <c r="AC9" s="264">
        <v>6.9282032302755088</v>
      </c>
      <c r="AD9" s="264"/>
      <c r="AH9" s="30">
        <v>1</v>
      </c>
      <c r="AI9" s="30">
        <v>1</v>
      </c>
      <c r="AJ9" s="30"/>
      <c r="AK9" s="30"/>
      <c r="AL9" s="4">
        <v>1</v>
      </c>
      <c r="AM9" s="4">
        <v>1</v>
      </c>
      <c r="AN9" s="4">
        <v>1</v>
      </c>
      <c r="AO9" s="4">
        <v>1</v>
      </c>
      <c r="AP9" s="4" t="s">
        <v>41</v>
      </c>
      <c r="AQ9" s="4">
        <v>1</v>
      </c>
      <c r="AR9" s="4" t="s">
        <v>41</v>
      </c>
      <c r="AT9" s="4">
        <v>1</v>
      </c>
      <c r="AU9" s="4">
        <v>2.0943951023931953</v>
      </c>
      <c r="AV9" s="4">
        <v>0</v>
      </c>
      <c r="AW9" s="4">
        <v>0</v>
      </c>
      <c r="AX9" s="4">
        <v>0.86602540378443871</v>
      </c>
      <c r="AY9" s="4">
        <v>-0.49999999999999978</v>
      </c>
      <c r="AZ9" s="4">
        <v>2</v>
      </c>
      <c r="BA9" s="4">
        <v>1</v>
      </c>
      <c r="BB9" s="3">
        <v>1.9999999999999991</v>
      </c>
      <c r="BC9" s="3">
        <v>1</v>
      </c>
      <c r="BD9" s="3">
        <v>0</v>
      </c>
      <c r="BE9" s="3">
        <v>0</v>
      </c>
      <c r="BF9" s="3">
        <v>0.86602540378443871</v>
      </c>
      <c r="BG9" s="3">
        <v>-0.49999999999999978</v>
      </c>
      <c r="BH9" s="3">
        <v>2</v>
      </c>
      <c r="BI9" s="3">
        <v>1</v>
      </c>
      <c r="BJ9" s="3" t="s">
        <v>168</v>
      </c>
      <c r="BQ9" s="3">
        <v>1</v>
      </c>
      <c r="BR9" s="5">
        <v>1</v>
      </c>
      <c r="BS9" s="5">
        <v>2</v>
      </c>
      <c r="BV9" s="3" t="str">
        <f t="shared" ref="BV9:BV32" si="0">BX9&amp;"/"&amp;BY9&amp;"/"&amp;BZ9&amp;"/"&amp;CB9</f>
        <v>3/36/8/1</v>
      </c>
      <c r="BW9" s="3">
        <v>1</v>
      </c>
      <c r="BX9" s="3">
        <v>3</v>
      </c>
      <c r="BY9" s="3">
        <v>36</v>
      </c>
      <c r="BZ9" s="3">
        <v>8</v>
      </c>
      <c r="CA9" s="3">
        <f t="shared" ref="CA9:CA35" si="1">BY9/BX9/BZ9</f>
        <v>1.5</v>
      </c>
      <c r="CB9" s="3">
        <v>1</v>
      </c>
      <c r="CC9" s="3" t="s">
        <v>169</v>
      </c>
    </row>
    <row r="10" spans="1:256" x14ac:dyDescent="0.2">
      <c r="A10" s="31"/>
      <c r="B10" s="10" t="s">
        <v>91</v>
      </c>
      <c r="C10" s="17">
        <f>C7*360/C3</f>
        <v>120</v>
      </c>
      <c r="H10" s="5"/>
      <c r="I10" s="5"/>
      <c r="K10" s="4" t="s">
        <v>170</v>
      </c>
      <c r="Q10" s="4">
        <f>C23*C24</f>
        <v>12</v>
      </c>
      <c r="R10" s="4">
        <f>IF(Q10&gt;0,C19+1,0)</f>
        <v>1</v>
      </c>
      <c r="Z10" s="32" t="s">
        <v>223</v>
      </c>
      <c r="AH10" s="33">
        <v>2</v>
      </c>
      <c r="AI10" s="33">
        <v>2</v>
      </c>
      <c r="AJ10" s="33"/>
      <c r="AK10" s="33"/>
      <c r="AL10" s="4">
        <v>2</v>
      </c>
      <c r="AM10" s="4">
        <v>0</v>
      </c>
      <c r="AN10" s="4">
        <v>2</v>
      </c>
      <c r="AO10" s="4">
        <v>0</v>
      </c>
      <c r="AP10" s="4" t="s">
        <v>120</v>
      </c>
      <c r="AQ10" s="4">
        <v>2</v>
      </c>
      <c r="AR10" s="4" t="s">
        <v>46</v>
      </c>
      <c r="AT10" s="4">
        <v>2</v>
      </c>
      <c r="AU10" s="4">
        <v>4.1887902047863905</v>
      </c>
      <c r="AV10" s="4">
        <v>0</v>
      </c>
      <c r="AW10" s="4">
        <v>0</v>
      </c>
      <c r="AX10" s="4">
        <v>-0.86602540378443837</v>
      </c>
      <c r="AY10" s="4">
        <v>-0.50000000000000044</v>
      </c>
      <c r="AZ10" s="4">
        <v>2</v>
      </c>
      <c r="BA10" s="4">
        <v>1</v>
      </c>
      <c r="BB10" s="3">
        <v>3.4641016151377535</v>
      </c>
      <c r="BC10" s="3">
        <v>4</v>
      </c>
      <c r="BD10" s="3">
        <v>0.86602540378443871</v>
      </c>
      <c r="BE10" s="3">
        <v>-0.49999999999999978</v>
      </c>
      <c r="BF10" s="3">
        <v>1.7320508075688774</v>
      </c>
      <c r="BG10" s="3">
        <v>-0.99999999999999956</v>
      </c>
      <c r="BH10" s="3">
        <v>2</v>
      </c>
      <c r="BI10" s="3">
        <v>1</v>
      </c>
      <c r="BJ10" s="3" t="s">
        <v>168</v>
      </c>
      <c r="BQ10" s="3">
        <v>2</v>
      </c>
      <c r="BR10" s="5">
        <v>2</v>
      </c>
      <c r="BS10" s="5">
        <v>1</v>
      </c>
      <c r="BV10" s="3" t="str">
        <f t="shared" si="0"/>
        <v>3/108/14/1</v>
      </c>
      <c r="BW10" s="3">
        <v>2</v>
      </c>
      <c r="BX10" s="3">
        <v>3</v>
      </c>
      <c r="BY10" s="3">
        <v>108</v>
      </c>
      <c r="BZ10" s="3">
        <v>14</v>
      </c>
      <c r="CA10" s="3">
        <f t="shared" si="1"/>
        <v>2.5714285714285716</v>
      </c>
      <c r="CB10" s="3">
        <v>1</v>
      </c>
      <c r="CC10" s="3" t="s">
        <v>171</v>
      </c>
      <c r="CF10" s="3">
        <v>1</v>
      </c>
      <c r="CG10" s="3">
        <v>0</v>
      </c>
      <c r="CH10" s="3">
        <v>0</v>
      </c>
      <c r="CI10" s="3">
        <v>0</v>
      </c>
      <c r="CJ10" s="3">
        <v>1</v>
      </c>
    </row>
    <row r="11" spans="1:256" x14ac:dyDescent="0.2">
      <c r="A11" s="31"/>
      <c r="B11" s="10" t="s">
        <v>92</v>
      </c>
      <c r="C11" s="17">
        <f>C3/C7</f>
        <v>3</v>
      </c>
      <c r="H11" s="5"/>
      <c r="I11" s="5"/>
      <c r="AH11" s="33">
        <v>3</v>
      </c>
      <c r="AI11" s="33">
        <v>3</v>
      </c>
      <c r="AJ11" s="33"/>
      <c r="AK11" s="33"/>
      <c r="AN11" s="4">
        <v>3</v>
      </c>
      <c r="AO11" s="4">
        <v>1</v>
      </c>
      <c r="AP11" s="4" t="s">
        <v>46</v>
      </c>
      <c r="AQ11" s="4">
        <v>3</v>
      </c>
      <c r="AR11" s="4" t="s">
        <v>65</v>
      </c>
      <c r="AT11" s="4">
        <v>3</v>
      </c>
      <c r="AU11" s="4">
        <v>6.2831853071795862</v>
      </c>
      <c r="AV11" s="4">
        <v>0</v>
      </c>
      <c r="AW11" s="4">
        <v>0</v>
      </c>
      <c r="AX11" s="4">
        <v>-2.4492935982947064E-16</v>
      </c>
      <c r="AY11" s="4">
        <v>1</v>
      </c>
      <c r="AZ11" s="4">
        <v>2</v>
      </c>
      <c r="BA11" s="4">
        <v>1</v>
      </c>
      <c r="BB11" s="3">
        <v>2.0000000000000018</v>
      </c>
      <c r="BC11" s="3">
        <v>7</v>
      </c>
      <c r="BD11" s="3">
        <v>1.7320508075688774</v>
      </c>
      <c r="BE11" s="3">
        <v>-0.99999999999999956</v>
      </c>
      <c r="BF11" s="3">
        <v>2.598076211353316</v>
      </c>
      <c r="BG11" s="3">
        <v>-1.4999999999999993</v>
      </c>
      <c r="BH11" s="3">
        <v>2</v>
      </c>
      <c r="BI11" s="3">
        <v>1</v>
      </c>
      <c r="BJ11" s="3" t="s">
        <v>168</v>
      </c>
      <c r="BL11" s="3">
        <v>1</v>
      </c>
      <c r="BM11" s="3">
        <v>0.99999999999999989</v>
      </c>
      <c r="BN11" s="3">
        <v>0.55336655714511529</v>
      </c>
      <c r="BR11" s="5">
        <v>3</v>
      </c>
      <c r="BS11" s="5">
        <v>2</v>
      </c>
      <c r="BV11" s="3" t="str">
        <f t="shared" si="0"/>
        <v>3/30/8/1</v>
      </c>
      <c r="BW11" s="3">
        <v>3</v>
      </c>
      <c r="BX11" s="3">
        <v>3</v>
      </c>
      <c r="BY11" s="3">
        <v>30</v>
      </c>
      <c r="BZ11" s="3">
        <v>8</v>
      </c>
      <c r="CA11" s="3">
        <f t="shared" si="1"/>
        <v>1.25</v>
      </c>
      <c r="CB11" s="3">
        <v>1</v>
      </c>
      <c r="CC11" s="3" t="s">
        <v>173</v>
      </c>
      <c r="CF11" s="3">
        <v>2</v>
      </c>
      <c r="CG11" s="3">
        <v>0</v>
      </c>
      <c r="CH11" s="3">
        <v>0.86602540378443871</v>
      </c>
      <c r="CI11" s="3">
        <v>0</v>
      </c>
      <c r="CJ11" s="3">
        <v>-0.49999999999999978</v>
      </c>
    </row>
    <row r="12" spans="1:256" x14ac:dyDescent="0.2">
      <c r="A12" s="34" t="str">
        <f>IF(C12-INT(C12)&gt;0.00001,"N","Y")</f>
        <v>Y</v>
      </c>
      <c r="B12" s="10" t="s">
        <v>93</v>
      </c>
      <c r="C12" s="17">
        <f>C3/(C7*C2)</f>
        <v>1</v>
      </c>
      <c r="H12" s="5"/>
      <c r="I12" s="5"/>
      <c r="AH12" s="33">
        <v>4</v>
      </c>
      <c r="AI12" s="33">
        <v>4</v>
      </c>
      <c r="AJ12" s="33"/>
      <c r="AK12" s="33"/>
      <c r="AN12" s="4">
        <v>4</v>
      </c>
      <c r="AO12" s="4">
        <v>0</v>
      </c>
      <c r="AP12" s="4" t="s">
        <v>116</v>
      </c>
      <c r="AQ12" s="4">
        <v>4</v>
      </c>
      <c r="AR12" s="4" t="s">
        <v>41</v>
      </c>
      <c r="AT12" s="4">
        <v>4</v>
      </c>
      <c r="AU12" s="4">
        <v>8.3775804095727811</v>
      </c>
      <c r="AV12" s="4">
        <v>0.86602540378443871</v>
      </c>
      <c r="AW12" s="4">
        <v>-0.49999999999999978</v>
      </c>
      <c r="AX12" s="4">
        <v>1.7320508075688774</v>
      </c>
      <c r="AY12" s="4">
        <v>-0.99999999999999956</v>
      </c>
      <c r="AZ12" s="4">
        <v>12</v>
      </c>
      <c r="BA12" s="4">
        <v>2</v>
      </c>
      <c r="BB12" s="3">
        <v>9.7971743931788257E-16</v>
      </c>
      <c r="BC12" s="3">
        <v>10</v>
      </c>
      <c r="BD12" s="3">
        <v>2.598076211353316</v>
      </c>
      <c r="BE12" s="3">
        <v>-1.4999999999999993</v>
      </c>
      <c r="BF12" s="3">
        <v>3.4641016151377548</v>
      </c>
      <c r="BG12" s="3">
        <v>-1.9999999999999991</v>
      </c>
      <c r="BH12" s="3">
        <v>2</v>
      </c>
      <c r="BI12" s="3">
        <v>1</v>
      </c>
      <c r="BJ12" s="3" t="s">
        <v>168</v>
      </c>
      <c r="BL12" s="3">
        <v>2</v>
      </c>
      <c r="BM12" s="3">
        <v>0.99999999999999989</v>
      </c>
      <c r="BN12" s="3">
        <v>0.66905166882929723</v>
      </c>
      <c r="BQ12" s="3" t="s">
        <v>174</v>
      </c>
      <c r="BR12" s="5">
        <v>4</v>
      </c>
      <c r="BS12" s="5">
        <v>1</v>
      </c>
      <c r="BV12" s="3" t="str">
        <f t="shared" si="0"/>
        <v>3/24/10/1</v>
      </c>
      <c r="BW12" s="3">
        <v>4</v>
      </c>
      <c r="BX12" s="3">
        <v>3</v>
      </c>
      <c r="BY12" s="3">
        <v>24</v>
      </c>
      <c r="BZ12" s="3">
        <v>10</v>
      </c>
      <c r="CA12" s="3">
        <f t="shared" si="1"/>
        <v>0.8</v>
      </c>
      <c r="CB12" s="3">
        <v>1</v>
      </c>
      <c r="CC12" s="3" t="s">
        <v>173</v>
      </c>
      <c r="CF12" s="3">
        <v>3</v>
      </c>
      <c r="CG12" s="3">
        <v>0</v>
      </c>
      <c r="CH12" s="3">
        <v>-0.86602540378443837</v>
      </c>
      <c r="CI12" s="3">
        <v>0</v>
      </c>
      <c r="CJ12" s="3">
        <v>-0.50000000000000044</v>
      </c>
    </row>
    <row r="13" spans="1:256" x14ac:dyDescent="0.2">
      <c r="A13" s="16"/>
      <c r="B13" s="10" t="s">
        <v>94</v>
      </c>
      <c r="C13" s="17">
        <f>C3/C2</f>
        <v>4</v>
      </c>
      <c r="H13" s="5"/>
      <c r="I13" s="5"/>
      <c r="AH13" s="33">
        <v>5</v>
      </c>
      <c r="AI13" s="33">
        <v>1</v>
      </c>
      <c r="AJ13" s="33"/>
      <c r="AK13" s="33"/>
      <c r="AN13" s="4">
        <v>5</v>
      </c>
      <c r="AO13" s="4">
        <v>1</v>
      </c>
      <c r="AP13" s="4" t="s">
        <v>65</v>
      </c>
      <c r="AQ13" s="4">
        <v>5</v>
      </c>
      <c r="AR13" s="4" t="s">
        <v>46</v>
      </c>
      <c r="AT13" s="4">
        <v>5</v>
      </c>
      <c r="AU13" s="4">
        <v>10.471975511965976</v>
      </c>
      <c r="AV13" s="4">
        <v>-0.86602540378443837</v>
      </c>
      <c r="AW13" s="4">
        <v>-0.50000000000000044</v>
      </c>
      <c r="AX13" s="4">
        <v>-1.7320508075688767</v>
      </c>
      <c r="AY13" s="4">
        <v>-1.0000000000000009</v>
      </c>
      <c r="AZ13" s="4">
        <v>12</v>
      </c>
      <c r="BA13" s="4">
        <v>2</v>
      </c>
      <c r="BB13" s="3">
        <v>4</v>
      </c>
      <c r="BC13" s="3">
        <v>2</v>
      </c>
      <c r="BD13" s="3">
        <v>0</v>
      </c>
      <c r="BE13" s="3">
        <v>0</v>
      </c>
      <c r="BF13" s="3">
        <v>-0.86602540378443837</v>
      </c>
      <c r="BG13" s="3">
        <v>-0.50000000000000044</v>
      </c>
      <c r="BH13" s="3">
        <v>12</v>
      </c>
      <c r="BI13" s="3">
        <v>1</v>
      </c>
      <c r="BJ13" s="3" t="s">
        <v>168</v>
      </c>
      <c r="BL13" s="3">
        <v>3</v>
      </c>
      <c r="BM13" s="3">
        <v>0.99999999999999989</v>
      </c>
      <c r="BN13" s="3">
        <v>0.75549601211953632</v>
      </c>
      <c r="BQ13" s="3">
        <v>0</v>
      </c>
      <c r="BR13" s="5">
        <v>5</v>
      </c>
      <c r="BS13" s="5">
        <v>2</v>
      </c>
      <c r="BV13" s="3" t="str">
        <f t="shared" si="0"/>
        <v>3/24/4/1</v>
      </c>
      <c r="BW13" s="3">
        <v>5</v>
      </c>
      <c r="BX13" s="3">
        <v>3</v>
      </c>
      <c r="BY13" s="3">
        <v>24</v>
      </c>
      <c r="BZ13" s="3">
        <v>4</v>
      </c>
      <c r="CA13" s="3">
        <f t="shared" si="1"/>
        <v>2</v>
      </c>
      <c r="CB13" s="3">
        <v>1</v>
      </c>
      <c r="CC13" s="3" t="s">
        <v>173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</row>
    <row r="14" spans="1:256" x14ac:dyDescent="0.2">
      <c r="A14" s="16"/>
      <c r="B14" s="10" t="s">
        <v>95</v>
      </c>
      <c r="C14" s="17">
        <f>gcdsk(C13,C4)</f>
        <v>4</v>
      </c>
      <c r="H14" s="5"/>
      <c r="I14" s="5"/>
      <c r="AH14" s="33">
        <v>6</v>
      </c>
      <c r="AI14" s="33">
        <v>1</v>
      </c>
      <c r="AJ14" s="33"/>
      <c r="AK14" s="33"/>
      <c r="AN14" s="4">
        <v>6</v>
      </c>
      <c r="AO14" s="4">
        <v>0</v>
      </c>
      <c r="AP14" s="4" t="s">
        <v>117</v>
      </c>
      <c r="AQ14" s="4">
        <v>6</v>
      </c>
      <c r="AR14" s="4" t="s">
        <v>65</v>
      </c>
      <c r="AT14" s="4">
        <v>6</v>
      </c>
      <c r="AU14" s="4">
        <v>12.566370614359172</v>
      </c>
      <c r="AV14" s="4">
        <v>-2.4492935982947064E-16</v>
      </c>
      <c r="AW14" s="4">
        <v>1</v>
      </c>
      <c r="AX14" s="4">
        <v>-4.8985871965894128E-16</v>
      </c>
      <c r="AY14" s="4">
        <v>2</v>
      </c>
      <c r="AZ14" s="4">
        <v>12</v>
      </c>
      <c r="BA14" s="4">
        <v>2</v>
      </c>
      <c r="BC14" s="3">
        <v>5</v>
      </c>
      <c r="BD14" s="3">
        <v>-0.86602540378443837</v>
      </c>
      <c r="BE14" s="3">
        <v>-0.50000000000000044</v>
      </c>
      <c r="BF14" s="3">
        <v>-1.7320508075688767</v>
      </c>
      <c r="BG14" s="3">
        <v>-1.0000000000000009</v>
      </c>
      <c r="BH14" s="3">
        <v>12</v>
      </c>
      <c r="BI14" s="3">
        <v>1</v>
      </c>
      <c r="BJ14" s="3" t="s">
        <v>168</v>
      </c>
      <c r="BL14" s="3">
        <v>4</v>
      </c>
      <c r="BM14" s="3">
        <v>0.99999999999999989</v>
      </c>
      <c r="BN14" s="3">
        <v>0.8089215544080679</v>
      </c>
      <c r="BQ14" s="3">
        <v>1</v>
      </c>
      <c r="BR14" s="5">
        <v>6</v>
      </c>
      <c r="BS14" s="5">
        <v>1</v>
      </c>
      <c r="BV14" s="3" t="str">
        <f t="shared" si="0"/>
        <v>3/36/4/1</v>
      </c>
      <c r="BW14" s="3">
        <v>6</v>
      </c>
      <c r="BX14" s="3">
        <v>3</v>
      </c>
      <c r="BY14" s="3">
        <v>36</v>
      </c>
      <c r="BZ14" s="3">
        <v>4</v>
      </c>
      <c r="CA14" s="3">
        <f t="shared" si="1"/>
        <v>3</v>
      </c>
      <c r="CB14" s="3">
        <v>1</v>
      </c>
      <c r="CC14" s="3" t="s">
        <v>175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</row>
    <row r="15" spans="1:256" x14ac:dyDescent="0.2">
      <c r="A15" s="16"/>
      <c r="B15" s="10" t="s">
        <v>96</v>
      </c>
      <c r="C15" s="17">
        <f>C3/(C4*C2)</f>
        <v>0.5</v>
      </c>
      <c r="H15" s="5"/>
      <c r="I15" s="5"/>
      <c r="AH15" s="33">
        <v>7</v>
      </c>
      <c r="AI15" s="33">
        <v>1</v>
      </c>
      <c r="AJ15" s="33"/>
      <c r="AK15" s="33"/>
      <c r="AN15" s="4">
        <v>7</v>
      </c>
      <c r="AO15" s="4">
        <v>1</v>
      </c>
      <c r="AP15" s="4" t="s">
        <v>41</v>
      </c>
      <c r="AQ15" s="4">
        <v>7</v>
      </c>
      <c r="AR15" s="4" t="s">
        <v>41</v>
      </c>
      <c r="AT15" s="4">
        <v>7</v>
      </c>
      <c r="AU15" s="4">
        <v>14.660765716752367</v>
      </c>
      <c r="AV15" s="4">
        <v>1.7320508075688774</v>
      </c>
      <c r="AW15" s="4">
        <v>-0.99999999999999956</v>
      </c>
      <c r="AX15" s="4">
        <v>2.598076211353316</v>
      </c>
      <c r="AY15" s="4">
        <v>-1.4999999999999993</v>
      </c>
      <c r="AZ15" s="4">
        <v>12</v>
      </c>
      <c r="BA15" s="4">
        <v>2</v>
      </c>
      <c r="BC15" s="3">
        <v>8</v>
      </c>
      <c r="BD15" s="3">
        <v>-1.7320508075688767</v>
      </c>
      <c r="BE15" s="3">
        <v>-1.0000000000000009</v>
      </c>
      <c r="BF15" s="3">
        <v>-2.5980762113533151</v>
      </c>
      <c r="BG15" s="3">
        <v>-1.5000000000000013</v>
      </c>
      <c r="BH15" s="3">
        <v>12</v>
      </c>
      <c r="BI15" s="3">
        <v>1</v>
      </c>
      <c r="BJ15" s="3" t="s">
        <v>168</v>
      </c>
      <c r="BL15" s="3">
        <v>5</v>
      </c>
      <c r="BM15" s="3">
        <v>0.99999999999999989</v>
      </c>
      <c r="BN15" s="3">
        <v>0.82699334313268813</v>
      </c>
      <c r="BR15" s="5">
        <v>7</v>
      </c>
      <c r="BS15" s="5">
        <v>2</v>
      </c>
      <c r="BV15" s="3" t="str">
        <f t="shared" si="0"/>
        <v>3/48/44/1</v>
      </c>
      <c r="BW15" s="3">
        <v>7</v>
      </c>
      <c r="BX15" s="3">
        <v>3</v>
      </c>
      <c r="BY15" s="3">
        <v>48</v>
      </c>
      <c r="BZ15" s="3">
        <v>44</v>
      </c>
      <c r="CA15" s="3">
        <f t="shared" si="1"/>
        <v>0.36363636363636365</v>
      </c>
      <c r="CB15" s="3">
        <v>1</v>
      </c>
      <c r="CC15" s="3" t="s">
        <v>176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</row>
    <row r="16" spans="1:256" x14ac:dyDescent="0.2">
      <c r="A16" s="16"/>
      <c r="B16" s="10" t="s">
        <v>97</v>
      </c>
      <c r="C16" s="17" t="str">
        <f>INT(C15)&amp;"+"&amp;C20&amp;"/"&amp;C21</f>
        <v>0+1/2</v>
      </c>
      <c r="H16" s="5"/>
      <c r="I16" s="5"/>
      <c r="AH16" s="33">
        <v>8</v>
      </c>
      <c r="AI16" s="33">
        <v>1</v>
      </c>
      <c r="AJ16" s="33"/>
      <c r="AK16" s="33"/>
      <c r="AN16" s="4">
        <v>8</v>
      </c>
      <c r="AO16" s="4">
        <v>0</v>
      </c>
      <c r="AP16" s="4" t="s">
        <v>120</v>
      </c>
      <c r="AQ16" s="4">
        <v>8</v>
      </c>
      <c r="AR16" s="4" t="s">
        <v>46</v>
      </c>
      <c r="AT16" s="4">
        <v>8</v>
      </c>
      <c r="AU16" s="4">
        <v>16.755160819145562</v>
      </c>
      <c r="AV16" s="4">
        <v>-1.7320508075688767</v>
      </c>
      <c r="AW16" s="4">
        <v>-1.0000000000000009</v>
      </c>
      <c r="AX16" s="4">
        <v>-2.5980762113533151</v>
      </c>
      <c r="AY16" s="4">
        <v>-1.5000000000000013</v>
      </c>
      <c r="AZ16" s="4">
        <v>12</v>
      </c>
      <c r="BA16" s="4">
        <v>2</v>
      </c>
      <c r="BC16" s="3">
        <v>11</v>
      </c>
      <c r="BD16" s="3">
        <v>-2.5980762113533151</v>
      </c>
      <c r="BE16" s="3">
        <v>-1.5000000000000013</v>
      </c>
      <c r="BF16" s="3">
        <v>-3.4641016151377535</v>
      </c>
      <c r="BG16" s="3">
        <v>-2.0000000000000018</v>
      </c>
      <c r="BH16" s="3">
        <v>12</v>
      </c>
      <c r="BI16" s="3">
        <v>1</v>
      </c>
      <c r="BJ16" s="3" t="s">
        <v>168</v>
      </c>
      <c r="BL16" s="3">
        <v>6</v>
      </c>
      <c r="BM16" s="3">
        <v>0.99999999999999989</v>
      </c>
      <c r="BN16" s="3">
        <v>0.80892155440806757</v>
      </c>
      <c r="BQ16" s="3" t="s">
        <v>177</v>
      </c>
      <c r="BR16" s="5">
        <v>8</v>
      </c>
      <c r="BS16" s="5">
        <v>1</v>
      </c>
      <c r="BV16" s="3" t="str">
        <f t="shared" si="0"/>
        <v>3/33/26/1</v>
      </c>
      <c r="BW16" s="3">
        <v>8</v>
      </c>
      <c r="BX16" s="3">
        <v>3</v>
      </c>
      <c r="BY16" s="3">
        <v>33</v>
      </c>
      <c r="BZ16" s="3">
        <v>26</v>
      </c>
      <c r="CA16" s="3">
        <f t="shared" si="1"/>
        <v>0.42307692307692307</v>
      </c>
      <c r="CB16" s="3">
        <v>1</v>
      </c>
      <c r="CC16" s="3" t="s">
        <v>176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</row>
    <row r="17" spans="1:88" x14ac:dyDescent="0.2">
      <c r="A17" s="16"/>
      <c r="B17" s="10" t="s">
        <v>98</v>
      </c>
      <c r="C17" s="35" t="str">
        <f>C18&amp;"/"&amp;C21</f>
        <v>1/2</v>
      </c>
      <c r="H17" s="5"/>
      <c r="I17" s="5"/>
      <c r="AH17" s="33">
        <v>9</v>
      </c>
      <c r="AI17" s="33">
        <v>1</v>
      </c>
      <c r="AJ17" s="33"/>
      <c r="AK17" s="33"/>
      <c r="AN17" s="4">
        <v>9</v>
      </c>
      <c r="AO17" s="4">
        <v>1</v>
      </c>
      <c r="AP17" s="4" t="s">
        <v>46</v>
      </c>
      <c r="AQ17" s="4">
        <v>9</v>
      </c>
      <c r="AR17" s="4" t="s">
        <v>65</v>
      </c>
      <c r="AT17" s="4">
        <v>9</v>
      </c>
      <c r="AU17" s="4">
        <v>18.849555921538759</v>
      </c>
      <c r="AV17" s="4">
        <v>-4.8985871965894128E-16</v>
      </c>
      <c r="AW17" s="4">
        <v>2</v>
      </c>
      <c r="AX17" s="4">
        <v>-7.3478807948841188E-16</v>
      </c>
      <c r="AY17" s="4">
        <v>3</v>
      </c>
      <c r="AZ17" s="4">
        <v>12</v>
      </c>
      <c r="BA17" s="4">
        <v>2</v>
      </c>
      <c r="BC17" s="3">
        <v>3</v>
      </c>
      <c r="BD17" s="3">
        <v>0</v>
      </c>
      <c r="BE17" s="3">
        <v>0</v>
      </c>
      <c r="BF17" s="3">
        <v>-2.4492935982947064E-16</v>
      </c>
      <c r="BG17" s="3">
        <v>1</v>
      </c>
      <c r="BH17" s="3">
        <v>17</v>
      </c>
      <c r="BI17" s="3">
        <v>1</v>
      </c>
      <c r="BJ17" s="3" t="s">
        <v>168</v>
      </c>
      <c r="BL17" s="3">
        <v>7</v>
      </c>
      <c r="BM17" s="3">
        <v>0.99999999999999989</v>
      </c>
      <c r="BN17" s="3">
        <v>0.75549601211953588</v>
      </c>
      <c r="BQ17" s="3">
        <v>1</v>
      </c>
      <c r="BR17" s="5">
        <v>9</v>
      </c>
      <c r="BS17" s="5">
        <v>2</v>
      </c>
      <c r="BV17" s="3" t="str">
        <f t="shared" si="0"/>
        <v>3/12/10/1</v>
      </c>
      <c r="BW17" s="3">
        <v>9</v>
      </c>
      <c r="BX17" s="3">
        <v>3</v>
      </c>
      <c r="BY17" s="3">
        <v>12</v>
      </c>
      <c r="BZ17" s="3">
        <v>10</v>
      </c>
      <c r="CA17" s="3">
        <f t="shared" si="1"/>
        <v>0.4</v>
      </c>
      <c r="CB17" s="3">
        <v>1</v>
      </c>
      <c r="CC17" s="3" t="s">
        <v>176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</row>
    <row r="18" spans="1:88" x14ac:dyDescent="0.2">
      <c r="A18" s="16"/>
      <c r="B18" s="10" t="s">
        <v>99</v>
      </c>
      <c r="C18" s="17">
        <f>C13/C14</f>
        <v>1</v>
      </c>
      <c r="H18" s="5"/>
      <c r="I18" s="5"/>
      <c r="AH18" s="33">
        <v>10</v>
      </c>
      <c r="AI18" s="33">
        <v>1</v>
      </c>
      <c r="AJ18" s="33"/>
      <c r="AK18" s="33"/>
      <c r="AN18" s="4">
        <v>10</v>
      </c>
      <c r="AO18" s="4">
        <v>0</v>
      </c>
      <c r="AP18" s="4" t="s">
        <v>116</v>
      </c>
      <c r="AQ18" s="4">
        <v>10</v>
      </c>
      <c r="AR18" s="4" t="s">
        <v>41</v>
      </c>
      <c r="AT18" s="4">
        <v>10</v>
      </c>
      <c r="AU18" s="4">
        <v>20.943951023931952</v>
      </c>
      <c r="AV18" s="4">
        <v>2.598076211353316</v>
      </c>
      <c r="AW18" s="4">
        <v>-1.4999999999999993</v>
      </c>
      <c r="AX18" s="4">
        <v>3.4641016151377548</v>
      </c>
      <c r="AY18" s="4">
        <v>-1.9999999999999991</v>
      </c>
      <c r="AZ18" s="4">
        <v>12</v>
      </c>
      <c r="BA18" s="4">
        <v>2</v>
      </c>
      <c r="BC18" s="3">
        <v>6</v>
      </c>
      <c r="BD18" s="3">
        <v>-2.4492935982947064E-16</v>
      </c>
      <c r="BE18" s="3">
        <v>1</v>
      </c>
      <c r="BF18" s="3">
        <v>-4.8985871965894128E-16</v>
      </c>
      <c r="BG18" s="3">
        <v>2</v>
      </c>
      <c r="BH18" s="3">
        <v>17</v>
      </c>
      <c r="BI18" s="3">
        <v>1</v>
      </c>
      <c r="BJ18" s="3" t="s">
        <v>168</v>
      </c>
      <c r="BL18" s="3">
        <v>8</v>
      </c>
      <c r="BM18" s="3">
        <v>0.99999999999999989</v>
      </c>
      <c r="BN18" s="3">
        <v>0.66905166882929645</v>
      </c>
      <c r="BQ18" s="3">
        <v>2</v>
      </c>
      <c r="BR18" s="4">
        <v>10</v>
      </c>
      <c r="BS18" s="4">
        <v>1</v>
      </c>
      <c r="BV18" s="3" t="str">
        <f t="shared" si="0"/>
        <v>3/12/14/1</v>
      </c>
      <c r="BW18" s="3">
        <v>10</v>
      </c>
      <c r="BX18" s="3">
        <v>3</v>
      </c>
      <c r="BY18" s="3">
        <v>12</v>
      </c>
      <c r="BZ18" s="3">
        <v>14</v>
      </c>
      <c r="CA18" s="3">
        <f t="shared" si="1"/>
        <v>0.2857142857142857</v>
      </c>
      <c r="CB18" s="3">
        <v>1</v>
      </c>
      <c r="CC18" s="3" t="s">
        <v>176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</row>
    <row r="19" spans="1:88" x14ac:dyDescent="0.2">
      <c r="A19" s="16"/>
      <c r="B19" s="10" t="s">
        <v>100</v>
      </c>
      <c r="C19" s="17">
        <f>INT(C15)</f>
        <v>0</v>
      </c>
      <c r="H19" s="5"/>
      <c r="I19" s="5"/>
      <c r="AH19" s="33">
        <v>11</v>
      </c>
      <c r="AI19" s="33">
        <v>1</v>
      </c>
      <c r="AJ19" s="33"/>
      <c r="AK19" s="33"/>
      <c r="AN19" s="4">
        <v>11</v>
      </c>
      <c r="AO19" s="4">
        <v>1</v>
      </c>
      <c r="AP19" s="4" t="s">
        <v>65</v>
      </c>
      <c r="AQ19" s="4">
        <v>11</v>
      </c>
      <c r="AR19" s="4" t="s">
        <v>46</v>
      </c>
      <c r="AT19" s="4">
        <v>11</v>
      </c>
      <c r="AU19" s="4">
        <v>23.038346126325148</v>
      </c>
      <c r="AV19" s="4">
        <v>-2.5980762113533151</v>
      </c>
      <c r="AW19" s="4">
        <v>-1.5000000000000013</v>
      </c>
      <c r="AX19" s="4">
        <v>-3.4641016151377535</v>
      </c>
      <c r="AY19" s="4">
        <v>-2.0000000000000018</v>
      </c>
      <c r="AZ19" s="4">
        <v>12</v>
      </c>
      <c r="BA19" s="4">
        <v>2</v>
      </c>
      <c r="BC19" s="3">
        <v>9</v>
      </c>
      <c r="BD19" s="3">
        <v>-4.8985871965894128E-16</v>
      </c>
      <c r="BE19" s="3">
        <v>2</v>
      </c>
      <c r="BF19" s="3">
        <v>-7.3478807948841188E-16</v>
      </c>
      <c r="BG19" s="3">
        <v>3</v>
      </c>
      <c r="BH19" s="3">
        <v>17</v>
      </c>
      <c r="BI19" s="3">
        <v>1</v>
      </c>
      <c r="BJ19" s="3" t="s">
        <v>168</v>
      </c>
      <c r="BL19" s="3">
        <v>9</v>
      </c>
      <c r="BM19" s="3">
        <v>0.99999999999999989</v>
      </c>
      <c r="BN19" s="3">
        <v>0.55336655714511451</v>
      </c>
      <c r="BQ19" s="3">
        <v>3</v>
      </c>
      <c r="BR19" s="4">
        <v>11</v>
      </c>
      <c r="BS19" s="4">
        <v>2</v>
      </c>
      <c r="BV19" s="3" t="str">
        <f t="shared" si="0"/>
        <v>3/63/14/1</v>
      </c>
      <c r="BW19" s="3">
        <v>11</v>
      </c>
      <c r="BX19" s="3">
        <v>3</v>
      </c>
      <c r="BY19" s="3">
        <v>63</v>
      </c>
      <c r="BZ19" s="3">
        <v>14</v>
      </c>
      <c r="CA19" s="3">
        <f t="shared" si="1"/>
        <v>1.5</v>
      </c>
      <c r="CB19" s="3">
        <v>1</v>
      </c>
      <c r="CC19" s="3" t="s">
        <v>178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</row>
    <row r="20" spans="1:88" x14ac:dyDescent="0.2">
      <c r="A20" s="16"/>
      <c r="B20" s="10" t="s">
        <v>101</v>
      </c>
      <c r="C20" s="17">
        <f>C18-C19*C21</f>
        <v>1</v>
      </c>
      <c r="H20" s="5"/>
      <c r="I20" s="5"/>
      <c r="AH20" s="33">
        <v>12</v>
      </c>
      <c r="AI20" s="33">
        <v>1</v>
      </c>
      <c r="AJ20" s="33"/>
      <c r="AK20" s="33"/>
      <c r="AN20" s="4">
        <v>12</v>
      </c>
      <c r="AO20" s="4">
        <v>0</v>
      </c>
      <c r="AP20" s="4" t="s">
        <v>117</v>
      </c>
      <c r="AQ20" s="4">
        <v>12</v>
      </c>
      <c r="AR20" s="4" t="s">
        <v>65</v>
      </c>
      <c r="AT20" s="4">
        <v>12</v>
      </c>
      <c r="AU20" s="4">
        <v>25.132741228718345</v>
      </c>
      <c r="AV20" s="4">
        <v>-7.3478807948841188E-16</v>
      </c>
      <c r="AW20" s="4">
        <v>3</v>
      </c>
      <c r="AX20" s="4">
        <v>-9.7971743931788257E-16</v>
      </c>
      <c r="AY20" s="4">
        <v>4</v>
      </c>
      <c r="AZ20" s="4">
        <v>12</v>
      </c>
      <c r="BA20" s="4">
        <v>2</v>
      </c>
      <c r="BC20" s="3">
        <v>12</v>
      </c>
      <c r="BD20" s="3">
        <v>-7.3478807948841188E-16</v>
      </c>
      <c r="BE20" s="3">
        <v>3</v>
      </c>
      <c r="BF20" s="3">
        <v>-9.7971743931788257E-16</v>
      </c>
      <c r="BG20" s="3">
        <v>4</v>
      </c>
      <c r="BH20" s="3">
        <v>17</v>
      </c>
      <c r="BI20" s="3">
        <v>1</v>
      </c>
      <c r="BJ20" s="3" t="s">
        <v>168</v>
      </c>
      <c r="BL20" s="3">
        <v>10</v>
      </c>
      <c r="BM20" s="3">
        <v>0.99999999999999989</v>
      </c>
      <c r="BN20" s="3">
        <v>0.41349667156634368</v>
      </c>
      <c r="BR20" s="4">
        <v>12</v>
      </c>
      <c r="BS20" s="4">
        <v>1</v>
      </c>
      <c r="BV20" s="3" t="str">
        <f t="shared" si="0"/>
        <v>3/30/10/1</v>
      </c>
      <c r="BW20" s="3">
        <v>12</v>
      </c>
      <c r="BX20" s="3">
        <v>3</v>
      </c>
      <c r="BY20" s="3">
        <v>30</v>
      </c>
      <c r="BZ20" s="3">
        <v>10</v>
      </c>
      <c r="CA20" s="3">
        <f t="shared" si="1"/>
        <v>1</v>
      </c>
      <c r="CB20" s="3">
        <v>1</v>
      </c>
      <c r="CC20" s="3" t="s">
        <v>178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</row>
    <row r="21" spans="1:88" x14ac:dyDescent="0.2">
      <c r="A21" s="34" t="str">
        <f>IF(C21/C2-INT(C21/C2)&gt;0,"Y","N")</f>
        <v>Y</v>
      </c>
      <c r="B21" s="10" t="s">
        <v>102</v>
      </c>
      <c r="C21" s="17">
        <f>C4/C14</f>
        <v>2</v>
      </c>
      <c r="H21" s="5"/>
      <c r="I21" s="5"/>
      <c r="AH21" s="33">
        <v>13</v>
      </c>
      <c r="AI21" s="33">
        <v>1</v>
      </c>
      <c r="AJ21" s="33"/>
      <c r="AK21" s="33"/>
      <c r="AN21" s="4">
        <v>13</v>
      </c>
      <c r="AO21" s="4">
        <v>1</v>
      </c>
      <c r="AP21" s="4" t="s">
        <v>41</v>
      </c>
      <c r="BL21" s="3">
        <v>11</v>
      </c>
      <c r="BM21" s="3">
        <v>-0.49999999999999989</v>
      </c>
      <c r="BN21" s="3">
        <v>0.25555499726295261</v>
      </c>
      <c r="BR21" s="4">
        <v>13</v>
      </c>
      <c r="BS21" s="4">
        <v>2</v>
      </c>
      <c r="BV21" s="3" t="str">
        <f t="shared" si="0"/>
        <v>3/9/8/1</v>
      </c>
      <c r="BW21" s="3">
        <v>13</v>
      </c>
      <c r="BX21" s="3">
        <v>3</v>
      </c>
      <c r="BY21" s="3">
        <v>9</v>
      </c>
      <c r="BZ21" s="3">
        <v>8</v>
      </c>
      <c r="CA21" s="3">
        <f t="shared" si="1"/>
        <v>0.375</v>
      </c>
      <c r="CB21" s="3">
        <v>1</v>
      </c>
      <c r="CC21" s="3" t="s">
        <v>178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</row>
    <row r="22" spans="1:88" x14ac:dyDescent="0.2">
      <c r="A22" s="34" t="str">
        <f>IF(C4/C21-INT(C4/C21)&gt;0,"N","Y")</f>
        <v>Y</v>
      </c>
      <c r="B22" s="10" t="s">
        <v>103</v>
      </c>
      <c r="C22" s="17">
        <f>C21-C20</f>
        <v>1</v>
      </c>
      <c r="H22" s="5"/>
      <c r="I22" s="5"/>
      <c r="AH22" s="33">
        <v>14</v>
      </c>
      <c r="AI22" s="33">
        <v>1</v>
      </c>
      <c r="AJ22" s="33"/>
      <c r="AK22" s="33"/>
      <c r="AN22" s="4">
        <v>14</v>
      </c>
      <c r="AO22" s="4">
        <v>0</v>
      </c>
      <c r="AP22" s="4" t="s">
        <v>120</v>
      </c>
      <c r="BL22" s="3">
        <v>12</v>
      </c>
      <c r="BM22" s="3">
        <v>-0.49999999999999989</v>
      </c>
      <c r="BN22" s="3">
        <v>8.6444343290238618E-2</v>
      </c>
      <c r="BR22" s="4">
        <v>14</v>
      </c>
      <c r="BS22" s="4">
        <v>1</v>
      </c>
      <c r="BV22" s="3" t="str">
        <f t="shared" si="0"/>
        <v>3/18/16/1</v>
      </c>
      <c r="BW22" s="3">
        <v>14</v>
      </c>
      <c r="BX22" s="3">
        <v>3</v>
      </c>
      <c r="BY22" s="3">
        <v>18</v>
      </c>
      <c r="BZ22" s="3">
        <v>16</v>
      </c>
      <c r="CA22" s="3">
        <f t="shared" si="1"/>
        <v>0.375</v>
      </c>
      <c r="CB22" s="3">
        <v>1</v>
      </c>
      <c r="CC22" s="3" t="s">
        <v>178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</row>
    <row r="23" spans="1:88" x14ac:dyDescent="0.2">
      <c r="A23" s="16"/>
      <c r="B23" s="10" t="s">
        <v>104</v>
      </c>
      <c r="C23" s="17">
        <f>C20</f>
        <v>1</v>
      </c>
      <c r="H23" s="5"/>
      <c r="I23" s="5"/>
      <c r="AH23" s="33">
        <v>15</v>
      </c>
      <c r="AI23" s="33">
        <v>1</v>
      </c>
      <c r="AJ23" s="33"/>
      <c r="AK23" s="33"/>
      <c r="AN23" s="4">
        <v>15</v>
      </c>
      <c r="AO23" s="4">
        <v>1</v>
      </c>
      <c r="AP23" s="4" t="s">
        <v>46</v>
      </c>
      <c r="BL23" s="3">
        <v>13</v>
      </c>
      <c r="BM23" s="3">
        <v>-0.49999999999999989</v>
      </c>
      <c r="BN23" s="3">
        <v>-8.6444343290239506E-2</v>
      </c>
      <c r="BR23" s="4">
        <v>15</v>
      </c>
      <c r="BS23" s="4">
        <v>2</v>
      </c>
      <c r="BV23" s="3" t="str">
        <f t="shared" si="0"/>
        <v>3/72/12/1</v>
      </c>
      <c r="BW23" s="3">
        <v>15</v>
      </c>
      <c r="BX23" s="3">
        <v>3</v>
      </c>
      <c r="BY23" s="3">
        <v>72</v>
      </c>
      <c r="BZ23" s="3">
        <v>12</v>
      </c>
      <c r="CA23" s="3">
        <f t="shared" si="1"/>
        <v>2</v>
      </c>
      <c r="CB23" s="3">
        <v>1</v>
      </c>
      <c r="CC23" s="3" t="s">
        <v>178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</row>
    <row r="24" spans="1:88" x14ac:dyDescent="0.2">
      <c r="A24" s="16"/>
      <c r="B24" s="10" t="s">
        <v>105</v>
      </c>
      <c r="C24" s="17">
        <f>C3/C18</f>
        <v>12</v>
      </c>
      <c r="H24" s="5"/>
      <c r="I24" s="5"/>
      <c r="AH24" s="33">
        <v>16</v>
      </c>
      <c r="AI24" s="33">
        <v>1</v>
      </c>
      <c r="AJ24" s="33"/>
      <c r="AK24" s="33"/>
      <c r="AN24" s="4">
        <v>16</v>
      </c>
      <c r="AO24" s="4">
        <v>0</v>
      </c>
      <c r="AP24" s="4" t="s">
        <v>116</v>
      </c>
      <c r="BL24" s="3">
        <v>14</v>
      </c>
      <c r="BM24" s="3">
        <v>-0.49999999999999989</v>
      </c>
      <c r="BN24" s="3">
        <v>-0.25555499726295311</v>
      </c>
      <c r="BR24" s="4">
        <v>16</v>
      </c>
      <c r="BS24" s="4">
        <v>1</v>
      </c>
      <c r="BV24" s="3" t="str">
        <f t="shared" si="0"/>
        <v>3/144/12/1</v>
      </c>
      <c r="BW24" s="3">
        <v>16</v>
      </c>
      <c r="BX24" s="3">
        <v>3</v>
      </c>
      <c r="BY24" s="3">
        <v>144</v>
      </c>
      <c r="BZ24" s="3">
        <v>12</v>
      </c>
      <c r="CA24" s="3">
        <f t="shared" si="1"/>
        <v>4</v>
      </c>
      <c r="CB24" s="3">
        <v>1</v>
      </c>
      <c r="CC24" s="3" t="s">
        <v>178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</row>
    <row r="25" spans="1:88" x14ac:dyDescent="0.2">
      <c r="A25" s="16"/>
      <c r="B25" s="10" t="s">
        <v>106</v>
      </c>
      <c r="C25" s="17">
        <f>360/C8</f>
        <v>3</v>
      </c>
      <c r="H25" s="5"/>
      <c r="I25" s="5"/>
      <c r="AH25" s="33">
        <v>17</v>
      </c>
      <c r="AI25" s="33">
        <v>1</v>
      </c>
      <c r="AJ25" s="33"/>
      <c r="AK25" s="33"/>
      <c r="AN25" s="4">
        <v>17</v>
      </c>
      <c r="AO25" s="4">
        <v>1</v>
      </c>
      <c r="AP25" s="4" t="s">
        <v>65</v>
      </c>
      <c r="BL25" s="3">
        <v>15</v>
      </c>
      <c r="BM25" s="3">
        <v>-0.49999999999999989</v>
      </c>
      <c r="BN25" s="3">
        <v>-0.41349667156634451</v>
      </c>
      <c r="BR25" s="4">
        <v>17</v>
      </c>
      <c r="BS25" s="4">
        <v>2</v>
      </c>
      <c r="BV25" s="3" t="str">
        <f t="shared" si="0"/>
        <v>3/108/24/1</v>
      </c>
      <c r="BW25" s="3">
        <v>17</v>
      </c>
      <c r="BX25" s="3">
        <v>3</v>
      </c>
      <c r="BY25" s="3">
        <v>108</v>
      </c>
      <c r="BZ25" s="3">
        <v>24</v>
      </c>
      <c r="CA25" s="3">
        <f t="shared" si="1"/>
        <v>1.5</v>
      </c>
      <c r="CB25" s="3">
        <v>1</v>
      </c>
      <c r="CC25" s="3" t="s">
        <v>178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</row>
    <row r="26" spans="1:88" x14ac:dyDescent="0.2">
      <c r="A26" s="16"/>
      <c r="B26" s="10" t="s">
        <v>179</v>
      </c>
      <c r="C26" s="36">
        <v>0.86602540378443849</v>
      </c>
      <c r="H26" s="5"/>
      <c r="I26" s="5"/>
      <c r="AH26" s="33">
        <v>18</v>
      </c>
      <c r="AI26" s="33">
        <v>1</v>
      </c>
      <c r="AJ26" s="33"/>
      <c r="AK26" s="33"/>
      <c r="AN26" s="4">
        <v>18</v>
      </c>
      <c r="AO26" s="4">
        <v>0</v>
      </c>
      <c r="AP26" s="4" t="s">
        <v>117</v>
      </c>
      <c r="BL26" s="3">
        <v>16</v>
      </c>
      <c r="BM26" s="3">
        <v>-0.49999999999999989</v>
      </c>
      <c r="BN26" s="3">
        <v>-0.55336655714511518</v>
      </c>
      <c r="BR26" s="4">
        <v>18</v>
      </c>
      <c r="BS26" s="4">
        <v>1</v>
      </c>
      <c r="BV26" s="3" t="str">
        <f t="shared" si="0"/>
        <v>3/180/24/1</v>
      </c>
      <c r="BW26" s="3">
        <v>18</v>
      </c>
      <c r="BX26" s="3">
        <v>3</v>
      </c>
      <c r="BY26" s="3">
        <v>180</v>
      </c>
      <c r="BZ26" s="3">
        <v>24</v>
      </c>
      <c r="CA26" s="3">
        <f t="shared" si="1"/>
        <v>2.5</v>
      </c>
      <c r="CB26" s="3">
        <v>1</v>
      </c>
      <c r="CC26" s="3" t="s">
        <v>178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</row>
    <row r="27" spans="1:88" x14ac:dyDescent="0.2">
      <c r="A27" s="37"/>
      <c r="B27" s="10" t="s">
        <v>107</v>
      </c>
      <c r="C27" s="34">
        <v>0.8660254037844386</v>
      </c>
      <c r="H27" s="5"/>
      <c r="I27" s="5"/>
      <c r="AH27" s="33">
        <v>19</v>
      </c>
      <c r="AI27" s="33">
        <v>1</v>
      </c>
      <c r="AJ27" s="33"/>
      <c r="AK27" s="33"/>
      <c r="AN27" s="4">
        <v>19</v>
      </c>
      <c r="AO27" s="4">
        <v>1</v>
      </c>
      <c r="AP27" s="4" t="s">
        <v>41</v>
      </c>
      <c r="BL27" s="3">
        <v>17</v>
      </c>
      <c r="BM27" s="3">
        <v>-0.49999999999999989</v>
      </c>
      <c r="BN27" s="3">
        <v>-0.6690516688292969</v>
      </c>
      <c r="BR27" s="4">
        <v>19</v>
      </c>
      <c r="BS27" s="4">
        <v>2</v>
      </c>
      <c r="BV27" s="3" t="str">
        <f t="shared" si="0"/>
        <v>3/120/32/1</v>
      </c>
      <c r="BW27" s="3">
        <v>19</v>
      </c>
      <c r="BX27" s="3">
        <v>3</v>
      </c>
      <c r="BY27" s="3">
        <v>120</v>
      </c>
      <c r="BZ27" s="3">
        <v>32</v>
      </c>
      <c r="CA27" s="3">
        <f t="shared" si="1"/>
        <v>1.25</v>
      </c>
      <c r="CB27" s="3">
        <v>1</v>
      </c>
      <c r="CC27" s="3" t="s">
        <v>178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</row>
    <row r="28" spans="1:88" x14ac:dyDescent="0.2">
      <c r="A28" s="16"/>
      <c r="B28" s="10" t="s">
        <v>180</v>
      </c>
      <c r="C28" s="34">
        <v>0.99999999999999989</v>
      </c>
      <c r="H28" s="5"/>
      <c r="I28" s="5"/>
      <c r="AH28" s="33">
        <v>20</v>
      </c>
      <c r="AI28" s="33">
        <v>1</v>
      </c>
      <c r="AJ28" s="33"/>
      <c r="AK28" s="33"/>
      <c r="AN28" s="4">
        <v>20</v>
      </c>
      <c r="AO28" s="4">
        <v>0</v>
      </c>
      <c r="AP28" s="4" t="s">
        <v>120</v>
      </c>
      <c r="BL28" s="3">
        <v>18</v>
      </c>
      <c r="BM28" s="3">
        <v>-0.49999999999999989</v>
      </c>
      <c r="BN28" s="3">
        <v>-0.75549601211953643</v>
      </c>
      <c r="BR28" s="4">
        <v>20</v>
      </c>
      <c r="BS28" s="4">
        <v>1</v>
      </c>
      <c r="BV28" s="3" t="str">
        <f t="shared" si="0"/>
        <v>3/216/28/1</v>
      </c>
      <c r="BW28" s="3">
        <v>20</v>
      </c>
      <c r="BX28" s="3">
        <v>3</v>
      </c>
      <c r="BY28" s="3">
        <v>216</v>
      </c>
      <c r="BZ28" s="3">
        <v>28</v>
      </c>
      <c r="CA28" s="3">
        <f t="shared" si="1"/>
        <v>2.5714285714285716</v>
      </c>
      <c r="CB28" s="3">
        <v>1</v>
      </c>
      <c r="CC28" s="3" t="s">
        <v>178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</row>
    <row r="29" spans="1:88" x14ac:dyDescent="0.2">
      <c r="A29" s="37"/>
      <c r="B29" s="10" t="s">
        <v>108</v>
      </c>
      <c r="C29" s="23">
        <v>1</v>
      </c>
      <c r="AH29" s="33">
        <v>21</v>
      </c>
      <c r="AI29" s="33">
        <v>1</v>
      </c>
      <c r="AJ29" s="33"/>
      <c r="AK29" s="33"/>
      <c r="AN29" s="4">
        <v>21</v>
      </c>
      <c r="AO29" s="4">
        <v>1</v>
      </c>
      <c r="AP29" s="4" t="s">
        <v>46</v>
      </c>
      <c r="BL29" s="3">
        <v>19</v>
      </c>
      <c r="BM29" s="3">
        <v>-0.49999999999999989</v>
      </c>
      <c r="BN29" s="3">
        <v>-0.80892155440806779</v>
      </c>
      <c r="BT29" s="38"/>
      <c r="BV29" s="3" t="str">
        <f t="shared" si="0"/>
        <v>3/48/6/1</v>
      </c>
      <c r="BW29" s="3">
        <v>21</v>
      </c>
      <c r="BX29" s="3">
        <v>3</v>
      </c>
      <c r="BY29" s="3">
        <v>48</v>
      </c>
      <c r="BZ29" s="3">
        <v>6</v>
      </c>
      <c r="CA29" s="3">
        <f t="shared" si="1"/>
        <v>2.6666666666666665</v>
      </c>
      <c r="CB29" s="3">
        <v>1</v>
      </c>
      <c r="CC29" s="3" t="s">
        <v>181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</row>
    <row r="30" spans="1:88" x14ac:dyDescent="0.2">
      <c r="A30" s="37"/>
      <c r="B30" s="10" t="s">
        <v>109</v>
      </c>
      <c r="C30" s="36">
        <v>0.4621636149762014</v>
      </c>
      <c r="AH30" s="33">
        <v>22</v>
      </c>
      <c r="AI30" s="33">
        <v>1</v>
      </c>
      <c r="AJ30" s="33"/>
      <c r="AK30" s="33"/>
      <c r="AN30" s="4">
        <v>22</v>
      </c>
      <c r="AO30" s="4">
        <v>0</v>
      </c>
      <c r="AP30" s="4" t="s">
        <v>116</v>
      </c>
      <c r="BL30" s="3">
        <v>20</v>
      </c>
      <c r="BM30" s="3">
        <v>-0.49999999999999989</v>
      </c>
      <c r="BN30" s="3">
        <v>-0.82699334313268813</v>
      </c>
      <c r="BT30" s="38"/>
      <c r="BV30" s="3" t="str">
        <f t="shared" si="0"/>
        <v>3/60/6/1</v>
      </c>
      <c r="BW30" s="3">
        <v>22</v>
      </c>
      <c r="BX30" s="3">
        <v>3</v>
      </c>
      <c r="BY30" s="3">
        <v>60</v>
      </c>
      <c r="BZ30" s="3">
        <v>6</v>
      </c>
      <c r="CA30" s="3">
        <f t="shared" si="1"/>
        <v>3.3333333333333335</v>
      </c>
      <c r="CB30" s="3">
        <v>1</v>
      </c>
      <c r="CC30" s="3" t="s">
        <v>181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</row>
    <row r="31" spans="1:88" x14ac:dyDescent="0.2">
      <c r="B31" s="10" t="s">
        <v>110</v>
      </c>
      <c r="C31" s="23">
        <v>0.82699334313268813</v>
      </c>
      <c r="AH31" s="33">
        <v>23</v>
      </c>
      <c r="AI31" s="33">
        <v>1</v>
      </c>
      <c r="AJ31" s="33"/>
      <c r="AK31" s="33"/>
      <c r="AN31" s="4">
        <v>23</v>
      </c>
      <c r="AO31" s="4">
        <v>1</v>
      </c>
      <c r="AP31" s="4" t="s">
        <v>65</v>
      </c>
      <c r="BL31" s="3">
        <v>21</v>
      </c>
      <c r="BM31" s="3">
        <v>-0.50000000000000056</v>
      </c>
      <c r="BN31" s="3">
        <v>-0.80892155440806757</v>
      </c>
      <c r="BT31" s="38"/>
      <c r="BV31" s="3" t="str">
        <f t="shared" si="0"/>
        <v>5/80/10/2</v>
      </c>
      <c r="BW31" s="3">
        <v>23</v>
      </c>
      <c r="BX31" s="3">
        <v>5</v>
      </c>
      <c r="BY31" s="3">
        <v>80</v>
      </c>
      <c r="BZ31" s="3">
        <v>10</v>
      </c>
      <c r="CA31" s="3">
        <f t="shared" si="1"/>
        <v>1.6</v>
      </c>
      <c r="CB31" s="3">
        <v>2</v>
      </c>
      <c r="CC31" s="3" t="s">
        <v>182</v>
      </c>
    </row>
    <row r="32" spans="1:88" x14ac:dyDescent="0.2">
      <c r="A32" s="16"/>
      <c r="B32" s="10" t="s">
        <v>111</v>
      </c>
      <c r="C32" s="34">
        <v>179.99999999999994</v>
      </c>
      <c r="AH32" s="33">
        <v>24</v>
      </c>
      <c r="AI32" s="33">
        <v>1</v>
      </c>
      <c r="AJ32" s="33"/>
      <c r="AK32" s="33"/>
      <c r="AN32" s="4">
        <v>24</v>
      </c>
      <c r="AO32" s="4">
        <v>0</v>
      </c>
      <c r="AP32" s="4" t="s">
        <v>117</v>
      </c>
      <c r="BL32" s="3">
        <v>22</v>
      </c>
      <c r="BM32" s="3">
        <v>-0.50000000000000056</v>
      </c>
      <c r="BN32" s="3">
        <v>-0.75549601211953599</v>
      </c>
      <c r="BT32" s="38"/>
      <c r="BV32" s="3" t="str">
        <f t="shared" si="0"/>
        <v>2/18/4/2</v>
      </c>
      <c r="BW32" s="3">
        <v>24</v>
      </c>
      <c r="BX32" s="3">
        <v>2</v>
      </c>
      <c r="BY32" s="3">
        <v>18</v>
      </c>
      <c r="BZ32" s="3">
        <v>4</v>
      </c>
      <c r="CA32" s="3">
        <f t="shared" si="1"/>
        <v>2.25</v>
      </c>
      <c r="CB32" s="3">
        <v>2</v>
      </c>
      <c r="CC32" s="3" t="s">
        <v>182</v>
      </c>
    </row>
    <row r="33" spans="1:81" x14ac:dyDescent="0.2">
      <c r="A33" s="16"/>
      <c r="B33" s="10" t="s">
        <v>112</v>
      </c>
      <c r="C33" s="34">
        <v>3.1415926535897922</v>
      </c>
      <c r="AH33" s="33">
        <v>25</v>
      </c>
      <c r="AI33" s="33">
        <v>1</v>
      </c>
      <c r="AJ33" s="33"/>
      <c r="AK33" s="33"/>
      <c r="BL33" s="3">
        <v>23</v>
      </c>
      <c r="BM33" s="3">
        <v>-0.50000000000000056</v>
      </c>
      <c r="BN33" s="3">
        <v>-0.66905166882929701</v>
      </c>
      <c r="BT33" s="38"/>
      <c r="BV33" s="3" t="s">
        <v>183</v>
      </c>
      <c r="BW33" s="3">
        <v>25</v>
      </c>
      <c r="BX33" s="3">
        <v>3</v>
      </c>
      <c r="BY33" s="3">
        <v>27</v>
      </c>
      <c r="BZ33" s="3">
        <v>24</v>
      </c>
      <c r="CA33" s="3">
        <f t="shared" si="1"/>
        <v>0.375</v>
      </c>
      <c r="CB33" s="3">
        <v>1</v>
      </c>
      <c r="CC33" s="3" t="s">
        <v>176</v>
      </c>
    </row>
    <row r="34" spans="1:81" x14ac:dyDescent="0.2">
      <c r="A34" s="16"/>
      <c r="B34" s="10" t="s">
        <v>113</v>
      </c>
      <c r="C34" s="34">
        <f>C32/C8</f>
        <v>1.4999999999999996</v>
      </c>
      <c r="AH34" s="33">
        <v>26</v>
      </c>
      <c r="AI34" s="33">
        <v>1</v>
      </c>
      <c r="AJ34" s="33"/>
      <c r="AK34" s="33"/>
      <c r="BL34" s="3">
        <v>24</v>
      </c>
      <c r="BM34" s="3">
        <v>-0.50000000000000056</v>
      </c>
      <c r="BN34" s="3">
        <v>-0.55336655714511429</v>
      </c>
      <c r="BV34" s="3" t="s">
        <v>184</v>
      </c>
      <c r="BW34" s="3">
        <v>26</v>
      </c>
      <c r="BX34" s="3">
        <v>5</v>
      </c>
      <c r="BY34" s="3">
        <v>40</v>
      </c>
      <c r="BZ34" s="3">
        <v>4</v>
      </c>
      <c r="CA34" s="3">
        <f t="shared" si="1"/>
        <v>2</v>
      </c>
      <c r="CB34" s="3">
        <v>1</v>
      </c>
      <c r="CC34" s="3" t="s">
        <v>185</v>
      </c>
    </row>
    <row r="35" spans="1:81" x14ac:dyDescent="0.2">
      <c r="A35" s="16"/>
      <c r="B35" s="10" t="s">
        <v>114</v>
      </c>
      <c r="C35" s="34">
        <f>C4/C21</f>
        <v>4</v>
      </c>
      <c r="K35" s="4" t="s">
        <v>186</v>
      </c>
      <c r="Z35" s="4" t="s">
        <v>187</v>
      </c>
      <c r="AH35" s="33">
        <v>27</v>
      </c>
      <c r="AI35" s="33">
        <v>1</v>
      </c>
      <c r="AJ35" s="33"/>
      <c r="AK35" s="33"/>
      <c r="BL35" s="3">
        <v>25</v>
      </c>
      <c r="BM35" s="3">
        <v>-0.50000000000000056</v>
      </c>
      <c r="BN35" s="3">
        <v>-0.41349667156634379</v>
      </c>
      <c r="BT35" s="38"/>
      <c r="BV35" s="3" t="s">
        <v>128</v>
      </c>
      <c r="BW35" s="3">
        <v>27</v>
      </c>
      <c r="BX35" s="3">
        <v>3</v>
      </c>
      <c r="BY35" s="3">
        <v>48</v>
      </c>
      <c r="BZ35" s="3">
        <v>4</v>
      </c>
      <c r="CA35" s="3">
        <f t="shared" si="1"/>
        <v>4</v>
      </c>
      <c r="CB35" s="3">
        <v>1</v>
      </c>
      <c r="CC35" s="3" t="s">
        <v>188</v>
      </c>
    </row>
    <row r="36" spans="1:81" x14ac:dyDescent="0.2">
      <c r="A36" s="16"/>
      <c r="B36" s="10" t="s">
        <v>189</v>
      </c>
      <c r="C36" s="8">
        <v>0.5</v>
      </c>
      <c r="AH36" s="33">
        <v>28</v>
      </c>
      <c r="AI36" s="33">
        <v>1</v>
      </c>
      <c r="AJ36" s="33"/>
      <c r="AK36" s="33"/>
      <c r="BL36" s="3">
        <v>26</v>
      </c>
      <c r="BM36" s="3">
        <v>-0.50000000000000056</v>
      </c>
      <c r="BN36" s="3">
        <v>-0.25555499726295305</v>
      </c>
    </row>
    <row r="37" spans="1:81" x14ac:dyDescent="0.2">
      <c r="A37" s="39"/>
      <c r="B37" s="40" t="s">
        <v>190</v>
      </c>
      <c r="C37" s="36">
        <v>0.8660254037844386</v>
      </c>
      <c r="S37" s="41" t="s">
        <v>191</v>
      </c>
      <c r="AH37" s="33">
        <v>29</v>
      </c>
      <c r="AI37" s="33">
        <v>1</v>
      </c>
      <c r="AJ37" s="33"/>
      <c r="AK37" s="33"/>
      <c r="BL37" s="3">
        <v>27</v>
      </c>
      <c r="BM37" s="3">
        <v>-0.50000000000000056</v>
      </c>
      <c r="BN37" s="3">
        <v>-8.6444343290238354E-2</v>
      </c>
    </row>
    <row r="38" spans="1:81" x14ac:dyDescent="0.2">
      <c r="A38" s="39"/>
      <c r="B38" s="40" t="s">
        <v>192</v>
      </c>
      <c r="C38" s="36">
        <v>0.8660254037844386</v>
      </c>
      <c r="AH38" s="33">
        <v>30</v>
      </c>
      <c r="AI38" s="33">
        <v>1</v>
      </c>
      <c r="AJ38" s="33"/>
      <c r="AK38" s="33"/>
      <c r="BL38" s="3">
        <v>28</v>
      </c>
      <c r="BM38" s="3">
        <v>-0.50000000000000056</v>
      </c>
      <c r="BN38" s="3">
        <v>8.6444343290239423E-2</v>
      </c>
    </row>
    <row r="39" spans="1:81" x14ac:dyDescent="0.2">
      <c r="B39" s="42"/>
      <c r="AH39" s="33">
        <v>31</v>
      </c>
      <c r="AI39" s="33">
        <v>1</v>
      </c>
      <c r="AJ39" s="33"/>
      <c r="AK39" s="33"/>
      <c r="BL39" s="3">
        <v>29</v>
      </c>
      <c r="BM39" s="3">
        <v>-0.50000000000000056</v>
      </c>
      <c r="BN39" s="3">
        <v>0.25555499726295267</v>
      </c>
    </row>
    <row r="40" spans="1:81" x14ac:dyDescent="0.2">
      <c r="A40" s="43"/>
      <c r="B40" s="44" t="s">
        <v>193</v>
      </c>
      <c r="C40" s="45">
        <v>2</v>
      </c>
      <c r="AH40" s="33">
        <v>32</v>
      </c>
      <c r="AI40" s="33">
        <v>1</v>
      </c>
      <c r="AJ40" s="33"/>
      <c r="AK40" s="33"/>
      <c r="BL40" s="3">
        <v>30</v>
      </c>
      <c r="BM40" s="3">
        <v>-0.50000000000000056</v>
      </c>
      <c r="BN40" s="3">
        <v>0.41349667156634473</v>
      </c>
    </row>
    <row r="41" spans="1:81" x14ac:dyDescent="0.2">
      <c r="A41" s="46"/>
      <c r="B41" s="47" t="s">
        <v>194</v>
      </c>
      <c r="C41" s="48">
        <f>gcdsk(C44,C43)</f>
        <v>120</v>
      </c>
      <c r="AH41" s="33">
        <v>33</v>
      </c>
      <c r="AI41" s="33">
        <v>1</v>
      </c>
      <c r="AJ41" s="33"/>
      <c r="AK41" s="33"/>
      <c r="BL41" s="3">
        <v>31</v>
      </c>
      <c r="BM41" s="3">
        <v>0.99999999999999989</v>
      </c>
      <c r="BN41" s="3">
        <v>0.55336655714511507</v>
      </c>
    </row>
    <row r="42" spans="1:81" x14ac:dyDescent="0.2">
      <c r="A42" s="46"/>
      <c r="B42" s="47" t="s">
        <v>195</v>
      </c>
      <c r="C42" s="48">
        <f>gcdsk(C44,2*C43)</f>
        <v>240</v>
      </c>
      <c r="AH42" s="33">
        <v>34</v>
      </c>
      <c r="AI42" s="33">
        <v>1</v>
      </c>
      <c r="AJ42" s="33"/>
      <c r="AK42" s="33"/>
      <c r="BL42" s="3">
        <v>32</v>
      </c>
      <c r="BM42" s="3">
        <v>0.99999999999999989</v>
      </c>
      <c r="BN42" s="3">
        <v>0.66905166882929679</v>
      </c>
    </row>
    <row r="43" spans="1:81" x14ac:dyDescent="0.2">
      <c r="A43" s="46"/>
      <c r="B43" s="47" t="s">
        <v>196</v>
      </c>
      <c r="C43" s="48">
        <f>180/PI()*IF(C2/2-INT(C2/2)&gt;0,2*PI()/C2,PI()/C2)</f>
        <v>119.99999999999999</v>
      </c>
      <c r="AH43" s="33">
        <v>35</v>
      </c>
      <c r="AI43" s="33">
        <v>1</v>
      </c>
      <c r="AJ43" s="33"/>
      <c r="AK43" s="33"/>
      <c r="BL43" s="3">
        <v>33</v>
      </c>
      <c r="BM43" s="3">
        <v>0.99999999999999989</v>
      </c>
      <c r="BN43" s="3">
        <v>0.75549601211953632</v>
      </c>
    </row>
    <row r="44" spans="1:81" x14ac:dyDescent="0.2">
      <c r="A44" s="49"/>
      <c r="B44" s="50" t="s">
        <v>197</v>
      </c>
      <c r="C44" s="51">
        <f>C40*C8</f>
        <v>240</v>
      </c>
      <c r="AH44" s="33">
        <v>36</v>
      </c>
      <c r="AI44" s="33">
        <v>1</v>
      </c>
      <c r="AJ44" s="33"/>
      <c r="AK44" s="33"/>
      <c r="BL44" s="3">
        <v>34</v>
      </c>
      <c r="BM44" s="3">
        <v>0.99999999999999989</v>
      </c>
      <c r="BN44" s="3">
        <v>0.80892155440806779</v>
      </c>
    </row>
    <row r="45" spans="1:81" x14ac:dyDescent="0.2">
      <c r="AH45" s="33">
        <v>37</v>
      </c>
      <c r="AI45" s="33">
        <v>1</v>
      </c>
      <c r="AJ45" s="33"/>
      <c r="AK45" s="33"/>
      <c r="BL45" s="3">
        <v>35</v>
      </c>
      <c r="BM45" s="3">
        <v>0.99999999999999989</v>
      </c>
      <c r="BN45" s="3">
        <v>0.82699334313268813</v>
      </c>
    </row>
    <row r="46" spans="1:81" x14ac:dyDescent="0.2">
      <c r="A46" s="37"/>
      <c r="B46" s="52" t="s">
        <v>198</v>
      </c>
      <c r="C46" s="53">
        <f>2*SIN(C43/2*PI()/180)</f>
        <v>1.7320508075688772</v>
      </c>
      <c r="AH46" s="33">
        <v>38</v>
      </c>
      <c r="AI46" s="33">
        <v>1</v>
      </c>
      <c r="AJ46" s="33"/>
      <c r="AK46" s="33"/>
      <c r="BL46" s="3">
        <v>36</v>
      </c>
      <c r="BM46" s="3">
        <v>0.99999999999999989</v>
      </c>
      <c r="BN46" s="3">
        <v>0.80892155440806757</v>
      </c>
    </row>
    <row r="47" spans="1:81" x14ac:dyDescent="0.2">
      <c r="AH47" s="33">
        <v>39</v>
      </c>
      <c r="AI47" s="33">
        <v>1</v>
      </c>
      <c r="AJ47" s="33"/>
      <c r="AK47" s="33"/>
      <c r="BL47" s="3">
        <v>37</v>
      </c>
      <c r="BM47" s="3">
        <v>0.99999999999999989</v>
      </c>
      <c r="BN47" s="3">
        <v>0.75549601211953599</v>
      </c>
    </row>
    <row r="48" spans="1:81" x14ac:dyDescent="0.2">
      <c r="AH48" s="33">
        <v>40</v>
      </c>
      <c r="AI48" s="33">
        <v>27</v>
      </c>
      <c r="AJ48" s="33"/>
      <c r="AK48" s="33"/>
      <c r="BL48" s="3">
        <v>38</v>
      </c>
      <c r="BM48" s="3">
        <v>0.99999999999999989</v>
      </c>
      <c r="BN48" s="3">
        <v>0.66905166882929701</v>
      </c>
    </row>
    <row r="49" spans="1:66" x14ac:dyDescent="0.2">
      <c r="B49" s="54">
        <v>0</v>
      </c>
      <c r="AH49" s="33">
        <v>41</v>
      </c>
      <c r="AI49" s="33">
        <v>1</v>
      </c>
      <c r="AJ49" s="33"/>
      <c r="AK49" s="33"/>
      <c r="BL49" s="3">
        <v>39</v>
      </c>
      <c r="BM49" s="3">
        <v>0.99999999999999989</v>
      </c>
      <c r="BN49" s="3">
        <v>0.5533665571451144</v>
      </c>
    </row>
    <row r="50" spans="1:66" x14ac:dyDescent="0.2">
      <c r="A50" s="3" t="s">
        <v>199</v>
      </c>
      <c r="B50" s="54">
        <v>8</v>
      </c>
      <c r="C50" s="55">
        <f>C4</f>
        <v>8</v>
      </c>
      <c r="AH50" s="33"/>
      <c r="AI50" s="33"/>
      <c r="AJ50" s="33"/>
      <c r="AK50" s="33"/>
      <c r="BL50" s="3">
        <v>40</v>
      </c>
      <c r="BM50" s="3">
        <v>0.99999999999999989</v>
      </c>
      <c r="BN50" s="3">
        <v>0.4134966715663439</v>
      </c>
    </row>
    <row r="51" spans="1:66" x14ac:dyDescent="0.2">
      <c r="A51" s="3" t="s">
        <v>200</v>
      </c>
      <c r="B51" s="4">
        <f>B50/C50</f>
        <v>1</v>
      </c>
      <c r="C51" s="56"/>
      <c r="AH51" s="33"/>
      <c r="AI51" s="33"/>
      <c r="AJ51" s="33"/>
      <c r="AK51" s="33"/>
      <c r="BL51" s="3">
        <v>41</v>
      </c>
      <c r="BM51" s="3">
        <v>-0.49999999999999989</v>
      </c>
      <c r="BN51" s="3">
        <v>0.25555499726295317</v>
      </c>
    </row>
    <row r="52" spans="1:66" x14ac:dyDescent="0.2">
      <c r="A52" s="3" t="s">
        <v>201</v>
      </c>
      <c r="B52" s="54">
        <v>10</v>
      </c>
      <c r="C52" s="56"/>
      <c r="AH52" s="33"/>
      <c r="AI52" s="33"/>
      <c r="AJ52" s="33"/>
      <c r="AK52" s="33"/>
      <c r="BL52" s="3">
        <v>42</v>
      </c>
      <c r="BM52" s="3">
        <v>-0.49999999999999989</v>
      </c>
      <c r="BN52" s="3">
        <v>8.6444343290238451E-2</v>
      </c>
    </row>
    <row r="53" spans="1:66" x14ac:dyDescent="0.2">
      <c r="B53" s="54">
        <v>10</v>
      </c>
      <c r="AH53" s="33"/>
      <c r="AI53" s="33"/>
      <c r="AJ53" s="33"/>
      <c r="AK53" s="33"/>
      <c r="BL53" s="3">
        <v>43</v>
      </c>
      <c r="BM53" s="3">
        <v>-0.49999999999999989</v>
      </c>
      <c r="BN53" s="3">
        <v>-8.6444343290239312E-2</v>
      </c>
    </row>
    <row r="54" spans="1:66" x14ac:dyDescent="0.2">
      <c r="AH54" s="33"/>
      <c r="AI54" s="33"/>
      <c r="AJ54" s="33"/>
      <c r="AK54" s="33"/>
      <c r="BL54" s="3">
        <v>44</v>
      </c>
      <c r="BM54" s="3">
        <v>-0.49999999999999989</v>
      </c>
      <c r="BN54" s="3">
        <v>-0.25555499726295255</v>
      </c>
    </row>
    <row r="55" spans="1:66" x14ac:dyDescent="0.2">
      <c r="B55" s="47"/>
      <c r="AH55" s="33"/>
      <c r="AI55" s="33"/>
      <c r="AJ55" s="33"/>
      <c r="AK55" s="33"/>
      <c r="BL55" s="3">
        <v>45</v>
      </c>
      <c r="BM55" s="3">
        <v>-0.49999999999999989</v>
      </c>
      <c r="BN55" s="3">
        <v>-0.41349667156634462</v>
      </c>
    </row>
    <row r="56" spans="1:66" x14ac:dyDescent="0.2">
      <c r="A56" s="3" t="s">
        <v>202</v>
      </c>
      <c r="B56" s="42"/>
      <c r="AH56" s="33"/>
      <c r="AI56" s="33"/>
      <c r="AJ56" s="33"/>
      <c r="AK56" s="33"/>
      <c r="BL56" s="3">
        <v>46</v>
      </c>
      <c r="BM56" s="3">
        <v>-0.49999999999999989</v>
      </c>
      <c r="BN56" s="3">
        <v>-0.55336655714511507</v>
      </c>
    </row>
    <row r="57" spans="1:66" x14ac:dyDescent="0.2">
      <c r="B57" s="42"/>
      <c r="AH57" s="33"/>
      <c r="AI57" s="33"/>
      <c r="AJ57" s="33"/>
      <c r="AK57" s="33"/>
      <c r="BL57" s="3">
        <v>47</v>
      </c>
      <c r="BM57" s="3">
        <v>-0.49999999999999989</v>
      </c>
      <c r="BN57" s="3">
        <v>-0.66905166882929679</v>
      </c>
    </row>
    <row r="58" spans="1:66" x14ac:dyDescent="0.2">
      <c r="B58" s="42"/>
      <c r="AH58" s="33"/>
      <c r="AI58" s="33"/>
      <c r="AJ58" s="33"/>
      <c r="AK58" s="33"/>
      <c r="BL58" s="3">
        <v>48</v>
      </c>
      <c r="BM58" s="3">
        <v>-0.49999999999999989</v>
      </c>
      <c r="BN58" s="3">
        <v>-0.75549601211953632</v>
      </c>
    </row>
    <row r="59" spans="1:66" x14ac:dyDescent="0.2">
      <c r="AH59" s="33"/>
      <c r="AI59" s="33"/>
      <c r="AJ59" s="33"/>
      <c r="AK59" s="33"/>
      <c r="BL59" s="3">
        <v>49</v>
      </c>
      <c r="BM59" s="3">
        <v>-0.49999999999999989</v>
      </c>
      <c r="BN59" s="3">
        <v>-0.80892155440806779</v>
      </c>
    </row>
    <row r="60" spans="1:66" x14ac:dyDescent="0.2">
      <c r="E60" s="1" t="s">
        <v>203</v>
      </c>
      <c r="AH60" s="33"/>
      <c r="AI60" s="33"/>
      <c r="AJ60" s="33"/>
      <c r="AK60" s="33"/>
      <c r="BL60" s="3">
        <v>50</v>
      </c>
      <c r="BM60" s="3">
        <v>-0.49999999999999989</v>
      </c>
      <c r="BN60" s="3">
        <v>-0.82699334313268813</v>
      </c>
    </row>
    <row r="61" spans="1:66" x14ac:dyDescent="0.2">
      <c r="A61" s="3" t="s">
        <v>199</v>
      </c>
      <c r="B61" s="57">
        <v>8</v>
      </c>
      <c r="C61" s="28">
        <f>C4</f>
        <v>8</v>
      </c>
      <c r="AH61" s="33"/>
      <c r="AI61" s="33"/>
      <c r="AJ61" s="33"/>
      <c r="AK61" s="33"/>
      <c r="BL61" s="3">
        <v>51</v>
      </c>
      <c r="BM61" s="3">
        <v>-0.50000000000000056</v>
      </c>
      <c r="BN61" s="3">
        <v>-0.80892155440806757</v>
      </c>
    </row>
    <row r="62" spans="1:66" x14ac:dyDescent="0.2">
      <c r="A62" s="3" t="s">
        <v>143</v>
      </c>
      <c r="B62" s="42">
        <f>B61*PI()/C3</f>
        <v>2.0943951023931953</v>
      </c>
      <c r="E62" s="1"/>
      <c r="F62" s="41"/>
      <c r="G62" s="41"/>
      <c r="J62" s="41"/>
      <c r="K62" s="41"/>
      <c r="X62" s="4" t="s">
        <v>204</v>
      </c>
      <c r="Y62" s="4" t="s">
        <v>124</v>
      </c>
      <c r="Z62" s="4" t="s">
        <v>133</v>
      </c>
      <c r="AA62" s="4" t="s">
        <v>134</v>
      </c>
      <c r="AB62" s="41" t="s">
        <v>205</v>
      </c>
      <c r="AC62" s="41" t="s">
        <v>206</v>
      </c>
      <c r="AD62" s="41" t="s">
        <v>207</v>
      </c>
      <c r="AE62" s="41" t="s">
        <v>208</v>
      </c>
      <c r="AF62" s="41" t="s">
        <v>209</v>
      </c>
      <c r="AG62" s="41" t="s">
        <v>210</v>
      </c>
      <c r="AH62" s="33"/>
      <c r="AI62" s="33"/>
      <c r="AJ62" s="33"/>
      <c r="AK62" s="33"/>
      <c r="BL62" s="3">
        <v>52</v>
      </c>
      <c r="BM62" s="3">
        <v>-0.50000000000000056</v>
      </c>
      <c r="BN62" s="3">
        <v>-0.75549601211953599</v>
      </c>
    </row>
    <row r="63" spans="1:66" x14ac:dyDescent="0.2">
      <c r="A63" s="39" t="s">
        <v>131</v>
      </c>
      <c r="B63" s="39">
        <v>36.51027252705736</v>
      </c>
      <c r="C63" s="39">
        <v>358.64081390434785</v>
      </c>
      <c r="X63" s="4">
        <v>0</v>
      </c>
      <c r="AB63" s="4">
        <v>0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33"/>
      <c r="AI63" s="33"/>
      <c r="AJ63" s="33"/>
      <c r="AK63" s="33"/>
      <c r="BL63" s="3">
        <v>53</v>
      </c>
      <c r="BM63" s="3">
        <v>-0.50000000000000056</v>
      </c>
      <c r="BN63" s="3">
        <v>-0.66905166882929712</v>
      </c>
    </row>
    <row r="64" spans="1:66" x14ac:dyDescent="0.2">
      <c r="A64" s="39" t="s">
        <v>211</v>
      </c>
      <c r="B64" s="40"/>
      <c r="C64" s="40"/>
      <c r="D64" s="42"/>
      <c r="X64" s="4">
        <v>1</v>
      </c>
      <c r="Y64" s="4">
        <v>1</v>
      </c>
      <c r="AB64" s="4">
        <v>1</v>
      </c>
      <c r="AC64" s="4">
        <v>0</v>
      </c>
      <c r="AH64" s="33"/>
      <c r="AI64" s="33"/>
      <c r="AJ64" s="33"/>
      <c r="AK64" s="33"/>
      <c r="BL64" s="3">
        <v>54</v>
      </c>
      <c r="BM64" s="3">
        <v>-0.50000000000000056</v>
      </c>
      <c r="BN64" s="3">
        <v>-0.55336655714511451</v>
      </c>
    </row>
    <row r="65" spans="1:66" x14ac:dyDescent="0.2">
      <c r="A65" s="39" t="s">
        <v>212</v>
      </c>
      <c r="B65" s="40"/>
      <c r="C65" s="40"/>
      <c r="D65" s="42"/>
      <c r="X65" s="4">
        <v>2</v>
      </c>
      <c r="Y65" s="4">
        <v>2</v>
      </c>
      <c r="AB65" s="4">
        <v>0.50000000000000022</v>
      </c>
      <c r="AC65" s="4">
        <v>0.86602540378443871</v>
      </c>
      <c r="AH65" s="33"/>
      <c r="AI65" s="33"/>
      <c r="AJ65" s="33"/>
      <c r="AK65" s="33"/>
      <c r="BL65" s="3">
        <v>55</v>
      </c>
      <c r="BM65" s="3">
        <v>-0.50000000000000056</v>
      </c>
      <c r="BN65" s="3">
        <v>-0.41349667156634395</v>
      </c>
    </row>
    <row r="66" spans="1:66" x14ac:dyDescent="0.2">
      <c r="A66" s="3" t="s">
        <v>213</v>
      </c>
      <c r="B66" s="42">
        <f>MAX(B63:B65)</f>
        <v>36.51027252705736</v>
      </c>
      <c r="C66" s="42"/>
      <c r="D66" s="42"/>
      <c r="X66" s="4">
        <v>3</v>
      </c>
      <c r="Y66" s="4">
        <v>3</v>
      </c>
      <c r="AB66" s="4">
        <v>-2.2204460492503131E-16</v>
      </c>
      <c r="AC66" s="4">
        <v>3.3306690738754696E-16</v>
      </c>
      <c r="AH66" s="33"/>
      <c r="AI66" s="33"/>
      <c r="AJ66" s="33"/>
      <c r="AK66" s="33"/>
      <c r="BL66" s="3">
        <v>56</v>
      </c>
      <c r="BM66" s="3">
        <v>-0.50000000000000056</v>
      </c>
      <c r="BN66" s="3">
        <v>-0.25555499726295322</v>
      </c>
    </row>
    <row r="67" spans="1:66" x14ac:dyDescent="0.2">
      <c r="A67" s="39" t="s">
        <v>214</v>
      </c>
      <c r="B67" s="39">
        <f>IF(B63&gt;0,B63/C67,0)</f>
        <v>0.89049445187944776</v>
      </c>
      <c r="C67" s="39">
        <v>41</v>
      </c>
      <c r="D67" s="42"/>
      <c r="X67" s="4">
        <v>4</v>
      </c>
      <c r="Y67" s="4">
        <v>4</v>
      </c>
      <c r="AB67" s="4">
        <v>0.99999999999999978</v>
      </c>
      <c r="AC67" s="4">
        <v>8.8137547558076321E-17</v>
      </c>
      <c r="AH67" s="33"/>
      <c r="AI67" s="33"/>
      <c r="AJ67" s="33"/>
      <c r="AK67" s="33"/>
      <c r="BL67" s="3">
        <v>57</v>
      </c>
      <c r="BM67" s="3">
        <v>-0.50000000000000056</v>
      </c>
      <c r="BN67" s="3">
        <v>-8.6444343290238562E-2</v>
      </c>
    </row>
    <row r="68" spans="1:66" x14ac:dyDescent="0.2">
      <c r="A68" s="39" t="s">
        <v>215</v>
      </c>
      <c r="B68" s="39">
        <f>IF(B64&gt;0,B64/C68,0)</f>
        <v>0</v>
      </c>
      <c r="C68" s="39">
        <v>0</v>
      </c>
      <c r="D68" s="42"/>
      <c r="X68" s="4">
        <v>5</v>
      </c>
      <c r="Y68" s="4">
        <v>1</v>
      </c>
      <c r="AB68" s="4">
        <v>1.9999999999999998</v>
      </c>
      <c r="AC68" s="4">
        <v>8.8137547558076321E-17</v>
      </c>
      <c r="AH68" s="33"/>
      <c r="AI68" s="33"/>
      <c r="AJ68" s="33"/>
      <c r="AK68" s="33"/>
      <c r="BL68" s="3">
        <v>58</v>
      </c>
      <c r="BM68" s="3">
        <v>-0.50000000000000056</v>
      </c>
      <c r="BN68" s="3">
        <v>8.6444343290239214E-2</v>
      </c>
    </row>
    <row r="69" spans="1:66" x14ac:dyDescent="0.2">
      <c r="A69" s="39" t="s">
        <v>216</v>
      </c>
      <c r="B69" s="40">
        <f>IF(B65&gt;0,B65/C69,0)</f>
        <v>0</v>
      </c>
      <c r="C69" s="40">
        <v>0</v>
      </c>
      <c r="D69" s="42"/>
      <c r="T69" s="58"/>
      <c r="X69" s="4">
        <v>6</v>
      </c>
      <c r="Y69" s="4">
        <v>1</v>
      </c>
      <c r="AB69" s="4">
        <v>3</v>
      </c>
      <c r="AC69" s="4">
        <v>8.8137547558076321E-17</v>
      </c>
      <c r="AH69" s="33"/>
      <c r="AI69" s="33"/>
      <c r="AJ69" s="33"/>
      <c r="AK69" s="33"/>
      <c r="BL69" s="3">
        <v>59</v>
      </c>
      <c r="BM69" s="3">
        <v>-0.50000000000000056</v>
      </c>
      <c r="BN69" s="3">
        <v>0.25555499726295244</v>
      </c>
    </row>
    <row r="70" spans="1:66" x14ac:dyDescent="0.2">
      <c r="A70" s="3" t="s">
        <v>122</v>
      </c>
      <c r="B70" s="42">
        <f>IF(B66&gt;0,ROUNDUP(B66,0),1)</f>
        <v>37</v>
      </c>
      <c r="C70" s="59">
        <v>0</v>
      </c>
      <c r="D70" s="42"/>
      <c r="X70" s="4">
        <v>7</v>
      </c>
      <c r="Y70" s="4">
        <v>1</v>
      </c>
      <c r="AB70" s="4">
        <v>4</v>
      </c>
      <c r="AC70" s="4">
        <v>8.8137547558076321E-17</v>
      </c>
      <c r="AH70" s="33"/>
      <c r="AI70" s="33"/>
      <c r="AJ70" s="33"/>
      <c r="AK70" s="33"/>
      <c r="BL70" s="3">
        <v>60</v>
      </c>
      <c r="BM70" s="3">
        <v>-0.50000000000000056</v>
      </c>
      <c r="BN70" s="3">
        <v>0.41349667156634451</v>
      </c>
    </row>
    <row r="71" spans="1:66" x14ac:dyDescent="0.2">
      <c r="B71" s="42"/>
      <c r="C71" s="42"/>
      <c r="D71" s="42"/>
      <c r="X71" s="4">
        <v>8</v>
      </c>
      <c r="Y71" s="4">
        <v>1</v>
      </c>
      <c r="AB71" s="4">
        <v>5</v>
      </c>
      <c r="AC71" s="4">
        <v>8.8137547558076321E-17</v>
      </c>
      <c r="AH71" s="33"/>
      <c r="AI71" s="33"/>
      <c r="AJ71" s="33"/>
      <c r="AK71" s="33"/>
      <c r="BL71" s="3">
        <v>61</v>
      </c>
      <c r="BM71" s="3">
        <v>0.99999999999999989</v>
      </c>
      <c r="BN71" s="3">
        <v>0.55336655714511496</v>
      </c>
    </row>
    <row r="72" spans="1:66" x14ac:dyDescent="0.2">
      <c r="B72" s="42"/>
      <c r="C72" s="42"/>
      <c r="D72" s="42"/>
      <c r="X72" s="4">
        <v>9</v>
      </c>
      <c r="Y72" s="4">
        <v>1</v>
      </c>
      <c r="AB72" s="4">
        <v>6</v>
      </c>
      <c r="AC72" s="4">
        <v>8.8137547558076321E-17</v>
      </c>
      <c r="AH72" s="33"/>
      <c r="AI72" s="33"/>
      <c r="AJ72" s="33"/>
      <c r="AK72" s="33"/>
      <c r="BL72" s="3">
        <v>62</v>
      </c>
      <c r="BM72" s="3">
        <v>0.99999999999999989</v>
      </c>
      <c r="BN72" s="3">
        <v>0.66905166882929668</v>
      </c>
    </row>
    <row r="73" spans="1:66" x14ac:dyDescent="0.2">
      <c r="A73" s="3" t="s">
        <v>938</v>
      </c>
      <c r="B73" s="42"/>
      <c r="C73" s="42"/>
      <c r="D73" s="42"/>
      <c r="X73" s="4">
        <v>10</v>
      </c>
      <c r="Y73" s="4">
        <v>1</v>
      </c>
      <c r="AB73" s="4">
        <v>7</v>
      </c>
      <c r="AC73" s="4">
        <v>8.8137547558076321E-17</v>
      </c>
      <c r="AH73" s="33"/>
      <c r="AI73" s="33"/>
      <c r="AJ73" s="33"/>
      <c r="AK73" s="33"/>
      <c r="BL73" s="3">
        <v>63</v>
      </c>
      <c r="BM73" s="3">
        <v>0.99999999999999989</v>
      </c>
      <c r="BN73" s="3">
        <v>0.75549601211953632</v>
      </c>
    </row>
    <row r="74" spans="1:66" x14ac:dyDescent="0.2">
      <c r="A74" s="3" t="s">
        <v>127</v>
      </c>
      <c r="B74" s="42"/>
      <c r="C74" s="42"/>
      <c r="D74" s="42"/>
      <c r="X74" s="4">
        <v>11</v>
      </c>
      <c r="Y74" s="4">
        <v>1</v>
      </c>
      <c r="AB74" s="4">
        <v>8</v>
      </c>
      <c r="AC74" s="4">
        <v>8.8137547558076321E-17</v>
      </c>
      <c r="AH74" s="33"/>
      <c r="AI74" s="33"/>
      <c r="AJ74" s="33"/>
      <c r="AK74" s="33"/>
      <c r="BL74" s="3">
        <v>64</v>
      </c>
      <c r="BM74" s="3">
        <v>0.99999999999999989</v>
      </c>
      <c r="BN74" s="3">
        <v>0.80892155440806779</v>
      </c>
    </row>
    <row r="75" spans="1:66" x14ac:dyDescent="0.2">
      <c r="A75" s="3" t="s">
        <v>129</v>
      </c>
      <c r="B75" s="42"/>
      <c r="C75" s="42"/>
      <c r="D75" s="42"/>
      <c r="X75" s="4">
        <v>12</v>
      </c>
      <c r="Y75" s="4">
        <v>1</v>
      </c>
      <c r="AB75" s="4">
        <v>9</v>
      </c>
      <c r="AC75" s="4">
        <v>8.8137547558076321E-17</v>
      </c>
      <c r="AH75" s="33"/>
      <c r="AI75" s="33"/>
      <c r="AJ75" s="33"/>
      <c r="AK75" s="33"/>
      <c r="BL75" s="3">
        <v>65</v>
      </c>
      <c r="BM75" s="3">
        <v>0.99999999999999989</v>
      </c>
      <c r="BN75" s="3">
        <v>0.82699334313268813</v>
      </c>
    </row>
    <row r="76" spans="1:66" x14ac:dyDescent="0.2">
      <c r="B76" s="42"/>
      <c r="C76" s="42"/>
      <c r="D76" s="42"/>
      <c r="X76" s="4">
        <v>13</v>
      </c>
      <c r="Y76" s="4">
        <v>1</v>
      </c>
      <c r="AB76" s="4">
        <v>10</v>
      </c>
      <c r="AC76" s="4">
        <v>8.8137547558076321E-17</v>
      </c>
      <c r="AH76" s="33"/>
      <c r="AI76" s="33"/>
      <c r="AJ76" s="33"/>
      <c r="AK76" s="33"/>
      <c r="BL76" s="3">
        <v>66</v>
      </c>
      <c r="BM76" s="3">
        <v>0.99999999999999989</v>
      </c>
      <c r="BN76" s="3">
        <v>0.80892155440806757</v>
      </c>
    </row>
    <row r="77" spans="1:66" x14ac:dyDescent="0.2">
      <c r="B77" s="42"/>
      <c r="C77" s="42"/>
      <c r="D77" s="42"/>
      <c r="X77" s="4">
        <v>14</v>
      </c>
      <c r="Y77" s="4">
        <v>1</v>
      </c>
      <c r="AB77" s="4">
        <v>11</v>
      </c>
      <c r="AC77" s="4">
        <v>8.8137547558076321E-17</v>
      </c>
      <c r="AH77" s="33"/>
      <c r="AI77" s="33"/>
      <c r="AJ77" s="33"/>
      <c r="AK77" s="33"/>
      <c r="BL77" s="3">
        <v>67</v>
      </c>
      <c r="BM77" s="3">
        <v>0.99999999999999989</v>
      </c>
      <c r="BN77" s="3">
        <v>0.75549601211953599</v>
      </c>
    </row>
    <row r="78" spans="1:66" x14ac:dyDescent="0.2">
      <c r="B78" s="42"/>
      <c r="C78" s="42"/>
      <c r="D78" s="42"/>
      <c r="X78" s="4">
        <v>15</v>
      </c>
      <c r="Y78" s="4">
        <v>1</v>
      </c>
      <c r="AB78" s="4">
        <v>12</v>
      </c>
      <c r="AC78" s="4">
        <v>8.8137547558076321E-17</v>
      </c>
      <c r="AH78" s="33"/>
      <c r="AI78" s="33"/>
      <c r="AJ78" s="33"/>
      <c r="AK78" s="33"/>
      <c r="BL78" s="3">
        <v>68</v>
      </c>
      <c r="BM78" s="3">
        <v>0.99999999999999989</v>
      </c>
      <c r="BN78" s="3">
        <v>0.66905166882929723</v>
      </c>
    </row>
    <row r="79" spans="1:66" x14ac:dyDescent="0.2">
      <c r="B79" s="42"/>
      <c r="C79" s="42"/>
      <c r="D79" s="42"/>
      <c r="X79" s="4">
        <v>16</v>
      </c>
      <c r="Y79" s="4">
        <v>1</v>
      </c>
      <c r="AB79" s="4">
        <v>13</v>
      </c>
      <c r="AC79" s="4">
        <v>8.8137547558076321E-17</v>
      </c>
      <c r="AH79" s="33"/>
      <c r="AI79" s="33"/>
      <c r="AJ79" s="33"/>
      <c r="AK79" s="33"/>
      <c r="BL79" s="3">
        <v>69</v>
      </c>
      <c r="BM79" s="3">
        <v>0.99999999999999989</v>
      </c>
      <c r="BN79" s="3">
        <v>0.55336655714511451</v>
      </c>
    </row>
    <row r="80" spans="1:66" x14ac:dyDescent="0.2">
      <c r="B80" s="42"/>
      <c r="C80" s="42"/>
      <c r="D80" s="42"/>
      <c r="X80" s="4">
        <v>17</v>
      </c>
      <c r="Y80" s="4">
        <v>1</v>
      </c>
      <c r="AB80" s="4">
        <v>14</v>
      </c>
      <c r="AC80" s="4">
        <v>8.8137547558076321E-17</v>
      </c>
      <c r="AH80" s="33"/>
      <c r="AI80" s="33"/>
      <c r="AJ80" s="33"/>
      <c r="AK80" s="33"/>
      <c r="BL80" s="3">
        <v>70</v>
      </c>
      <c r="BM80" s="3">
        <v>0.99999999999999989</v>
      </c>
      <c r="BN80" s="3">
        <v>0.41349667156634407</v>
      </c>
    </row>
    <row r="81" spans="2:66" x14ac:dyDescent="0.2">
      <c r="B81" s="42"/>
      <c r="C81" s="42"/>
      <c r="D81" s="42"/>
      <c r="X81" s="4">
        <v>18</v>
      </c>
      <c r="Y81" s="4">
        <v>1</v>
      </c>
      <c r="AB81" s="4">
        <v>15</v>
      </c>
      <c r="AC81" s="4">
        <v>8.8137547558076321E-17</v>
      </c>
      <c r="AH81" s="33"/>
      <c r="AI81" s="33"/>
      <c r="AJ81" s="33"/>
      <c r="AK81" s="33"/>
      <c r="BL81" s="3">
        <v>71</v>
      </c>
      <c r="BM81" s="3">
        <v>-0.49999999999999989</v>
      </c>
      <c r="BN81" s="3">
        <v>0.25555499726295333</v>
      </c>
    </row>
    <row r="82" spans="2:66" x14ac:dyDescent="0.2">
      <c r="B82" s="42"/>
      <c r="C82" s="42"/>
      <c r="D82" s="42"/>
      <c r="X82" s="4">
        <v>19</v>
      </c>
      <c r="Y82" s="4">
        <v>1</v>
      </c>
      <c r="AB82" s="4">
        <v>16</v>
      </c>
      <c r="AC82" s="4">
        <v>8.8137547558076321E-17</v>
      </c>
      <c r="AH82" s="33"/>
      <c r="AI82" s="33"/>
      <c r="AJ82" s="33"/>
      <c r="AK82" s="33"/>
      <c r="BL82" s="3">
        <v>72</v>
      </c>
      <c r="BM82" s="3">
        <v>-0.49999999999999989</v>
      </c>
      <c r="BN82" s="3">
        <v>8.6444343290238659E-2</v>
      </c>
    </row>
    <row r="83" spans="2:66" x14ac:dyDescent="0.2">
      <c r="B83" s="42"/>
      <c r="C83" s="42"/>
      <c r="D83" s="42"/>
      <c r="X83" s="4">
        <v>20</v>
      </c>
      <c r="Y83" s="4">
        <v>1</v>
      </c>
      <c r="AB83" s="4">
        <v>17</v>
      </c>
      <c r="AC83" s="4">
        <v>8.8137547558076321E-17</v>
      </c>
      <c r="AH83" s="33"/>
      <c r="AI83" s="33"/>
      <c r="AJ83" s="33"/>
      <c r="AK83" s="33"/>
      <c r="BL83" s="3">
        <v>73</v>
      </c>
      <c r="BM83" s="3">
        <v>-0.49999999999999989</v>
      </c>
      <c r="BN83" s="3">
        <v>-8.6444343290239117E-2</v>
      </c>
    </row>
    <row r="84" spans="2:66" x14ac:dyDescent="0.2">
      <c r="B84" s="42"/>
      <c r="C84" s="42"/>
      <c r="D84" s="42"/>
      <c r="X84" s="4">
        <v>21</v>
      </c>
      <c r="Y84" s="4">
        <v>1</v>
      </c>
      <c r="AB84" s="4">
        <v>18</v>
      </c>
      <c r="AC84" s="4">
        <v>8.8137547558076321E-17</v>
      </c>
      <c r="AH84" s="33"/>
      <c r="AI84" s="33"/>
      <c r="AJ84" s="33"/>
      <c r="AK84" s="33"/>
      <c r="BL84" s="3">
        <v>74</v>
      </c>
      <c r="BM84" s="3">
        <v>-0.49999999999999989</v>
      </c>
      <c r="BN84" s="3">
        <v>-0.25555499726295094</v>
      </c>
    </row>
    <row r="85" spans="2:66" x14ac:dyDescent="0.2">
      <c r="B85" s="42"/>
      <c r="C85" s="42"/>
      <c r="D85" s="42"/>
      <c r="X85" s="4">
        <v>22</v>
      </c>
      <c r="Y85" s="4">
        <v>1</v>
      </c>
      <c r="AB85" s="4">
        <v>19</v>
      </c>
      <c r="AC85" s="4">
        <v>8.8137547558076321E-17</v>
      </c>
      <c r="AH85" s="33"/>
      <c r="AI85" s="33"/>
      <c r="AJ85" s="33"/>
      <c r="AK85" s="33"/>
      <c r="BL85" s="3">
        <v>75</v>
      </c>
      <c r="BM85" s="3">
        <v>-0.49999999999999989</v>
      </c>
      <c r="BN85" s="3">
        <v>-0.41349667156634318</v>
      </c>
    </row>
    <row r="86" spans="2:66" x14ac:dyDescent="0.2">
      <c r="B86" s="42"/>
      <c r="C86" s="42"/>
      <c r="D86" s="42"/>
      <c r="X86" s="4">
        <v>23</v>
      </c>
      <c r="Y86" s="4">
        <v>1</v>
      </c>
      <c r="AB86" s="4">
        <v>20</v>
      </c>
      <c r="AC86" s="4">
        <v>8.8137547558076321E-17</v>
      </c>
      <c r="AH86" s="33"/>
      <c r="AI86" s="33"/>
      <c r="AJ86" s="33"/>
      <c r="AK86" s="33"/>
      <c r="BL86" s="3">
        <v>76</v>
      </c>
      <c r="BM86" s="3">
        <v>-0.49999999999999989</v>
      </c>
      <c r="BN86" s="3">
        <v>-0.55336655714511485</v>
      </c>
    </row>
    <row r="87" spans="2:66" x14ac:dyDescent="0.2">
      <c r="B87" s="42"/>
      <c r="C87" s="42"/>
      <c r="D87" s="42"/>
      <c r="X87" s="4">
        <v>24</v>
      </c>
      <c r="Y87" s="4">
        <v>1</v>
      </c>
      <c r="AB87" s="4">
        <v>21</v>
      </c>
      <c r="AC87" s="4">
        <v>8.8137547558076321E-17</v>
      </c>
      <c r="AH87" s="33"/>
      <c r="AI87" s="33"/>
      <c r="AJ87" s="33"/>
      <c r="AK87" s="33"/>
      <c r="BL87" s="3">
        <v>77</v>
      </c>
      <c r="BM87" s="3">
        <v>-0.49999999999999989</v>
      </c>
      <c r="BN87" s="3">
        <v>-0.66905166882929579</v>
      </c>
    </row>
    <row r="88" spans="2:66" x14ac:dyDescent="0.2">
      <c r="X88" s="4">
        <v>25</v>
      </c>
      <c r="Y88" s="4">
        <v>1</v>
      </c>
      <c r="AB88" s="4">
        <v>22</v>
      </c>
      <c r="AC88" s="4">
        <v>8.8137547558076321E-17</v>
      </c>
      <c r="AH88" s="33"/>
      <c r="AI88" s="33"/>
      <c r="AJ88" s="33"/>
      <c r="AK88" s="33"/>
      <c r="BL88" s="3">
        <v>78</v>
      </c>
      <c r="BM88" s="3">
        <v>-0.49999999999999989</v>
      </c>
      <c r="BN88" s="3">
        <v>-0.75549601211953565</v>
      </c>
    </row>
    <row r="89" spans="2:66" x14ac:dyDescent="0.2">
      <c r="X89" s="4">
        <v>26</v>
      </c>
      <c r="Y89" s="4">
        <v>1</v>
      </c>
      <c r="AB89" s="4">
        <v>23</v>
      </c>
      <c r="AC89" s="4">
        <v>8.8137547558076321E-17</v>
      </c>
      <c r="AH89" s="33"/>
      <c r="AI89" s="33"/>
      <c r="AJ89" s="33"/>
      <c r="AK89" s="33"/>
      <c r="BL89" s="3">
        <v>79</v>
      </c>
      <c r="BM89" s="3">
        <v>-0.49999999999999989</v>
      </c>
      <c r="BN89" s="3">
        <v>-0.80892155440806712</v>
      </c>
    </row>
    <row r="90" spans="2:66" x14ac:dyDescent="0.2">
      <c r="X90" s="4">
        <v>27</v>
      </c>
      <c r="Y90" s="4">
        <v>1</v>
      </c>
      <c r="AB90" s="4">
        <v>24</v>
      </c>
      <c r="AC90" s="4">
        <v>8.8137547558076321E-17</v>
      </c>
      <c r="AH90" s="33"/>
      <c r="AI90" s="33"/>
      <c r="AJ90" s="33"/>
      <c r="AK90" s="33"/>
      <c r="BL90" s="3">
        <v>80</v>
      </c>
      <c r="BM90" s="3">
        <v>-0.49999999999999989</v>
      </c>
      <c r="BN90" s="3">
        <v>-0.82699334313268813</v>
      </c>
    </row>
    <row r="91" spans="2:66" x14ac:dyDescent="0.2">
      <c r="X91" s="4">
        <v>28</v>
      </c>
      <c r="Y91" s="4">
        <v>1</v>
      </c>
      <c r="AB91" s="4">
        <v>25</v>
      </c>
      <c r="AC91" s="4">
        <v>8.8137547558076321E-17</v>
      </c>
      <c r="AH91" s="33"/>
      <c r="AI91" s="33"/>
      <c r="AJ91" s="33"/>
      <c r="AK91" s="33"/>
      <c r="BL91" s="3">
        <v>81</v>
      </c>
      <c r="BM91" s="3">
        <v>-0.50000000000000056</v>
      </c>
      <c r="BN91" s="3">
        <v>-0.80892155440806801</v>
      </c>
    </row>
    <row r="92" spans="2:66" x14ac:dyDescent="0.2">
      <c r="X92" s="4">
        <v>29</v>
      </c>
      <c r="Y92" s="4">
        <v>1</v>
      </c>
      <c r="AB92" s="4">
        <v>26</v>
      </c>
      <c r="AC92" s="4">
        <v>8.8137547558076321E-17</v>
      </c>
      <c r="AH92" s="33"/>
      <c r="AI92" s="33"/>
      <c r="AJ92" s="33"/>
      <c r="AK92" s="33"/>
      <c r="BL92" s="3">
        <v>82</v>
      </c>
      <c r="BM92" s="3">
        <v>-0.50000000000000056</v>
      </c>
      <c r="BN92" s="3">
        <v>-0.75549601211953732</v>
      </c>
    </row>
    <row r="93" spans="2:66" x14ac:dyDescent="0.2">
      <c r="X93" s="4">
        <v>30</v>
      </c>
      <c r="Y93" s="4">
        <v>1</v>
      </c>
      <c r="AB93" s="4">
        <v>27</v>
      </c>
      <c r="AC93" s="4">
        <v>8.8137547558076321E-17</v>
      </c>
      <c r="AH93" s="33"/>
      <c r="AI93" s="33"/>
      <c r="AJ93" s="33"/>
      <c r="AK93" s="33"/>
      <c r="BL93" s="3">
        <v>83</v>
      </c>
      <c r="BM93" s="3">
        <v>-0.50000000000000056</v>
      </c>
      <c r="BN93" s="3">
        <v>-0.66905166882929812</v>
      </c>
    </row>
    <row r="94" spans="2:66" x14ac:dyDescent="0.2">
      <c r="X94" s="4">
        <v>31</v>
      </c>
      <c r="Y94" s="4">
        <v>1</v>
      </c>
      <c r="AB94" s="4">
        <v>28</v>
      </c>
      <c r="AC94" s="4">
        <v>8.8137547558076321E-17</v>
      </c>
      <c r="AH94" s="33"/>
      <c r="AI94" s="33"/>
      <c r="AJ94" s="33"/>
      <c r="AK94" s="33"/>
      <c r="BL94" s="3">
        <v>84</v>
      </c>
      <c r="BM94" s="3">
        <v>-0.50000000000000056</v>
      </c>
      <c r="BN94" s="3">
        <v>-0.55336655714511562</v>
      </c>
    </row>
    <row r="95" spans="2:66" x14ac:dyDescent="0.2">
      <c r="X95" s="4">
        <v>32</v>
      </c>
      <c r="Y95" s="4">
        <v>1</v>
      </c>
      <c r="AB95" s="4">
        <v>29</v>
      </c>
      <c r="AC95" s="4">
        <v>8.8137547558076321E-17</v>
      </c>
      <c r="AH95" s="33"/>
      <c r="AI95" s="33"/>
      <c r="AJ95" s="33"/>
      <c r="AK95" s="33"/>
      <c r="BL95" s="3">
        <v>85</v>
      </c>
      <c r="BM95" s="3">
        <v>-0.50000000000000056</v>
      </c>
      <c r="BN95" s="3">
        <v>-0.41349667156634673</v>
      </c>
    </row>
    <row r="96" spans="2:66" x14ac:dyDescent="0.2">
      <c r="X96" s="4">
        <v>33</v>
      </c>
      <c r="Y96" s="4">
        <v>1</v>
      </c>
      <c r="AB96" s="4">
        <v>30</v>
      </c>
      <c r="AC96" s="4">
        <v>8.8137547558076321E-17</v>
      </c>
      <c r="AH96" s="33"/>
      <c r="AI96" s="33"/>
      <c r="AJ96" s="33"/>
      <c r="AK96" s="33"/>
      <c r="BL96" s="3">
        <v>86</v>
      </c>
      <c r="BM96" s="3">
        <v>-0.50000000000000056</v>
      </c>
      <c r="BN96" s="3">
        <v>-0.25555499726295483</v>
      </c>
    </row>
    <row r="97" spans="24:66" x14ac:dyDescent="0.2">
      <c r="X97" s="4">
        <v>34</v>
      </c>
      <c r="Y97" s="4">
        <v>1</v>
      </c>
      <c r="AB97" s="4">
        <v>31</v>
      </c>
      <c r="AC97" s="4">
        <v>8.8137547558076321E-17</v>
      </c>
      <c r="AH97" s="33"/>
      <c r="AI97" s="33"/>
      <c r="AJ97" s="33"/>
      <c r="AK97" s="33"/>
      <c r="BL97" s="3">
        <v>87</v>
      </c>
      <c r="BM97" s="3">
        <v>-0.50000000000000056</v>
      </c>
      <c r="BN97" s="3">
        <v>-8.6444343290240228E-2</v>
      </c>
    </row>
    <row r="98" spans="24:66" x14ac:dyDescent="0.2">
      <c r="X98" s="4">
        <v>35</v>
      </c>
      <c r="Y98" s="4">
        <v>1</v>
      </c>
      <c r="AB98" s="4">
        <v>32</v>
      </c>
      <c r="AC98" s="4">
        <v>8.8137547558076321E-17</v>
      </c>
      <c r="AH98" s="33"/>
      <c r="AI98" s="33"/>
      <c r="AJ98" s="33"/>
      <c r="AK98" s="33"/>
      <c r="BL98" s="3">
        <v>88</v>
      </c>
      <c r="BM98" s="3">
        <v>-0.50000000000000056</v>
      </c>
      <c r="BN98" s="3">
        <v>8.6444343290236092E-2</v>
      </c>
    </row>
    <row r="99" spans="24:66" x14ac:dyDescent="0.2">
      <c r="X99" s="4">
        <v>36</v>
      </c>
      <c r="Y99" s="4">
        <v>1</v>
      </c>
      <c r="AB99" s="4">
        <v>33</v>
      </c>
      <c r="AC99" s="4">
        <v>8.8137547558076321E-17</v>
      </c>
      <c r="AH99" s="33"/>
      <c r="AI99" s="33"/>
      <c r="AJ99" s="33"/>
      <c r="AK99" s="33"/>
      <c r="BL99" s="3">
        <v>89</v>
      </c>
      <c r="BM99" s="3">
        <v>-0.50000000000000056</v>
      </c>
      <c r="BN99" s="3">
        <v>0.25555499726295083</v>
      </c>
    </row>
    <row r="100" spans="24:66" x14ac:dyDescent="0.2">
      <c r="X100" s="4">
        <v>37</v>
      </c>
      <c r="Y100" s="4">
        <v>1</v>
      </c>
      <c r="AB100" s="4">
        <v>34</v>
      </c>
      <c r="AC100" s="4">
        <v>8.8137547558076321E-17</v>
      </c>
      <c r="AH100" s="33"/>
      <c r="AI100" s="33"/>
      <c r="AJ100" s="33"/>
      <c r="AK100" s="33"/>
      <c r="BL100" s="3">
        <v>90</v>
      </c>
      <c r="BM100" s="3">
        <v>-0.50000000000000056</v>
      </c>
      <c r="BN100" s="3">
        <v>0.41349667156634312</v>
      </c>
    </row>
    <row r="101" spans="24:66" x14ac:dyDescent="0.2">
      <c r="X101" s="4">
        <v>38</v>
      </c>
      <c r="Y101" s="4">
        <v>1</v>
      </c>
      <c r="AB101" s="4">
        <v>35</v>
      </c>
      <c r="AC101" s="4">
        <v>8.8137547558076321E-17</v>
      </c>
      <c r="AH101" s="33"/>
      <c r="AI101" s="33"/>
      <c r="AJ101" s="33"/>
      <c r="AK101" s="33"/>
      <c r="BL101" s="3">
        <v>91</v>
      </c>
      <c r="BM101" s="3">
        <v>0.99999999999999989</v>
      </c>
      <c r="BN101" s="3">
        <v>0.55336655714511263</v>
      </c>
    </row>
    <row r="102" spans="24:66" x14ac:dyDescent="0.2">
      <c r="X102" s="4">
        <v>39</v>
      </c>
      <c r="Y102" s="4">
        <v>1</v>
      </c>
      <c r="AB102" s="4">
        <v>36</v>
      </c>
      <c r="AC102" s="4">
        <v>8.8137547558076321E-17</v>
      </c>
      <c r="AH102" s="33"/>
      <c r="AI102" s="33"/>
      <c r="AJ102" s="33"/>
      <c r="AK102" s="33"/>
      <c r="BL102" s="3">
        <v>92</v>
      </c>
      <c r="BM102" s="3">
        <v>0.99999999999999989</v>
      </c>
      <c r="BN102" s="3">
        <v>0.66905166882929568</v>
      </c>
    </row>
    <row r="103" spans="24:66" x14ac:dyDescent="0.2">
      <c r="X103" s="4">
        <v>40</v>
      </c>
      <c r="Y103" s="4">
        <v>27</v>
      </c>
      <c r="AB103" s="4">
        <v>35.499999999999993</v>
      </c>
      <c r="AC103" s="4">
        <v>-0.86602540378443515</v>
      </c>
      <c r="AH103" s="33"/>
      <c r="AI103" s="33"/>
      <c r="AJ103" s="33"/>
      <c r="AK103" s="33"/>
      <c r="BL103" s="3">
        <v>93</v>
      </c>
      <c r="BM103" s="3">
        <v>0.99999999999999989</v>
      </c>
      <c r="BN103" s="3">
        <v>0.75549601211953554</v>
      </c>
    </row>
    <row r="104" spans="24:66" x14ac:dyDescent="0.2">
      <c r="X104" s="4">
        <v>41</v>
      </c>
      <c r="Y104" s="4">
        <v>1</v>
      </c>
      <c r="AB104" s="4">
        <v>36.499999999999993</v>
      </c>
      <c r="AC104" s="4">
        <v>-0.86602540378443515</v>
      </c>
      <c r="AH104" s="33"/>
      <c r="AI104" s="33"/>
      <c r="AJ104" s="33"/>
      <c r="AK104" s="33"/>
      <c r="BL104" s="3">
        <v>94</v>
      </c>
      <c r="BM104" s="3">
        <v>0.99999999999999989</v>
      </c>
      <c r="BN104" s="3">
        <v>0.80892155440806712</v>
      </c>
    </row>
    <row r="105" spans="24:66" x14ac:dyDescent="0.2">
      <c r="X105" s="4">
        <v>42</v>
      </c>
      <c r="AH105" s="33"/>
      <c r="AI105" s="33"/>
      <c r="AJ105" s="33"/>
      <c r="AK105" s="33"/>
      <c r="BL105" s="3">
        <v>95</v>
      </c>
      <c r="BM105" s="3">
        <v>0.99999999999999989</v>
      </c>
      <c r="BN105" s="3">
        <v>0.82699334313268813</v>
      </c>
    </row>
    <row r="106" spans="24:66" x14ac:dyDescent="0.2">
      <c r="X106" s="4">
        <v>43</v>
      </c>
      <c r="AH106" s="33"/>
      <c r="AI106" s="33"/>
      <c r="AJ106" s="33"/>
      <c r="AK106" s="33"/>
      <c r="BL106" s="3">
        <v>96</v>
      </c>
      <c r="BM106" s="3">
        <v>0.99999999999999989</v>
      </c>
      <c r="BN106" s="3">
        <v>0.80892155440806801</v>
      </c>
    </row>
    <row r="107" spans="24:66" x14ac:dyDescent="0.2">
      <c r="X107" s="4">
        <v>44</v>
      </c>
      <c r="AH107" s="33"/>
      <c r="AI107" s="33"/>
      <c r="AJ107" s="33"/>
      <c r="AK107" s="33"/>
      <c r="BL107" s="3">
        <v>97</v>
      </c>
      <c r="BM107" s="3">
        <v>0.99999999999999989</v>
      </c>
      <c r="BN107" s="3">
        <v>0.75549601211953732</v>
      </c>
    </row>
    <row r="108" spans="24:66" x14ac:dyDescent="0.2">
      <c r="X108" s="4">
        <v>45</v>
      </c>
      <c r="AH108" s="33"/>
      <c r="AI108" s="33"/>
      <c r="AJ108" s="33"/>
      <c r="AK108" s="33"/>
      <c r="BL108" s="3">
        <v>98</v>
      </c>
      <c r="BM108" s="3">
        <v>0.99999999999999989</v>
      </c>
      <c r="BN108" s="3">
        <v>0.66905166882929823</v>
      </c>
    </row>
    <row r="109" spans="24:66" x14ac:dyDescent="0.2">
      <c r="X109" s="4">
        <v>46</v>
      </c>
      <c r="AH109" s="60"/>
      <c r="AI109" s="60"/>
      <c r="AJ109" s="60"/>
      <c r="AK109" s="60"/>
      <c r="BL109" s="3">
        <v>99</v>
      </c>
      <c r="BM109" s="3">
        <v>0.99999999999999989</v>
      </c>
      <c r="BN109" s="3">
        <v>0.55336655714511573</v>
      </c>
    </row>
    <row r="110" spans="24:66" x14ac:dyDescent="0.2">
      <c r="X110" s="4">
        <v>47</v>
      </c>
      <c r="AH110" s="60"/>
      <c r="AI110" s="60"/>
      <c r="AJ110" s="60"/>
      <c r="AK110" s="60"/>
      <c r="BL110" s="3">
        <v>100</v>
      </c>
      <c r="BM110" s="3">
        <v>0.99999999999999989</v>
      </c>
      <c r="BN110" s="3">
        <v>0.41349667156634684</v>
      </c>
    </row>
    <row r="111" spans="24:66" x14ac:dyDescent="0.2">
      <c r="X111" s="4">
        <v>48</v>
      </c>
      <c r="AH111" s="60"/>
      <c r="AI111" s="60"/>
      <c r="AJ111" s="60"/>
      <c r="AK111" s="60"/>
      <c r="BL111" s="3">
        <v>101</v>
      </c>
      <c r="BM111" s="3">
        <v>-0.49999999999999989</v>
      </c>
      <c r="BN111" s="3">
        <v>0.25555499726295489</v>
      </c>
    </row>
    <row r="112" spans="24:66" x14ac:dyDescent="0.2">
      <c r="X112" s="4">
        <v>49</v>
      </c>
      <c r="AH112" s="60"/>
      <c r="AI112" s="60"/>
      <c r="AJ112" s="60"/>
      <c r="AK112" s="60"/>
      <c r="BL112" s="3">
        <v>102</v>
      </c>
      <c r="BM112" s="3">
        <v>-0.49999999999999989</v>
      </c>
      <c r="BN112" s="3">
        <v>8.6444343290240325E-2</v>
      </c>
    </row>
    <row r="113" spans="24:66" x14ac:dyDescent="0.2">
      <c r="X113" s="4">
        <v>50</v>
      </c>
      <c r="AH113" s="60"/>
      <c r="AI113" s="60"/>
      <c r="AJ113" s="60"/>
      <c r="AK113" s="60"/>
      <c r="BL113" s="3">
        <v>103</v>
      </c>
      <c r="BM113" s="3">
        <v>-0.49999999999999989</v>
      </c>
      <c r="BN113" s="3">
        <v>-8.6444343290235995E-2</v>
      </c>
    </row>
    <row r="114" spans="24:66" x14ac:dyDescent="0.2">
      <c r="X114" s="4">
        <v>51</v>
      </c>
      <c r="AH114" s="60"/>
      <c r="AI114" s="60"/>
      <c r="AJ114" s="60"/>
      <c r="AK114" s="60"/>
      <c r="BL114" s="3">
        <v>104</v>
      </c>
      <c r="BM114" s="3">
        <v>-0.49999999999999989</v>
      </c>
      <c r="BN114" s="3">
        <v>-0.25555499726295078</v>
      </c>
    </row>
    <row r="115" spans="24:66" x14ac:dyDescent="0.2">
      <c r="X115" s="4">
        <v>52</v>
      </c>
      <c r="AH115" s="60"/>
      <c r="AI115" s="60"/>
      <c r="AJ115" s="60"/>
      <c r="AK115" s="60"/>
      <c r="BL115" s="3">
        <v>105</v>
      </c>
      <c r="BM115" s="3">
        <v>-0.49999999999999989</v>
      </c>
      <c r="BN115" s="3">
        <v>-0.41349667156634301</v>
      </c>
    </row>
    <row r="116" spans="24:66" x14ac:dyDescent="0.2">
      <c r="X116" s="4">
        <v>53</v>
      </c>
      <c r="AH116" s="60"/>
      <c r="AI116" s="60"/>
      <c r="AJ116" s="60"/>
      <c r="AK116" s="60"/>
      <c r="BL116" s="3">
        <v>106</v>
      </c>
      <c r="BM116" s="3">
        <v>-0.49999999999999989</v>
      </c>
      <c r="BN116" s="3">
        <v>-0.55336655714511251</v>
      </c>
    </row>
    <row r="117" spans="24:66" x14ac:dyDescent="0.2">
      <c r="X117" s="4">
        <v>54</v>
      </c>
      <c r="AH117" s="60"/>
      <c r="AI117" s="60"/>
      <c r="AJ117" s="60"/>
      <c r="AK117" s="60"/>
      <c r="BL117" s="3">
        <v>107</v>
      </c>
      <c r="BM117" s="3">
        <v>-0.49999999999999989</v>
      </c>
      <c r="BN117" s="3">
        <v>-0.66905166882929568</v>
      </c>
    </row>
    <row r="118" spans="24:66" x14ac:dyDescent="0.2">
      <c r="X118" s="4">
        <v>55</v>
      </c>
      <c r="AH118" s="60"/>
      <c r="AI118" s="60"/>
      <c r="AJ118" s="60"/>
      <c r="AK118" s="60"/>
      <c r="BL118" s="3">
        <v>108</v>
      </c>
      <c r="BM118" s="3">
        <v>-0.49999999999999989</v>
      </c>
      <c r="BN118" s="3">
        <v>-0.75549601211953554</v>
      </c>
    </row>
    <row r="119" spans="24:66" x14ac:dyDescent="0.2">
      <c r="X119" s="4">
        <v>56</v>
      </c>
      <c r="AH119" s="60"/>
      <c r="AI119" s="60"/>
      <c r="AJ119" s="60"/>
      <c r="AK119" s="60"/>
      <c r="BL119" s="3">
        <v>109</v>
      </c>
      <c r="BM119" s="3">
        <v>-0.49999999999999989</v>
      </c>
      <c r="BN119" s="3">
        <v>-0.80892155440806701</v>
      </c>
    </row>
    <row r="120" spans="24:66" x14ac:dyDescent="0.2">
      <c r="X120" s="4">
        <v>57</v>
      </c>
      <c r="AH120" s="60"/>
      <c r="AI120" s="60"/>
      <c r="AJ120" s="60"/>
      <c r="AK120" s="60"/>
      <c r="BL120" s="3">
        <v>110</v>
      </c>
      <c r="BM120" s="3">
        <v>-0.49999999999999989</v>
      </c>
      <c r="BN120" s="3">
        <v>-0.82699334313268813</v>
      </c>
    </row>
    <row r="121" spans="24:66" x14ac:dyDescent="0.2">
      <c r="X121" s="4">
        <v>58</v>
      </c>
      <c r="AH121" s="60"/>
      <c r="AI121" s="60"/>
      <c r="AJ121" s="60"/>
      <c r="AK121" s="60"/>
      <c r="BL121" s="3">
        <v>111</v>
      </c>
      <c r="BM121" s="3">
        <v>-0.50000000000000056</v>
      </c>
      <c r="BN121" s="3">
        <v>-0.80892155440806801</v>
      </c>
    </row>
    <row r="122" spans="24:66" x14ac:dyDescent="0.2">
      <c r="X122" s="4">
        <v>59</v>
      </c>
      <c r="AH122" s="60"/>
      <c r="AI122" s="60"/>
      <c r="AJ122" s="60"/>
      <c r="AK122" s="60"/>
      <c r="BL122" s="3">
        <v>112</v>
      </c>
      <c r="BM122" s="3">
        <v>-0.50000000000000056</v>
      </c>
      <c r="BN122" s="3">
        <v>-0.75549601211953743</v>
      </c>
    </row>
    <row r="123" spans="24:66" x14ac:dyDescent="0.2">
      <c r="X123" s="4">
        <v>60</v>
      </c>
      <c r="AH123" s="60"/>
      <c r="AI123" s="60"/>
      <c r="AJ123" s="60"/>
      <c r="AK123" s="60"/>
      <c r="BL123" s="3">
        <v>113</v>
      </c>
      <c r="BM123" s="3">
        <v>-0.50000000000000056</v>
      </c>
      <c r="BN123" s="3">
        <v>-0.66905166882929823</v>
      </c>
    </row>
    <row r="124" spans="24:66" x14ac:dyDescent="0.2">
      <c r="X124" s="4">
        <v>61</v>
      </c>
      <c r="AH124" s="60"/>
      <c r="AI124" s="60"/>
      <c r="AJ124" s="60"/>
      <c r="AK124" s="60"/>
      <c r="BL124" s="3">
        <v>114</v>
      </c>
      <c r="BM124" s="3">
        <v>-0.50000000000000056</v>
      </c>
      <c r="BN124" s="3">
        <v>-0.55336655714511584</v>
      </c>
    </row>
    <row r="125" spans="24:66" x14ac:dyDescent="0.2">
      <c r="X125" s="4">
        <v>62</v>
      </c>
      <c r="AH125" s="60"/>
      <c r="AI125" s="60"/>
      <c r="AJ125" s="60"/>
      <c r="AK125" s="60"/>
      <c r="BL125" s="3">
        <v>115</v>
      </c>
      <c r="BM125" s="3">
        <v>-0.50000000000000056</v>
      </c>
      <c r="BN125" s="3">
        <v>-0.4134966715663469</v>
      </c>
    </row>
    <row r="126" spans="24:66" x14ac:dyDescent="0.2">
      <c r="X126" s="4">
        <v>63</v>
      </c>
      <c r="AH126" s="60"/>
      <c r="AI126" s="60"/>
      <c r="AJ126" s="60"/>
      <c r="AK126" s="60"/>
      <c r="BL126" s="3">
        <v>116</v>
      </c>
      <c r="BM126" s="3">
        <v>-0.50000000000000056</v>
      </c>
      <c r="BN126" s="3">
        <v>-0.25555499726295505</v>
      </c>
    </row>
    <row r="127" spans="24:66" x14ac:dyDescent="0.2">
      <c r="X127" s="4">
        <v>64</v>
      </c>
      <c r="AH127" s="60"/>
      <c r="AI127" s="60"/>
      <c r="AJ127" s="60"/>
      <c r="AK127" s="60"/>
      <c r="BL127" s="3">
        <v>117</v>
      </c>
      <c r="BM127" s="3">
        <v>-0.50000000000000056</v>
      </c>
      <c r="BN127" s="3">
        <v>-8.6444343290240422E-2</v>
      </c>
    </row>
    <row r="128" spans="24:66" x14ac:dyDescent="0.2">
      <c r="X128" s="4">
        <v>65</v>
      </c>
      <c r="AH128" s="60"/>
      <c r="AI128" s="60"/>
      <c r="AJ128" s="60"/>
      <c r="AK128" s="60"/>
      <c r="BL128" s="3">
        <v>118</v>
      </c>
      <c r="BM128" s="3">
        <v>-0.50000000000000056</v>
      </c>
      <c r="BN128" s="3">
        <v>8.6444343290235884E-2</v>
      </c>
    </row>
    <row r="129" spans="24:66" x14ac:dyDescent="0.2">
      <c r="X129" s="4">
        <v>66</v>
      </c>
      <c r="AH129" s="60"/>
      <c r="AI129" s="60"/>
      <c r="AJ129" s="60"/>
      <c r="AK129" s="60"/>
      <c r="BL129" s="3">
        <v>119</v>
      </c>
      <c r="BM129" s="3">
        <v>-0.50000000000000056</v>
      </c>
      <c r="BN129" s="3">
        <v>0.25555499726295067</v>
      </c>
    </row>
    <row r="130" spans="24:66" x14ac:dyDescent="0.2">
      <c r="X130" s="4">
        <v>67</v>
      </c>
      <c r="AH130" s="60"/>
      <c r="AI130" s="60"/>
      <c r="AJ130" s="60"/>
      <c r="AK130" s="60"/>
      <c r="BL130" s="3">
        <v>120</v>
      </c>
      <c r="BM130" s="3">
        <v>-0.50000000000000056</v>
      </c>
      <c r="BN130" s="3">
        <v>0.4134966715663429</v>
      </c>
    </row>
    <row r="131" spans="24:66" x14ac:dyDescent="0.2">
      <c r="X131" s="4">
        <v>68</v>
      </c>
      <c r="AH131" s="60"/>
      <c r="AI131" s="60"/>
      <c r="AJ131" s="60"/>
      <c r="AK131" s="60"/>
    </row>
    <row r="132" spans="24:66" x14ac:dyDescent="0.2">
      <c r="X132" s="4">
        <v>69</v>
      </c>
      <c r="AH132" s="60"/>
      <c r="AI132" s="60"/>
      <c r="AJ132" s="60"/>
      <c r="AK132" s="60"/>
    </row>
    <row r="133" spans="24:66" x14ac:dyDescent="0.2">
      <c r="X133" s="4">
        <v>70</v>
      </c>
      <c r="AH133" s="60"/>
      <c r="AI133" s="60"/>
      <c r="AJ133" s="60"/>
      <c r="AK133" s="60"/>
    </row>
    <row r="134" spans="24:66" x14ac:dyDescent="0.2">
      <c r="X134" s="4">
        <v>71</v>
      </c>
      <c r="AH134" s="60"/>
      <c r="AI134" s="60"/>
      <c r="AJ134" s="60"/>
      <c r="AK134" s="60"/>
    </row>
    <row r="135" spans="24:66" x14ac:dyDescent="0.2">
      <c r="X135" s="4">
        <v>72</v>
      </c>
      <c r="AH135" s="60"/>
      <c r="AI135" s="60"/>
      <c r="AJ135" s="60"/>
      <c r="AK135" s="60"/>
    </row>
    <row r="136" spans="24:66" x14ac:dyDescent="0.2">
      <c r="X136" s="4">
        <v>73</v>
      </c>
      <c r="AH136" s="60"/>
      <c r="AI136" s="60"/>
      <c r="AJ136" s="60"/>
      <c r="AK136" s="60"/>
    </row>
    <row r="137" spans="24:66" x14ac:dyDescent="0.2">
      <c r="X137" s="4">
        <v>74</v>
      </c>
      <c r="AH137" s="60"/>
      <c r="AI137" s="60"/>
      <c r="AJ137" s="60"/>
      <c r="AK137" s="60"/>
    </row>
    <row r="138" spans="24:66" x14ac:dyDescent="0.2">
      <c r="X138" s="4">
        <v>75</v>
      </c>
      <c r="AH138" s="60"/>
      <c r="AI138" s="60"/>
      <c r="AJ138" s="60"/>
      <c r="AK138" s="60"/>
    </row>
    <row r="139" spans="24:66" x14ac:dyDescent="0.2">
      <c r="X139" s="4">
        <v>76</v>
      </c>
      <c r="AH139" s="60"/>
      <c r="AI139" s="60"/>
      <c r="AJ139" s="60"/>
      <c r="AK139" s="60"/>
    </row>
    <row r="140" spans="24:66" x14ac:dyDescent="0.2">
      <c r="X140" s="4">
        <v>77</v>
      </c>
      <c r="AH140" s="60"/>
      <c r="AI140" s="60"/>
      <c r="AJ140" s="60"/>
      <c r="AK140" s="60"/>
    </row>
    <row r="141" spans="24:66" x14ac:dyDescent="0.2">
      <c r="X141" s="4">
        <v>78</v>
      </c>
      <c r="AH141" s="60"/>
      <c r="AI141" s="60"/>
      <c r="AJ141" s="60"/>
      <c r="AK141" s="60"/>
    </row>
    <row r="142" spans="24:66" x14ac:dyDescent="0.2">
      <c r="X142" s="4">
        <v>79</v>
      </c>
      <c r="AH142" s="60"/>
      <c r="AI142" s="60"/>
      <c r="AJ142" s="60"/>
      <c r="AK142" s="60"/>
    </row>
    <row r="143" spans="24:66" x14ac:dyDescent="0.2">
      <c r="X143" s="4">
        <v>80</v>
      </c>
      <c r="AH143" s="60"/>
      <c r="AI143" s="60"/>
      <c r="AJ143" s="60"/>
      <c r="AK143" s="60"/>
    </row>
    <row r="144" spans="24:66" x14ac:dyDescent="0.2">
      <c r="X144" s="4">
        <v>81</v>
      </c>
      <c r="AH144" s="60"/>
      <c r="AI144" s="60"/>
      <c r="AJ144" s="60"/>
      <c r="AK144" s="60"/>
    </row>
    <row r="145" spans="24:37" x14ac:dyDescent="0.2">
      <c r="X145" s="4">
        <v>82</v>
      </c>
      <c r="AH145" s="60"/>
      <c r="AI145" s="60"/>
      <c r="AJ145" s="60"/>
      <c r="AK145" s="60"/>
    </row>
    <row r="146" spans="24:37" x14ac:dyDescent="0.2">
      <c r="X146" s="4">
        <v>83</v>
      </c>
      <c r="AH146" s="60"/>
      <c r="AI146" s="60"/>
      <c r="AJ146" s="60"/>
      <c r="AK146" s="60"/>
    </row>
    <row r="147" spans="24:37" x14ac:dyDescent="0.2">
      <c r="X147" s="4">
        <v>84</v>
      </c>
      <c r="AH147" s="60"/>
      <c r="AI147" s="60"/>
      <c r="AJ147" s="60"/>
      <c r="AK147" s="60"/>
    </row>
    <row r="148" spans="24:37" x14ac:dyDescent="0.2">
      <c r="X148" s="4">
        <v>85</v>
      </c>
      <c r="AH148" s="60"/>
      <c r="AI148" s="60"/>
      <c r="AJ148" s="60"/>
      <c r="AK148" s="60"/>
    </row>
    <row r="149" spans="24:37" x14ac:dyDescent="0.2">
      <c r="X149" s="4">
        <v>86</v>
      </c>
      <c r="AH149" s="60"/>
      <c r="AI149" s="60"/>
      <c r="AJ149" s="60"/>
      <c r="AK149" s="60"/>
    </row>
    <row r="150" spans="24:37" x14ac:dyDescent="0.2">
      <c r="X150" s="4">
        <v>87</v>
      </c>
      <c r="AH150" s="60"/>
      <c r="AI150" s="60"/>
      <c r="AJ150" s="60"/>
      <c r="AK150" s="60"/>
    </row>
    <row r="151" spans="24:37" x14ac:dyDescent="0.2">
      <c r="X151" s="4">
        <v>88</v>
      </c>
      <c r="AH151" s="60"/>
      <c r="AI151" s="60"/>
      <c r="AJ151" s="60"/>
      <c r="AK151" s="60"/>
    </row>
    <row r="152" spans="24:37" x14ac:dyDescent="0.2">
      <c r="X152" s="4">
        <v>89</v>
      </c>
      <c r="AH152" s="60"/>
      <c r="AI152" s="60"/>
      <c r="AJ152" s="60"/>
      <c r="AK152" s="60"/>
    </row>
    <row r="153" spans="24:37" x14ac:dyDescent="0.2">
      <c r="X153" s="4">
        <v>90</v>
      </c>
      <c r="AH153" s="60"/>
      <c r="AI153" s="60"/>
      <c r="AJ153" s="60"/>
      <c r="AK153" s="60"/>
    </row>
    <row r="154" spans="24:37" x14ac:dyDescent="0.2">
      <c r="X154" s="4">
        <v>91</v>
      </c>
      <c r="AH154" s="60"/>
      <c r="AI154" s="60"/>
      <c r="AJ154" s="60"/>
      <c r="AK154" s="60"/>
    </row>
    <row r="155" spans="24:37" x14ac:dyDescent="0.2">
      <c r="X155" s="4">
        <v>92</v>
      </c>
      <c r="AH155" s="60"/>
      <c r="AI155" s="60"/>
      <c r="AJ155" s="60"/>
      <c r="AK155" s="60"/>
    </row>
    <row r="156" spans="24:37" x14ac:dyDescent="0.2">
      <c r="X156" s="4">
        <v>93</v>
      </c>
      <c r="AH156" s="60"/>
      <c r="AI156" s="60"/>
      <c r="AJ156" s="60"/>
      <c r="AK156" s="60"/>
    </row>
    <row r="157" spans="24:37" x14ac:dyDescent="0.2">
      <c r="X157" s="4">
        <v>94</v>
      </c>
      <c r="AH157" s="60"/>
      <c r="AI157" s="60"/>
      <c r="AJ157" s="60"/>
      <c r="AK157" s="60"/>
    </row>
    <row r="158" spans="24:37" x14ac:dyDescent="0.2">
      <c r="X158" s="4">
        <v>95</v>
      </c>
      <c r="AH158" s="60"/>
      <c r="AI158" s="60"/>
      <c r="AJ158" s="60"/>
      <c r="AK158" s="60"/>
    </row>
    <row r="159" spans="24:37" x14ac:dyDescent="0.2">
      <c r="X159" s="4">
        <v>96</v>
      </c>
      <c r="AH159" s="60"/>
      <c r="AI159" s="60"/>
      <c r="AJ159" s="60"/>
      <c r="AK159" s="60"/>
    </row>
    <row r="160" spans="24:37" x14ac:dyDescent="0.2">
      <c r="X160" s="4">
        <v>97</v>
      </c>
      <c r="AH160" s="60"/>
      <c r="AI160" s="60"/>
      <c r="AJ160" s="60"/>
      <c r="AK160" s="60"/>
    </row>
    <row r="161" spans="24:37" x14ac:dyDescent="0.2">
      <c r="X161" s="4">
        <v>98</v>
      </c>
      <c r="AH161" s="60"/>
      <c r="AI161" s="60"/>
      <c r="AJ161" s="60"/>
      <c r="AK161" s="60"/>
    </row>
    <row r="162" spans="24:37" x14ac:dyDescent="0.2">
      <c r="X162" s="4">
        <v>99</v>
      </c>
      <c r="AH162" s="60"/>
      <c r="AI162" s="60"/>
      <c r="AJ162" s="60"/>
      <c r="AK162" s="60"/>
    </row>
    <row r="163" spans="24:37" x14ac:dyDescent="0.2">
      <c r="X163" s="4">
        <v>100</v>
      </c>
      <c r="AH163" s="60"/>
      <c r="AI163" s="60"/>
      <c r="AJ163" s="60"/>
      <c r="AK163" s="60"/>
    </row>
    <row r="164" spans="24:37" x14ac:dyDescent="0.2">
      <c r="AH164" s="60"/>
      <c r="AI164" s="60"/>
      <c r="AJ164" s="60"/>
      <c r="AK164" s="60"/>
    </row>
    <row r="165" spans="24:37" x14ac:dyDescent="0.2">
      <c r="AH165" s="60"/>
      <c r="AI165" s="60"/>
      <c r="AJ165" s="60"/>
      <c r="AK165" s="60"/>
    </row>
    <row r="166" spans="24:37" x14ac:dyDescent="0.2">
      <c r="AH166" s="60"/>
      <c r="AI166" s="60"/>
      <c r="AJ166" s="60"/>
      <c r="AK166" s="60"/>
    </row>
    <row r="167" spans="24:37" x14ac:dyDescent="0.2">
      <c r="AH167" s="60"/>
      <c r="AI167" s="60"/>
      <c r="AJ167" s="60"/>
      <c r="AK167" s="60"/>
    </row>
    <row r="168" spans="24:37" x14ac:dyDescent="0.2">
      <c r="AH168" s="60"/>
      <c r="AI168" s="60"/>
      <c r="AJ168" s="60"/>
      <c r="AK168" s="60"/>
    </row>
    <row r="169" spans="24:37" x14ac:dyDescent="0.2">
      <c r="AH169" s="60"/>
      <c r="AI169" s="60"/>
      <c r="AJ169" s="60"/>
      <c r="AK169" s="60"/>
    </row>
    <row r="170" spans="24:37" x14ac:dyDescent="0.2">
      <c r="AH170" s="60"/>
      <c r="AI170" s="60"/>
      <c r="AJ170" s="60"/>
      <c r="AK170" s="60"/>
    </row>
    <row r="171" spans="24:37" x14ac:dyDescent="0.2">
      <c r="AH171" s="60"/>
      <c r="AI171" s="60"/>
      <c r="AJ171" s="60"/>
      <c r="AK171" s="60"/>
    </row>
    <row r="172" spans="24:37" x14ac:dyDescent="0.2">
      <c r="AH172" s="60"/>
      <c r="AI172" s="60"/>
      <c r="AJ172" s="60"/>
      <c r="AK172" s="60"/>
    </row>
    <row r="173" spans="24:37" x14ac:dyDescent="0.2">
      <c r="AH173" s="60"/>
      <c r="AI173" s="60"/>
      <c r="AJ173" s="60"/>
      <c r="AK173" s="60"/>
    </row>
    <row r="174" spans="24:37" x14ac:dyDescent="0.2">
      <c r="AH174" s="60"/>
      <c r="AI174" s="60"/>
      <c r="AJ174" s="60"/>
      <c r="AK174" s="60"/>
    </row>
    <row r="175" spans="24:37" x14ac:dyDescent="0.2">
      <c r="AH175" s="60"/>
      <c r="AI175" s="60"/>
      <c r="AJ175" s="60"/>
      <c r="AK175" s="60"/>
    </row>
    <row r="176" spans="24:37" x14ac:dyDescent="0.2">
      <c r="AH176" s="60"/>
      <c r="AI176" s="60"/>
      <c r="AJ176" s="60"/>
      <c r="AK176" s="60"/>
    </row>
    <row r="177" spans="34:37" x14ac:dyDescent="0.2">
      <c r="AH177" s="60"/>
      <c r="AI177" s="60"/>
      <c r="AJ177" s="60"/>
      <c r="AK177" s="60"/>
    </row>
    <row r="178" spans="34:37" x14ac:dyDescent="0.2">
      <c r="AH178" s="60"/>
      <c r="AI178" s="60"/>
      <c r="AJ178" s="60"/>
      <c r="AK178" s="60"/>
    </row>
    <row r="179" spans="34:37" x14ac:dyDescent="0.2">
      <c r="AH179" s="60"/>
      <c r="AI179" s="60"/>
      <c r="AJ179" s="60"/>
      <c r="AK179" s="60"/>
    </row>
    <row r="180" spans="34:37" x14ac:dyDescent="0.2">
      <c r="AH180" s="60"/>
      <c r="AI180" s="60"/>
      <c r="AJ180" s="60"/>
      <c r="AK180" s="60"/>
    </row>
    <row r="181" spans="34:37" x14ac:dyDescent="0.2">
      <c r="AH181" s="60"/>
      <c r="AI181" s="60"/>
      <c r="AJ181" s="60"/>
      <c r="AK181" s="60"/>
    </row>
    <row r="182" spans="34:37" x14ac:dyDescent="0.2">
      <c r="AH182" s="60"/>
      <c r="AI182" s="60"/>
      <c r="AJ182" s="60"/>
      <c r="AK182" s="60"/>
    </row>
    <row r="183" spans="34:37" x14ac:dyDescent="0.2">
      <c r="AH183" s="60"/>
      <c r="AI183" s="60"/>
      <c r="AJ183" s="60"/>
      <c r="AK183" s="60"/>
    </row>
    <row r="184" spans="34:37" x14ac:dyDescent="0.2">
      <c r="AH184" s="60"/>
      <c r="AI184" s="60"/>
      <c r="AJ184" s="60"/>
      <c r="AK184" s="60"/>
    </row>
    <row r="185" spans="34:37" x14ac:dyDescent="0.2">
      <c r="AH185" s="60"/>
      <c r="AI185" s="60"/>
      <c r="AJ185" s="60"/>
      <c r="AK185" s="60"/>
    </row>
    <row r="186" spans="34:37" x14ac:dyDescent="0.2">
      <c r="AH186" s="60"/>
      <c r="AI186" s="60"/>
      <c r="AJ186" s="60"/>
      <c r="AK186" s="60"/>
    </row>
    <row r="187" spans="34:37" x14ac:dyDescent="0.2">
      <c r="AH187" s="60"/>
      <c r="AI187" s="60"/>
      <c r="AJ187" s="60"/>
      <c r="AK187" s="60"/>
    </row>
    <row r="188" spans="34:37" x14ac:dyDescent="0.2">
      <c r="AH188" s="60"/>
      <c r="AI188" s="60"/>
      <c r="AJ188" s="60"/>
      <c r="AK188" s="60"/>
    </row>
    <row r="189" spans="34:37" x14ac:dyDescent="0.2">
      <c r="AH189" s="60"/>
      <c r="AI189" s="60"/>
      <c r="AJ189" s="60"/>
      <c r="AK189" s="60"/>
    </row>
    <row r="190" spans="34:37" x14ac:dyDescent="0.2">
      <c r="AH190" s="60"/>
      <c r="AI190" s="60"/>
      <c r="AJ190" s="60"/>
      <c r="AK190" s="60"/>
    </row>
    <row r="191" spans="34:37" x14ac:dyDescent="0.2">
      <c r="AH191" s="60"/>
      <c r="AI191" s="60"/>
      <c r="AJ191" s="60"/>
      <c r="AK191" s="60"/>
    </row>
    <row r="192" spans="34:37" x14ac:dyDescent="0.2">
      <c r="AH192" s="60"/>
      <c r="AI192" s="60"/>
      <c r="AJ192" s="60"/>
      <c r="AK192" s="60"/>
    </row>
    <row r="193" spans="34:37" x14ac:dyDescent="0.2">
      <c r="AH193" s="60"/>
      <c r="AI193" s="60"/>
      <c r="AJ193" s="60"/>
      <c r="AK193" s="60"/>
    </row>
    <row r="194" spans="34:37" x14ac:dyDescent="0.2">
      <c r="AH194" s="60"/>
      <c r="AI194" s="60"/>
      <c r="AJ194" s="60"/>
      <c r="AK194" s="60"/>
    </row>
    <row r="195" spans="34:37" x14ac:dyDescent="0.2">
      <c r="AH195" s="60"/>
      <c r="AI195" s="60"/>
      <c r="AJ195" s="60"/>
      <c r="AK195" s="60"/>
    </row>
    <row r="196" spans="34:37" x14ac:dyDescent="0.2">
      <c r="AH196" s="60"/>
      <c r="AI196" s="60"/>
      <c r="AJ196" s="60"/>
      <c r="AK196" s="60"/>
    </row>
    <row r="197" spans="34:37" x14ac:dyDescent="0.2">
      <c r="AH197" s="60"/>
      <c r="AI197" s="60"/>
      <c r="AJ197" s="60"/>
      <c r="AK197" s="60"/>
    </row>
    <row r="198" spans="34:37" x14ac:dyDescent="0.2">
      <c r="AH198" s="60"/>
      <c r="AI198" s="60"/>
      <c r="AJ198" s="60"/>
      <c r="AK198" s="60"/>
    </row>
    <row r="199" spans="34:37" x14ac:dyDescent="0.2">
      <c r="AH199" s="60"/>
      <c r="AI199" s="60"/>
      <c r="AJ199" s="60"/>
      <c r="AK199" s="60"/>
    </row>
    <row r="200" spans="34:37" x14ac:dyDescent="0.2">
      <c r="AH200" s="60"/>
      <c r="AI200" s="60"/>
      <c r="AJ200" s="60"/>
      <c r="AK200" s="60"/>
    </row>
    <row r="201" spans="34:37" x14ac:dyDescent="0.2">
      <c r="AH201" s="60"/>
      <c r="AI201" s="60"/>
      <c r="AJ201" s="60"/>
      <c r="AK201" s="60"/>
    </row>
    <row r="202" spans="34:37" x14ac:dyDescent="0.2">
      <c r="AH202" s="60"/>
      <c r="AI202" s="60"/>
      <c r="AJ202" s="60"/>
      <c r="AK202" s="60"/>
    </row>
    <row r="203" spans="34:37" x14ac:dyDescent="0.2">
      <c r="AH203" s="60"/>
      <c r="AI203" s="60"/>
      <c r="AJ203" s="60"/>
      <c r="AK203" s="60"/>
    </row>
    <row r="204" spans="34:37" x14ac:dyDescent="0.2">
      <c r="AH204" s="60"/>
      <c r="AI204" s="60"/>
      <c r="AJ204" s="60"/>
      <c r="AK204" s="60"/>
    </row>
    <row r="205" spans="34:37" x14ac:dyDescent="0.2">
      <c r="AH205" s="60"/>
      <c r="AI205" s="60"/>
      <c r="AJ205" s="60"/>
      <c r="AK205" s="60"/>
    </row>
    <row r="206" spans="34:37" x14ac:dyDescent="0.2">
      <c r="AH206" s="60"/>
      <c r="AI206" s="60"/>
      <c r="AJ206" s="60"/>
      <c r="AK206" s="60"/>
    </row>
    <row r="207" spans="34:37" x14ac:dyDescent="0.2">
      <c r="AH207" s="60"/>
      <c r="AI207" s="60"/>
      <c r="AJ207" s="60"/>
      <c r="AK207" s="60"/>
    </row>
    <row r="208" spans="34:37" x14ac:dyDescent="0.2">
      <c r="AH208" s="60"/>
      <c r="AI208" s="60"/>
      <c r="AJ208" s="60"/>
      <c r="AK208" s="60"/>
    </row>
    <row r="209" spans="34:37" x14ac:dyDescent="0.2">
      <c r="AH209" s="60"/>
      <c r="AI209" s="60"/>
      <c r="AJ209" s="60"/>
      <c r="AK209" s="60"/>
    </row>
    <row r="210" spans="34:37" x14ac:dyDescent="0.2">
      <c r="AH210" s="60"/>
      <c r="AI210" s="60"/>
      <c r="AJ210" s="60"/>
      <c r="AK210" s="60"/>
    </row>
    <row r="211" spans="34:37" x14ac:dyDescent="0.2">
      <c r="AH211" s="60"/>
      <c r="AI211" s="60"/>
      <c r="AJ211" s="60"/>
      <c r="AK211" s="60"/>
    </row>
    <row r="212" spans="34:37" x14ac:dyDescent="0.2">
      <c r="AH212" s="60"/>
      <c r="AI212" s="60"/>
      <c r="AJ212" s="60"/>
      <c r="AK212" s="60"/>
    </row>
    <row r="213" spans="34:37" x14ac:dyDescent="0.2">
      <c r="AH213" s="60"/>
      <c r="AI213" s="60"/>
      <c r="AJ213" s="60"/>
      <c r="AK213" s="60"/>
    </row>
    <row r="214" spans="34:37" x14ac:dyDescent="0.2">
      <c r="AH214" s="60"/>
      <c r="AI214" s="60"/>
      <c r="AJ214" s="60"/>
      <c r="AK214" s="60"/>
    </row>
    <row r="215" spans="34:37" x14ac:dyDescent="0.2">
      <c r="AH215" s="60"/>
      <c r="AI215" s="60"/>
      <c r="AJ215" s="60"/>
      <c r="AK215" s="60"/>
    </row>
    <row r="216" spans="34:37" x14ac:dyDescent="0.2">
      <c r="AH216" s="60"/>
      <c r="AI216" s="60"/>
      <c r="AJ216" s="60"/>
      <c r="AK216" s="60"/>
    </row>
    <row r="217" spans="34:37" x14ac:dyDescent="0.2">
      <c r="AH217" s="60"/>
      <c r="AI217" s="60"/>
      <c r="AJ217" s="60"/>
      <c r="AK217" s="60"/>
    </row>
    <row r="218" spans="34:37" x14ac:dyDescent="0.2">
      <c r="AH218" s="60"/>
      <c r="AI218" s="60"/>
      <c r="AJ218" s="60"/>
      <c r="AK218" s="60"/>
    </row>
    <row r="219" spans="34:37" x14ac:dyDescent="0.2">
      <c r="AH219" s="60"/>
      <c r="AI219" s="60"/>
      <c r="AJ219" s="60"/>
      <c r="AK219" s="60"/>
    </row>
    <row r="220" spans="34:37" x14ac:dyDescent="0.2">
      <c r="AH220" s="60"/>
      <c r="AI220" s="60"/>
      <c r="AJ220" s="60"/>
      <c r="AK220" s="60"/>
    </row>
    <row r="221" spans="34:37" x14ac:dyDescent="0.2">
      <c r="AH221" s="60"/>
      <c r="AI221" s="60"/>
      <c r="AJ221" s="60"/>
      <c r="AK221" s="60"/>
    </row>
    <row r="222" spans="34:37" x14ac:dyDescent="0.2">
      <c r="AH222" s="60"/>
      <c r="AI222" s="60"/>
      <c r="AJ222" s="60"/>
      <c r="AK222" s="60"/>
    </row>
    <row r="223" spans="34:37" x14ac:dyDescent="0.2">
      <c r="AH223" s="60"/>
      <c r="AI223" s="60"/>
      <c r="AJ223" s="60"/>
      <c r="AK223" s="60"/>
    </row>
    <row r="224" spans="34:37" x14ac:dyDescent="0.2">
      <c r="AH224" s="60"/>
      <c r="AI224" s="60"/>
      <c r="AJ224" s="60"/>
      <c r="AK224" s="60"/>
    </row>
    <row r="225" spans="34:37" x14ac:dyDescent="0.2">
      <c r="AH225" s="60"/>
      <c r="AI225" s="60"/>
      <c r="AJ225" s="60"/>
      <c r="AK225" s="60"/>
    </row>
    <row r="226" spans="34:37" x14ac:dyDescent="0.2">
      <c r="AH226" s="60"/>
      <c r="AI226" s="60"/>
      <c r="AJ226" s="60"/>
      <c r="AK226" s="60"/>
    </row>
    <row r="227" spans="34:37" x14ac:dyDescent="0.2">
      <c r="AH227" s="60"/>
      <c r="AI227" s="60"/>
      <c r="AJ227" s="60"/>
      <c r="AK227" s="60"/>
    </row>
    <row r="228" spans="34:37" x14ac:dyDescent="0.2">
      <c r="AH228" s="60"/>
      <c r="AI228" s="60"/>
      <c r="AJ228" s="60"/>
      <c r="AK228" s="60"/>
    </row>
    <row r="229" spans="34:37" x14ac:dyDescent="0.2">
      <c r="AH229" s="60"/>
      <c r="AI229" s="60"/>
      <c r="AJ229" s="60"/>
      <c r="AK229" s="60"/>
    </row>
    <row r="230" spans="34:37" x14ac:dyDescent="0.2">
      <c r="AH230" s="60"/>
      <c r="AI230" s="60"/>
      <c r="AJ230" s="60"/>
      <c r="AK230" s="60"/>
    </row>
    <row r="231" spans="34:37" x14ac:dyDescent="0.2">
      <c r="AH231" s="60"/>
      <c r="AI231" s="60"/>
      <c r="AJ231" s="60"/>
      <c r="AK231" s="60"/>
    </row>
    <row r="232" spans="34:37" x14ac:dyDescent="0.2">
      <c r="AH232" s="60"/>
      <c r="AI232" s="60"/>
      <c r="AJ232" s="60"/>
      <c r="AK232" s="60"/>
    </row>
    <row r="233" spans="34:37" x14ac:dyDescent="0.2">
      <c r="AH233" s="60"/>
      <c r="AI233" s="60"/>
      <c r="AJ233" s="60"/>
      <c r="AK233" s="60"/>
    </row>
    <row r="234" spans="34:37" x14ac:dyDescent="0.2">
      <c r="AH234" s="60"/>
      <c r="AI234" s="60"/>
      <c r="AJ234" s="60"/>
      <c r="AK234" s="60"/>
    </row>
    <row r="235" spans="34:37" x14ac:dyDescent="0.2">
      <c r="AH235" s="60"/>
      <c r="AI235" s="60"/>
      <c r="AJ235" s="60"/>
      <c r="AK235" s="60"/>
    </row>
    <row r="236" spans="34:37" x14ac:dyDescent="0.2">
      <c r="AH236" s="60"/>
      <c r="AI236" s="60"/>
      <c r="AJ236" s="60"/>
      <c r="AK236" s="60"/>
    </row>
    <row r="237" spans="34:37" x14ac:dyDescent="0.2">
      <c r="AH237" s="60"/>
      <c r="AI237" s="60"/>
      <c r="AJ237" s="60"/>
      <c r="AK237" s="60"/>
    </row>
    <row r="238" spans="34:37" x14ac:dyDescent="0.2">
      <c r="AH238" s="60"/>
      <c r="AI238" s="60"/>
      <c r="AJ238" s="60"/>
      <c r="AK238" s="60"/>
    </row>
    <row r="239" spans="34:37" x14ac:dyDescent="0.2">
      <c r="AH239" s="60"/>
      <c r="AI239" s="60"/>
      <c r="AJ239" s="60"/>
      <c r="AK239" s="60"/>
    </row>
    <row r="240" spans="34:37" x14ac:dyDescent="0.2">
      <c r="AH240" s="60"/>
      <c r="AI240" s="60"/>
      <c r="AJ240" s="60"/>
      <c r="AK240" s="60"/>
    </row>
    <row r="241" spans="34:37" x14ac:dyDescent="0.2">
      <c r="AH241" s="60"/>
      <c r="AI241" s="60"/>
      <c r="AJ241" s="60"/>
      <c r="AK241" s="60"/>
    </row>
    <row r="242" spans="34:37" x14ac:dyDescent="0.2">
      <c r="AH242" s="60"/>
      <c r="AI242" s="60"/>
      <c r="AJ242" s="60"/>
      <c r="AK242" s="60"/>
    </row>
    <row r="243" spans="34:37" x14ac:dyDescent="0.2">
      <c r="AH243" s="60"/>
      <c r="AI243" s="60"/>
      <c r="AJ243" s="60"/>
      <c r="AK243" s="60"/>
    </row>
    <row r="244" spans="34:37" x14ac:dyDescent="0.2">
      <c r="AH244" s="60"/>
      <c r="AI244" s="60"/>
      <c r="AJ244" s="60"/>
      <c r="AK244" s="60"/>
    </row>
    <row r="245" spans="34:37" x14ac:dyDescent="0.2">
      <c r="AH245" s="60"/>
      <c r="AI245" s="60"/>
      <c r="AJ245" s="60"/>
      <c r="AK245" s="60"/>
    </row>
    <row r="246" spans="34:37" x14ac:dyDescent="0.2">
      <c r="AH246" s="60"/>
      <c r="AI246" s="60"/>
      <c r="AJ246" s="60"/>
      <c r="AK246" s="60"/>
    </row>
    <row r="247" spans="34:37" x14ac:dyDescent="0.2">
      <c r="AH247" s="60"/>
      <c r="AI247" s="60"/>
      <c r="AJ247" s="60"/>
      <c r="AK247" s="60"/>
    </row>
    <row r="248" spans="34:37" x14ac:dyDescent="0.2">
      <c r="AH248" s="60"/>
      <c r="AI248" s="60"/>
      <c r="AJ248" s="60"/>
      <c r="AK248" s="60"/>
    </row>
    <row r="249" spans="34:37" x14ac:dyDescent="0.2">
      <c r="AH249" s="60"/>
      <c r="AI249" s="60"/>
      <c r="AJ249" s="60"/>
      <c r="AK249" s="60"/>
    </row>
    <row r="250" spans="34:37" x14ac:dyDescent="0.2">
      <c r="AH250" s="60"/>
      <c r="AI250" s="60"/>
      <c r="AJ250" s="60"/>
      <c r="AK250" s="60"/>
    </row>
    <row r="251" spans="34:37" x14ac:dyDescent="0.2">
      <c r="AH251" s="60"/>
      <c r="AI251" s="60"/>
      <c r="AJ251" s="60"/>
      <c r="AK251" s="60"/>
    </row>
    <row r="252" spans="34:37" x14ac:dyDescent="0.2">
      <c r="AH252" s="60"/>
      <c r="AI252" s="60"/>
      <c r="AJ252" s="60"/>
      <c r="AK252" s="60"/>
    </row>
    <row r="253" spans="34:37" x14ac:dyDescent="0.2">
      <c r="AH253" s="60"/>
      <c r="AI253" s="60"/>
      <c r="AJ253" s="60"/>
      <c r="AK253" s="60"/>
    </row>
    <row r="254" spans="34:37" x14ac:dyDescent="0.2">
      <c r="AH254" s="60"/>
      <c r="AI254" s="60"/>
      <c r="AJ254" s="60"/>
      <c r="AK254" s="60"/>
    </row>
    <row r="255" spans="34:37" x14ac:dyDescent="0.2">
      <c r="AH255" s="60"/>
      <c r="AI255" s="60"/>
      <c r="AJ255" s="60"/>
      <c r="AK255" s="60"/>
    </row>
    <row r="256" spans="34:37" x14ac:dyDescent="0.2">
      <c r="AH256" s="60"/>
      <c r="AI256" s="60"/>
      <c r="AJ256" s="60"/>
      <c r="AK256" s="60"/>
    </row>
    <row r="257" spans="34:37" x14ac:dyDescent="0.2">
      <c r="AH257" s="60"/>
      <c r="AI257" s="60"/>
      <c r="AJ257" s="60"/>
      <c r="AK257" s="60"/>
    </row>
    <row r="258" spans="34:37" x14ac:dyDescent="0.2">
      <c r="AH258" s="60"/>
      <c r="AI258" s="60"/>
      <c r="AJ258" s="60"/>
      <c r="AK258" s="60"/>
    </row>
    <row r="259" spans="34:37" x14ac:dyDescent="0.2">
      <c r="AH259" s="60"/>
      <c r="AI259" s="60"/>
      <c r="AJ259" s="60"/>
      <c r="AK259" s="60"/>
    </row>
    <row r="260" spans="34:37" x14ac:dyDescent="0.2">
      <c r="AH260" s="60"/>
      <c r="AI260" s="60"/>
      <c r="AJ260" s="60"/>
      <c r="AK260" s="60"/>
    </row>
    <row r="261" spans="34:37" x14ac:dyDescent="0.2">
      <c r="AH261" s="60"/>
      <c r="AI261" s="60"/>
      <c r="AJ261" s="60"/>
      <c r="AK261" s="60"/>
    </row>
    <row r="262" spans="34:37" x14ac:dyDescent="0.2">
      <c r="AH262" s="60"/>
      <c r="AI262" s="60"/>
      <c r="AJ262" s="60"/>
      <c r="AK262" s="60"/>
    </row>
    <row r="263" spans="34:37" x14ac:dyDescent="0.2">
      <c r="AH263" s="60"/>
      <c r="AI263" s="60"/>
      <c r="AJ263" s="60"/>
      <c r="AK263" s="60"/>
    </row>
    <row r="264" spans="34:37" x14ac:dyDescent="0.2">
      <c r="AH264" s="60"/>
      <c r="AI264" s="60"/>
      <c r="AJ264" s="60"/>
      <c r="AK264" s="60"/>
    </row>
    <row r="265" spans="34:37" x14ac:dyDescent="0.2">
      <c r="AH265" s="60"/>
      <c r="AI265" s="60"/>
      <c r="AJ265" s="60"/>
      <c r="AK265" s="60"/>
    </row>
    <row r="266" spans="34:37" x14ac:dyDescent="0.2">
      <c r="AH266" s="60"/>
      <c r="AI266" s="60"/>
      <c r="AJ266" s="60"/>
      <c r="AK266" s="60"/>
    </row>
    <row r="267" spans="34:37" x14ac:dyDescent="0.2">
      <c r="AH267" s="60"/>
      <c r="AI267" s="60"/>
      <c r="AJ267" s="60"/>
      <c r="AK267" s="60"/>
    </row>
    <row r="268" spans="34:37" x14ac:dyDescent="0.2">
      <c r="AH268" s="60"/>
      <c r="AI268" s="60"/>
      <c r="AJ268" s="60"/>
      <c r="AK268" s="60"/>
    </row>
    <row r="269" spans="34:37" x14ac:dyDescent="0.2">
      <c r="AH269" s="60"/>
      <c r="AI269" s="60"/>
      <c r="AJ269" s="60"/>
      <c r="AK269" s="60"/>
    </row>
    <row r="270" spans="34:37" x14ac:dyDescent="0.2">
      <c r="AH270" s="60"/>
      <c r="AI270" s="60"/>
      <c r="AJ270" s="60"/>
      <c r="AK270" s="60"/>
    </row>
    <row r="271" spans="34:37" x14ac:dyDescent="0.2">
      <c r="AH271" s="60"/>
      <c r="AI271" s="60"/>
      <c r="AJ271" s="60"/>
      <c r="AK271" s="60"/>
    </row>
    <row r="272" spans="34:37" x14ac:dyDescent="0.2">
      <c r="AH272" s="60"/>
      <c r="AI272" s="60"/>
      <c r="AJ272" s="60"/>
      <c r="AK272" s="60"/>
    </row>
    <row r="273" spans="34:37" x14ac:dyDescent="0.2">
      <c r="AH273" s="60"/>
      <c r="AI273" s="60"/>
      <c r="AJ273" s="60"/>
      <c r="AK273" s="60"/>
    </row>
    <row r="274" spans="34:37" x14ac:dyDescent="0.2">
      <c r="AH274" s="60"/>
      <c r="AI274" s="60"/>
      <c r="AJ274" s="60"/>
      <c r="AK274" s="60"/>
    </row>
    <row r="275" spans="34:37" x14ac:dyDescent="0.2">
      <c r="AH275" s="60"/>
      <c r="AI275" s="60"/>
      <c r="AJ275" s="60"/>
      <c r="AK275" s="60"/>
    </row>
    <row r="276" spans="34:37" x14ac:dyDescent="0.2">
      <c r="AH276" s="60"/>
      <c r="AI276" s="60"/>
      <c r="AJ276" s="60"/>
      <c r="AK276" s="60"/>
    </row>
    <row r="277" spans="34:37" x14ac:dyDescent="0.2">
      <c r="AH277" s="60"/>
      <c r="AI277" s="60"/>
      <c r="AJ277" s="60"/>
      <c r="AK277" s="60"/>
    </row>
    <row r="278" spans="34:37" x14ac:dyDescent="0.2">
      <c r="AH278" s="60"/>
      <c r="AI278" s="60"/>
      <c r="AJ278" s="60"/>
      <c r="AK278" s="60"/>
    </row>
    <row r="279" spans="34:37" x14ac:dyDescent="0.2">
      <c r="AH279" s="60"/>
      <c r="AI279" s="60"/>
      <c r="AJ279" s="60"/>
      <c r="AK279" s="60"/>
    </row>
    <row r="280" spans="34:37" x14ac:dyDescent="0.2">
      <c r="AH280" s="60"/>
      <c r="AI280" s="60"/>
      <c r="AJ280" s="60"/>
      <c r="AK280" s="60"/>
    </row>
    <row r="281" spans="34:37" x14ac:dyDescent="0.2">
      <c r="AH281" s="60"/>
      <c r="AI281" s="60"/>
      <c r="AJ281" s="60"/>
      <c r="AK281" s="60"/>
    </row>
    <row r="282" spans="34:37" x14ac:dyDescent="0.2">
      <c r="AH282" s="60"/>
      <c r="AI282" s="60"/>
      <c r="AJ282" s="60"/>
      <c r="AK282" s="60"/>
    </row>
    <row r="283" spans="34:37" x14ac:dyDescent="0.2">
      <c r="AH283" s="60"/>
      <c r="AI283" s="60"/>
      <c r="AJ283" s="60"/>
      <c r="AK283" s="60"/>
    </row>
    <row r="284" spans="34:37" x14ac:dyDescent="0.2">
      <c r="AH284" s="60"/>
      <c r="AI284" s="60"/>
      <c r="AJ284" s="60"/>
      <c r="AK284" s="60"/>
    </row>
    <row r="285" spans="34:37" x14ac:dyDescent="0.2">
      <c r="AH285" s="60"/>
      <c r="AI285" s="60"/>
      <c r="AJ285" s="60"/>
      <c r="AK285" s="60"/>
    </row>
    <row r="286" spans="34:37" x14ac:dyDescent="0.2">
      <c r="AH286" s="60"/>
      <c r="AI286" s="60"/>
      <c r="AJ286" s="60"/>
      <c r="AK286" s="60"/>
    </row>
    <row r="287" spans="34:37" x14ac:dyDescent="0.2">
      <c r="AH287" s="60"/>
      <c r="AI287" s="60"/>
      <c r="AJ287" s="60"/>
      <c r="AK287" s="60"/>
    </row>
    <row r="288" spans="34:37" x14ac:dyDescent="0.2">
      <c r="AH288" s="60"/>
      <c r="AI288" s="60"/>
      <c r="AJ288" s="60"/>
      <c r="AK288" s="60"/>
    </row>
    <row r="289" spans="34:37" x14ac:dyDescent="0.2">
      <c r="AH289" s="60"/>
      <c r="AI289" s="60"/>
      <c r="AJ289" s="60"/>
      <c r="AK289" s="60"/>
    </row>
    <row r="290" spans="34:37" x14ac:dyDescent="0.2">
      <c r="AH290" s="60"/>
      <c r="AI290" s="60"/>
      <c r="AJ290" s="60"/>
      <c r="AK290" s="60"/>
    </row>
    <row r="291" spans="34:37" x14ac:dyDescent="0.2">
      <c r="AH291" s="60"/>
      <c r="AI291" s="60"/>
      <c r="AJ291" s="60"/>
      <c r="AK291" s="60"/>
    </row>
    <row r="292" spans="34:37" x14ac:dyDescent="0.2">
      <c r="AH292" s="60"/>
      <c r="AI292" s="60"/>
      <c r="AJ292" s="60"/>
      <c r="AK292" s="60"/>
    </row>
    <row r="293" spans="34:37" x14ac:dyDescent="0.2">
      <c r="AH293" s="60"/>
      <c r="AI293" s="60"/>
      <c r="AJ293" s="60"/>
      <c r="AK293" s="60"/>
    </row>
    <row r="294" spans="34:37" x14ac:dyDescent="0.2">
      <c r="AH294" s="60"/>
      <c r="AI294" s="60"/>
      <c r="AJ294" s="60"/>
      <c r="AK294" s="60"/>
    </row>
    <row r="295" spans="34:37" x14ac:dyDescent="0.2">
      <c r="AH295" s="60"/>
      <c r="AI295" s="60"/>
      <c r="AJ295" s="60"/>
      <c r="AK295" s="60"/>
    </row>
    <row r="296" spans="34:37" x14ac:dyDescent="0.2">
      <c r="AH296" s="60"/>
      <c r="AI296" s="60"/>
      <c r="AJ296" s="60"/>
      <c r="AK296" s="60"/>
    </row>
    <row r="297" spans="34:37" x14ac:dyDescent="0.2">
      <c r="AH297" s="60"/>
      <c r="AI297" s="60"/>
      <c r="AJ297" s="60"/>
      <c r="AK297" s="60"/>
    </row>
    <row r="298" spans="34:37" x14ac:dyDescent="0.2">
      <c r="AH298" s="60"/>
      <c r="AI298" s="60"/>
      <c r="AJ298" s="60"/>
      <c r="AK298" s="60"/>
    </row>
    <row r="299" spans="34:37" x14ac:dyDescent="0.2">
      <c r="AH299" s="60"/>
      <c r="AI299" s="60"/>
      <c r="AJ299" s="60"/>
      <c r="AK299" s="60"/>
    </row>
    <row r="300" spans="34:37" x14ac:dyDescent="0.2">
      <c r="AH300" s="60"/>
      <c r="AI300" s="60"/>
      <c r="AJ300" s="60"/>
      <c r="AK300" s="60"/>
    </row>
    <row r="301" spans="34:37" x14ac:dyDescent="0.2">
      <c r="AH301" s="60"/>
      <c r="AI301" s="60"/>
      <c r="AJ301" s="60"/>
      <c r="AK301" s="60"/>
    </row>
    <row r="302" spans="34:37" x14ac:dyDescent="0.2">
      <c r="AH302" s="60"/>
      <c r="AI302" s="60"/>
      <c r="AJ302" s="60"/>
      <c r="AK302" s="60"/>
    </row>
    <row r="303" spans="34:37" x14ac:dyDescent="0.2">
      <c r="AH303" s="60"/>
      <c r="AI303" s="60"/>
      <c r="AJ303" s="60"/>
      <c r="AK303" s="60"/>
    </row>
    <row r="304" spans="34:37" x14ac:dyDescent="0.2">
      <c r="AH304" s="60"/>
      <c r="AI304" s="60"/>
      <c r="AJ304" s="60"/>
      <c r="AK304" s="60"/>
    </row>
    <row r="305" spans="34:37" x14ac:dyDescent="0.2">
      <c r="AH305" s="60"/>
      <c r="AI305" s="60"/>
      <c r="AJ305" s="60"/>
      <c r="AK305" s="60"/>
    </row>
    <row r="306" spans="34:37" x14ac:dyDescent="0.2">
      <c r="AH306" s="60"/>
      <c r="AI306" s="60"/>
      <c r="AJ306" s="60"/>
      <c r="AK306" s="60"/>
    </row>
    <row r="307" spans="34:37" x14ac:dyDescent="0.2">
      <c r="AH307" s="60"/>
      <c r="AI307" s="60"/>
      <c r="AJ307" s="60"/>
      <c r="AK307" s="60"/>
    </row>
    <row r="308" spans="34:37" x14ac:dyDescent="0.2">
      <c r="AH308" s="60"/>
      <c r="AI308" s="60"/>
      <c r="AJ308" s="60"/>
      <c r="AK308" s="60"/>
    </row>
    <row r="309" spans="34:37" x14ac:dyDescent="0.2">
      <c r="AH309" s="60"/>
      <c r="AI309" s="60"/>
      <c r="AJ309" s="60"/>
      <c r="AK309" s="60"/>
    </row>
    <row r="310" spans="34:37" x14ac:dyDescent="0.2">
      <c r="AH310" s="60"/>
      <c r="AI310" s="60"/>
      <c r="AJ310" s="60"/>
      <c r="AK310" s="60"/>
    </row>
    <row r="311" spans="34:37" x14ac:dyDescent="0.2">
      <c r="AH311" s="60"/>
      <c r="AI311" s="60"/>
      <c r="AJ311" s="60"/>
      <c r="AK311" s="60"/>
    </row>
    <row r="312" spans="34:37" x14ac:dyDescent="0.2">
      <c r="AH312" s="60"/>
      <c r="AI312" s="60"/>
      <c r="AJ312" s="60"/>
      <c r="AK312" s="60"/>
    </row>
    <row r="313" spans="34:37" x14ac:dyDescent="0.2">
      <c r="AH313" s="60"/>
      <c r="AI313" s="60"/>
      <c r="AJ313" s="60"/>
      <c r="AK313" s="60"/>
    </row>
    <row r="314" spans="34:37" x14ac:dyDescent="0.2">
      <c r="AH314" s="60"/>
      <c r="AI314" s="60"/>
      <c r="AJ314" s="60"/>
      <c r="AK314" s="60"/>
    </row>
    <row r="315" spans="34:37" x14ac:dyDescent="0.2">
      <c r="AH315" s="60"/>
      <c r="AI315" s="60"/>
      <c r="AJ315" s="60"/>
      <c r="AK315" s="60"/>
    </row>
    <row r="316" spans="34:37" x14ac:dyDescent="0.2">
      <c r="AH316" s="60"/>
      <c r="AI316" s="60"/>
      <c r="AJ316" s="60"/>
      <c r="AK316" s="60"/>
    </row>
    <row r="317" spans="34:37" x14ac:dyDescent="0.2">
      <c r="AH317" s="60"/>
      <c r="AI317" s="60"/>
      <c r="AJ317" s="60"/>
      <c r="AK317" s="60"/>
    </row>
    <row r="318" spans="34:37" x14ac:dyDescent="0.2">
      <c r="AH318" s="60"/>
      <c r="AI318" s="60"/>
      <c r="AJ318" s="60"/>
      <c r="AK318" s="60"/>
    </row>
    <row r="319" spans="34:37" x14ac:dyDescent="0.2">
      <c r="AH319" s="60"/>
      <c r="AI319" s="60"/>
      <c r="AJ319" s="60"/>
      <c r="AK319" s="60"/>
    </row>
    <row r="320" spans="34:37" x14ac:dyDescent="0.2">
      <c r="AH320" s="60"/>
      <c r="AI320" s="60"/>
      <c r="AJ320" s="60"/>
      <c r="AK320" s="60"/>
    </row>
    <row r="321" spans="34:37" x14ac:dyDescent="0.2">
      <c r="AH321" s="60"/>
      <c r="AI321" s="60"/>
      <c r="AJ321" s="60"/>
      <c r="AK321" s="60"/>
    </row>
    <row r="322" spans="34:37" x14ac:dyDescent="0.2">
      <c r="AH322" s="60"/>
      <c r="AI322" s="60"/>
      <c r="AJ322" s="60"/>
      <c r="AK322" s="60"/>
    </row>
    <row r="323" spans="34:37" x14ac:dyDescent="0.2">
      <c r="AH323" s="60"/>
      <c r="AI323" s="60"/>
      <c r="AJ323" s="60"/>
      <c r="AK323" s="60"/>
    </row>
    <row r="324" spans="34:37" x14ac:dyDescent="0.2">
      <c r="AH324" s="60"/>
      <c r="AI324" s="60"/>
      <c r="AJ324" s="60"/>
      <c r="AK324" s="60"/>
    </row>
    <row r="325" spans="34:37" x14ac:dyDescent="0.2">
      <c r="AH325" s="60"/>
      <c r="AI325" s="60"/>
      <c r="AJ325" s="60"/>
      <c r="AK325" s="60"/>
    </row>
    <row r="326" spans="34:37" x14ac:dyDescent="0.2">
      <c r="AH326" s="60"/>
      <c r="AI326" s="60"/>
      <c r="AJ326" s="60"/>
      <c r="AK326" s="60"/>
    </row>
    <row r="327" spans="34:37" x14ac:dyDescent="0.2">
      <c r="AH327" s="60"/>
      <c r="AI327" s="60"/>
      <c r="AJ327" s="60"/>
      <c r="AK327" s="60"/>
    </row>
    <row r="328" spans="34:37" x14ac:dyDescent="0.2">
      <c r="AH328" s="60"/>
      <c r="AI328" s="60"/>
      <c r="AJ328" s="60"/>
      <c r="AK328" s="60"/>
    </row>
    <row r="329" spans="34:37" x14ac:dyDescent="0.2">
      <c r="AH329" s="60"/>
      <c r="AI329" s="60"/>
      <c r="AJ329" s="60"/>
      <c r="AK329" s="60"/>
    </row>
    <row r="330" spans="34:37" x14ac:dyDescent="0.2">
      <c r="AH330" s="60"/>
      <c r="AI330" s="60"/>
      <c r="AJ330" s="60"/>
      <c r="AK330" s="60"/>
    </row>
    <row r="331" spans="34:37" x14ac:dyDescent="0.2">
      <c r="AH331" s="60"/>
      <c r="AI331" s="60"/>
      <c r="AJ331" s="60"/>
      <c r="AK331" s="60"/>
    </row>
    <row r="332" spans="34:37" x14ac:dyDescent="0.2">
      <c r="AH332" s="60"/>
      <c r="AI332" s="60"/>
      <c r="AJ332" s="60"/>
      <c r="AK332" s="60"/>
    </row>
    <row r="333" spans="34:37" x14ac:dyDescent="0.2">
      <c r="AH333" s="60"/>
      <c r="AI333" s="60"/>
      <c r="AJ333" s="60"/>
      <c r="AK333" s="60"/>
    </row>
    <row r="334" spans="34:37" x14ac:dyDescent="0.2">
      <c r="AH334" s="60"/>
      <c r="AI334" s="60"/>
      <c r="AJ334" s="60"/>
      <c r="AK334" s="60"/>
    </row>
    <row r="335" spans="34:37" x14ac:dyDescent="0.2">
      <c r="AH335" s="60"/>
      <c r="AI335" s="60"/>
      <c r="AJ335" s="60"/>
      <c r="AK335" s="60"/>
    </row>
    <row r="336" spans="34:37" x14ac:dyDescent="0.2">
      <c r="AH336" s="60"/>
      <c r="AI336" s="60"/>
      <c r="AJ336" s="60"/>
      <c r="AK336" s="60"/>
    </row>
    <row r="337" spans="34:37" x14ac:dyDescent="0.2">
      <c r="AH337" s="60"/>
      <c r="AI337" s="60"/>
      <c r="AJ337" s="60"/>
      <c r="AK337" s="60"/>
    </row>
    <row r="338" spans="34:37" x14ac:dyDescent="0.2">
      <c r="AH338" s="60"/>
      <c r="AI338" s="60"/>
      <c r="AJ338" s="60"/>
      <c r="AK338" s="60"/>
    </row>
    <row r="339" spans="34:37" x14ac:dyDescent="0.2">
      <c r="AH339" s="60"/>
      <c r="AI339" s="60"/>
      <c r="AJ339" s="60"/>
      <c r="AK339" s="60"/>
    </row>
    <row r="340" spans="34:37" x14ac:dyDescent="0.2">
      <c r="AH340" s="60"/>
      <c r="AI340" s="60"/>
      <c r="AJ340" s="60"/>
      <c r="AK340" s="60"/>
    </row>
    <row r="341" spans="34:37" x14ac:dyDescent="0.2">
      <c r="AH341" s="60"/>
      <c r="AI341" s="60"/>
      <c r="AJ341" s="60"/>
      <c r="AK341" s="60"/>
    </row>
    <row r="342" spans="34:37" x14ac:dyDescent="0.2">
      <c r="AH342" s="60"/>
      <c r="AI342" s="60"/>
      <c r="AJ342" s="60"/>
      <c r="AK342" s="60"/>
    </row>
    <row r="343" spans="34:37" x14ac:dyDescent="0.2">
      <c r="AH343" s="60"/>
      <c r="AI343" s="60"/>
      <c r="AJ343" s="60"/>
      <c r="AK343" s="60"/>
    </row>
    <row r="344" spans="34:37" x14ac:dyDescent="0.2">
      <c r="AH344" s="60"/>
      <c r="AI344" s="60"/>
      <c r="AJ344" s="60"/>
      <c r="AK344" s="60"/>
    </row>
    <row r="345" spans="34:37" x14ac:dyDescent="0.2">
      <c r="AH345" s="60"/>
      <c r="AI345" s="60"/>
      <c r="AJ345" s="60"/>
      <c r="AK345" s="60"/>
    </row>
    <row r="346" spans="34:37" x14ac:dyDescent="0.2">
      <c r="AH346" s="60"/>
      <c r="AI346" s="60"/>
      <c r="AJ346" s="60"/>
      <c r="AK346" s="60"/>
    </row>
    <row r="347" spans="34:37" x14ac:dyDescent="0.2">
      <c r="AH347" s="60"/>
      <c r="AI347" s="60"/>
      <c r="AJ347" s="60"/>
      <c r="AK347" s="60"/>
    </row>
    <row r="348" spans="34:37" x14ac:dyDescent="0.2">
      <c r="AH348" s="60"/>
      <c r="AI348" s="60"/>
      <c r="AJ348" s="60"/>
      <c r="AK348" s="60"/>
    </row>
    <row r="349" spans="34:37" x14ac:dyDescent="0.2">
      <c r="AH349" s="60"/>
      <c r="AI349" s="60"/>
      <c r="AJ349" s="60"/>
      <c r="AK349" s="60"/>
    </row>
    <row r="350" spans="34:37" x14ac:dyDescent="0.2">
      <c r="AH350" s="60"/>
      <c r="AI350" s="60"/>
      <c r="AJ350" s="60"/>
      <c r="AK350" s="60"/>
    </row>
    <row r="351" spans="34:37" x14ac:dyDescent="0.2">
      <c r="AH351" s="60"/>
      <c r="AI351" s="60"/>
      <c r="AJ351" s="60"/>
      <c r="AK351" s="60"/>
    </row>
    <row r="352" spans="34:37" x14ac:dyDescent="0.2">
      <c r="AH352" s="60"/>
      <c r="AI352" s="60"/>
      <c r="AJ352" s="60"/>
      <c r="AK352" s="60"/>
    </row>
    <row r="353" spans="34:37" x14ac:dyDescent="0.2">
      <c r="AH353" s="60"/>
      <c r="AI353" s="60"/>
      <c r="AJ353" s="60"/>
      <c r="AK353" s="60"/>
    </row>
    <row r="354" spans="34:37" x14ac:dyDescent="0.2">
      <c r="AH354" s="60"/>
      <c r="AI354" s="60"/>
      <c r="AJ354" s="60"/>
      <c r="AK354" s="60"/>
    </row>
    <row r="355" spans="34:37" x14ac:dyDescent="0.2">
      <c r="AH355" s="60"/>
      <c r="AI355" s="60"/>
      <c r="AJ355" s="60"/>
      <c r="AK355" s="60"/>
    </row>
    <row r="356" spans="34:37" x14ac:dyDescent="0.2">
      <c r="AH356" s="60"/>
      <c r="AI356" s="60"/>
      <c r="AJ356" s="60"/>
      <c r="AK356" s="60"/>
    </row>
    <row r="357" spans="34:37" x14ac:dyDescent="0.2">
      <c r="AH357" s="60"/>
      <c r="AI357" s="60"/>
      <c r="AJ357" s="60"/>
      <c r="AK357" s="60"/>
    </row>
    <row r="358" spans="34:37" x14ac:dyDescent="0.2">
      <c r="AH358" s="60"/>
      <c r="AI358" s="60"/>
      <c r="AJ358" s="60"/>
      <c r="AK358" s="60"/>
    </row>
    <row r="359" spans="34:37" x14ac:dyDescent="0.2">
      <c r="AH359" s="60"/>
      <c r="AI359" s="60"/>
      <c r="AJ359" s="60"/>
      <c r="AK359" s="60"/>
    </row>
    <row r="360" spans="34:37" x14ac:dyDescent="0.2">
      <c r="AH360" s="60"/>
      <c r="AI360" s="60"/>
      <c r="AJ360" s="60"/>
      <c r="AK360" s="60"/>
    </row>
    <row r="361" spans="34:37" x14ac:dyDescent="0.2">
      <c r="AH361" s="60"/>
      <c r="AI361" s="60"/>
      <c r="AJ361" s="60"/>
      <c r="AK361" s="60"/>
    </row>
    <row r="362" spans="34:37" x14ac:dyDescent="0.2">
      <c r="AH362" s="60"/>
      <c r="AI362" s="60"/>
      <c r="AJ362" s="60"/>
      <c r="AK362" s="60"/>
    </row>
    <row r="363" spans="34:37" x14ac:dyDescent="0.2">
      <c r="AH363" s="60"/>
      <c r="AI363" s="60"/>
      <c r="AJ363" s="60"/>
      <c r="AK363" s="60"/>
    </row>
    <row r="364" spans="34:37" x14ac:dyDescent="0.2">
      <c r="AH364" s="60"/>
      <c r="AI364" s="60"/>
      <c r="AJ364" s="60"/>
      <c r="AK364" s="60"/>
    </row>
    <row r="365" spans="34:37" x14ac:dyDescent="0.2">
      <c r="AH365" s="60"/>
      <c r="AI365" s="60"/>
      <c r="AJ365" s="60"/>
      <c r="AK365" s="60"/>
    </row>
    <row r="366" spans="34:37" x14ac:dyDescent="0.2">
      <c r="AH366" s="60"/>
      <c r="AI366" s="60"/>
      <c r="AJ366" s="60"/>
      <c r="AK366" s="60"/>
    </row>
    <row r="367" spans="34:37" x14ac:dyDescent="0.2">
      <c r="AH367" s="60"/>
      <c r="AI367" s="60"/>
      <c r="AJ367" s="60"/>
      <c r="AK367" s="60"/>
    </row>
    <row r="368" spans="34:37" x14ac:dyDescent="0.2">
      <c r="AH368" s="60"/>
      <c r="AI368" s="60"/>
      <c r="AJ368" s="60"/>
      <c r="AK368" s="60"/>
    </row>
    <row r="369" spans="34:37" x14ac:dyDescent="0.2">
      <c r="AH369" s="60"/>
      <c r="AI369" s="60"/>
      <c r="AJ369" s="60"/>
      <c r="AK369" s="60"/>
    </row>
    <row r="370" spans="34:37" x14ac:dyDescent="0.2">
      <c r="AH370" s="60"/>
      <c r="AI370" s="60"/>
      <c r="AJ370" s="60"/>
      <c r="AK370" s="60"/>
    </row>
    <row r="371" spans="34:37" x14ac:dyDescent="0.2">
      <c r="AH371" s="60"/>
      <c r="AI371" s="60"/>
      <c r="AJ371" s="60"/>
      <c r="AK371" s="60"/>
    </row>
    <row r="372" spans="34:37" x14ac:dyDescent="0.2">
      <c r="AH372" s="60"/>
      <c r="AI372" s="60"/>
      <c r="AJ372" s="60"/>
      <c r="AK372" s="60"/>
    </row>
    <row r="373" spans="34:37" x14ac:dyDescent="0.2">
      <c r="AH373" s="60"/>
      <c r="AI373" s="60"/>
      <c r="AJ373" s="60"/>
      <c r="AK373" s="60"/>
    </row>
    <row r="374" spans="34:37" x14ac:dyDescent="0.2">
      <c r="AH374" s="60"/>
      <c r="AI374" s="60"/>
      <c r="AJ374" s="60"/>
      <c r="AK374" s="60"/>
    </row>
    <row r="375" spans="34:37" x14ac:dyDescent="0.2">
      <c r="AH375" s="60"/>
      <c r="AI375" s="60"/>
      <c r="AJ375" s="60"/>
      <c r="AK375" s="60"/>
    </row>
    <row r="376" spans="34:37" x14ac:dyDescent="0.2">
      <c r="AH376" s="60"/>
      <c r="AI376" s="60"/>
      <c r="AJ376" s="60"/>
      <c r="AK376" s="60"/>
    </row>
    <row r="377" spans="34:37" x14ac:dyDescent="0.2">
      <c r="AH377" s="60"/>
      <c r="AI377" s="60"/>
      <c r="AJ377" s="60"/>
      <c r="AK377" s="60"/>
    </row>
    <row r="378" spans="34:37" x14ac:dyDescent="0.2">
      <c r="AH378" s="60"/>
      <c r="AI378" s="60"/>
      <c r="AJ378" s="60"/>
      <c r="AK378" s="60"/>
    </row>
    <row r="379" spans="34:37" x14ac:dyDescent="0.2">
      <c r="AH379" s="60"/>
      <c r="AI379" s="60"/>
      <c r="AJ379" s="60"/>
      <c r="AK379" s="60"/>
    </row>
    <row r="380" spans="34:37" x14ac:dyDescent="0.2">
      <c r="AH380" s="60"/>
      <c r="AI380" s="60"/>
      <c r="AJ380" s="60"/>
      <c r="AK380" s="60"/>
    </row>
    <row r="381" spans="34:37" x14ac:dyDescent="0.2">
      <c r="AH381" s="60"/>
      <c r="AI381" s="60"/>
      <c r="AJ381" s="60"/>
      <c r="AK381" s="60"/>
    </row>
    <row r="382" spans="34:37" x14ac:dyDescent="0.2">
      <c r="AH382" s="60"/>
      <c r="AI382" s="60"/>
      <c r="AJ382" s="60"/>
      <c r="AK382" s="60"/>
    </row>
    <row r="383" spans="34:37" x14ac:dyDescent="0.2">
      <c r="AH383" s="60"/>
      <c r="AI383" s="60"/>
      <c r="AJ383" s="60"/>
      <c r="AK383" s="60"/>
    </row>
    <row r="384" spans="34:37" x14ac:dyDescent="0.2">
      <c r="AH384" s="60"/>
      <c r="AI384" s="60"/>
      <c r="AJ384" s="60"/>
      <c r="AK384" s="60"/>
    </row>
    <row r="385" spans="34:37" x14ac:dyDescent="0.2">
      <c r="AH385" s="60"/>
      <c r="AI385" s="60"/>
      <c r="AJ385" s="60"/>
      <c r="AK385" s="60"/>
    </row>
    <row r="386" spans="34:37" x14ac:dyDescent="0.2">
      <c r="AH386" s="60"/>
      <c r="AI386" s="60"/>
      <c r="AJ386" s="60"/>
      <c r="AK386" s="60"/>
    </row>
    <row r="387" spans="34:37" x14ac:dyDescent="0.2">
      <c r="AH387" s="60"/>
      <c r="AI387" s="60"/>
      <c r="AJ387" s="60"/>
      <c r="AK387" s="60"/>
    </row>
    <row r="388" spans="34:37" x14ac:dyDescent="0.2">
      <c r="AH388" s="60"/>
      <c r="AI388" s="60"/>
      <c r="AJ388" s="60"/>
      <c r="AK388" s="60"/>
    </row>
    <row r="389" spans="34:37" x14ac:dyDescent="0.2">
      <c r="AH389" s="60"/>
      <c r="AI389" s="60"/>
      <c r="AJ389" s="60"/>
      <c r="AK389" s="60"/>
    </row>
    <row r="390" spans="34:37" x14ac:dyDescent="0.2">
      <c r="AH390" s="60"/>
      <c r="AI390" s="60"/>
      <c r="AJ390" s="60"/>
      <c r="AK390" s="60"/>
    </row>
    <row r="391" spans="34:37" x14ac:dyDescent="0.2">
      <c r="AH391" s="60"/>
      <c r="AI391" s="60"/>
      <c r="AJ391" s="60"/>
      <c r="AK391" s="60"/>
    </row>
    <row r="392" spans="34:37" x14ac:dyDescent="0.2">
      <c r="AH392" s="60"/>
      <c r="AI392" s="60"/>
      <c r="AJ392" s="60"/>
      <c r="AK392" s="60"/>
    </row>
    <row r="393" spans="34:37" x14ac:dyDescent="0.2">
      <c r="AH393" s="60"/>
      <c r="AI393" s="60"/>
      <c r="AJ393" s="60"/>
      <c r="AK393" s="60"/>
    </row>
    <row r="394" spans="34:37" x14ac:dyDescent="0.2">
      <c r="AH394" s="60"/>
      <c r="AI394" s="60"/>
      <c r="AJ394" s="60"/>
      <c r="AK394" s="60"/>
    </row>
    <row r="395" spans="34:37" x14ac:dyDescent="0.2">
      <c r="AH395" s="60"/>
      <c r="AI395" s="60"/>
      <c r="AJ395" s="60"/>
      <c r="AK395" s="60"/>
    </row>
    <row r="396" spans="34:37" x14ac:dyDescent="0.2">
      <c r="AH396" s="60"/>
      <c r="AI396" s="60"/>
      <c r="AJ396" s="60"/>
      <c r="AK396" s="60"/>
    </row>
    <row r="397" spans="34:37" x14ac:dyDescent="0.2">
      <c r="AH397" s="60"/>
      <c r="AI397" s="60"/>
      <c r="AJ397" s="60"/>
      <c r="AK397" s="60"/>
    </row>
    <row r="398" spans="34:37" x14ac:dyDescent="0.2">
      <c r="AH398" s="60"/>
      <c r="AI398" s="60"/>
      <c r="AJ398" s="60"/>
      <c r="AK398" s="60"/>
    </row>
    <row r="399" spans="34:37" x14ac:dyDescent="0.2">
      <c r="AH399" s="60"/>
      <c r="AI399" s="60"/>
      <c r="AJ399" s="60"/>
      <c r="AK399" s="60"/>
    </row>
    <row r="400" spans="34:37" x14ac:dyDescent="0.2">
      <c r="AH400" s="60"/>
      <c r="AI400" s="60"/>
      <c r="AJ400" s="60"/>
      <c r="AK400" s="60"/>
    </row>
    <row r="401" spans="34:37" x14ac:dyDescent="0.2">
      <c r="AH401" s="60"/>
      <c r="AI401" s="60"/>
      <c r="AJ401" s="60"/>
      <c r="AK401" s="60"/>
    </row>
    <row r="402" spans="34:37" x14ac:dyDescent="0.2">
      <c r="AH402" s="60"/>
      <c r="AI402" s="60"/>
      <c r="AJ402" s="60"/>
      <c r="AK402" s="60"/>
    </row>
    <row r="403" spans="34:37" x14ac:dyDescent="0.2">
      <c r="AH403" s="60"/>
      <c r="AI403" s="60"/>
      <c r="AJ403" s="60"/>
      <c r="AK403" s="60"/>
    </row>
    <row r="404" spans="34:37" x14ac:dyDescent="0.2">
      <c r="AH404" s="60"/>
      <c r="AI404" s="60"/>
      <c r="AJ404" s="60"/>
      <c r="AK404" s="60"/>
    </row>
    <row r="405" spans="34:37" x14ac:dyDescent="0.2">
      <c r="AH405" s="60"/>
      <c r="AI405" s="60"/>
      <c r="AJ405" s="60"/>
      <c r="AK405" s="60"/>
    </row>
    <row r="406" spans="34:37" x14ac:dyDescent="0.2">
      <c r="AH406" s="60"/>
      <c r="AI406" s="60"/>
      <c r="AJ406" s="60"/>
      <c r="AK406" s="60"/>
    </row>
    <row r="407" spans="34:37" x14ac:dyDescent="0.2">
      <c r="AH407" s="60"/>
      <c r="AI407" s="60"/>
      <c r="AJ407" s="60"/>
      <c r="AK407" s="60"/>
    </row>
    <row r="408" spans="34:37" x14ac:dyDescent="0.2">
      <c r="AH408" s="60"/>
      <c r="AI408" s="60"/>
      <c r="AJ408" s="60"/>
      <c r="AK408" s="60"/>
    </row>
    <row r="409" spans="34:37" x14ac:dyDescent="0.2">
      <c r="AH409" s="60"/>
      <c r="AI409" s="60"/>
      <c r="AJ409" s="60"/>
      <c r="AK409" s="60"/>
    </row>
    <row r="410" spans="34:37" x14ac:dyDescent="0.2">
      <c r="AH410" s="60"/>
      <c r="AI410" s="60"/>
      <c r="AJ410" s="60"/>
      <c r="AK410" s="60"/>
    </row>
    <row r="411" spans="34:37" x14ac:dyDescent="0.2">
      <c r="AH411" s="60"/>
      <c r="AI411" s="60"/>
      <c r="AJ411" s="60"/>
      <c r="AK411" s="60"/>
    </row>
    <row r="412" spans="34:37" x14ac:dyDescent="0.2">
      <c r="AH412" s="60"/>
      <c r="AI412" s="60"/>
      <c r="AJ412" s="60"/>
      <c r="AK412" s="60"/>
    </row>
    <row r="413" spans="34:37" x14ac:dyDescent="0.2">
      <c r="AH413" s="60"/>
      <c r="AI413" s="60"/>
      <c r="AJ413" s="60"/>
      <c r="AK413" s="60"/>
    </row>
    <row r="414" spans="34:37" x14ac:dyDescent="0.2">
      <c r="AH414" s="60"/>
      <c r="AI414" s="60"/>
      <c r="AJ414" s="60"/>
      <c r="AK414" s="60"/>
    </row>
    <row r="415" spans="34:37" x14ac:dyDescent="0.2">
      <c r="AH415" s="60"/>
      <c r="AI415" s="60"/>
      <c r="AJ415" s="60"/>
      <c r="AK415" s="60"/>
    </row>
    <row r="416" spans="34:37" x14ac:dyDescent="0.2">
      <c r="AH416" s="60"/>
      <c r="AI416" s="60"/>
      <c r="AJ416" s="60"/>
      <c r="AK416" s="60"/>
    </row>
    <row r="417" spans="34:37" x14ac:dyDescent="0.2">
      <c r="AH417" s="60"/>
      <c r="AI417" s="60"/>
      <c r="AJ417" s="60"/>
      <c r="AK417" s="60"/>
    </row>
    <row r="418" spans="34:37" x14ac:dyDescent="0.2">
      <c r="AH418" s="60"/>
      <c r="AI418" s="60"/>
      <c r="AJ418" s="60"/>
      <c r="AK418" s="60"/>
    </row>
    <row r="419" spans="34:37" x14ac:dyDescent="0.2">
      <c r="AH419" s="60"/>
      <c r="AI419" s="60"/>
      <c r="AJ419" s="60"/>
      <c r="AK419" s="60"/>
    </row>
    <row r="420" spans="34:37" x14ac:dyDescent="0.2">
      <c r="AH420" s="60"/>
      <c r="AI420" s="60"/>
      <c r="AJ420" s="60"/>
      <c r="AK420" s="60"/>
    </row>
    <row r="421" spans="34:37" x14ac:dyDescent="0.2">
      <c r="AH421" s="60"/>
      <c r="AI421" s="60"/>
      <c r="AJ421" s="60"/>
      <c r="AK421" s="60"/>
    </row>
    <row r="422" spans="34:37" x14ac:dyDescent="0.2">
      <c r="AH422" s="60"/>
      <c r="AI422" s="60"/>
      <c r="AJ422" s="60"/>
      <c r="AK422" s="60"/>
    </row>
    <row r="423" spans="34:37" x14ac:dyDescent="0.2">
      <c r="AH423" s="60"/>
      <c r="AI423" s="60"/>
      <c r="AJ423" s="60"/>
      <c r="AK423" s="60"/>
    </row>
    <row r="424" spans="34:37" x14ac:dyDescent="0.2">
      <c r="AH424" s="60"/>
      <c r="AI424" s="60"/>
      <c r="AJ424" s="60"/>
      <c r="AK424" s="60"/>
    </row>
    <row r="425" spans="34:37" x14ac:dyDescent="0.2">
      <c r="AH425" s="60"/>
      <c r="AI425" s="60"/>
      <c r="AJ425" s="60"/>
      <c r="AK425" s="60"/>
    </row>
    <row r="426" spans="34:37" x14ac:dyDescent="0.2">
      <c r="AH426" s="60"/>
      <c r="AI426" s="60"/>
      <c r="AJ426" s="60"/>
      <c r="AK426" s="60"/>
    </row>
    <row r="427" spans="34:37" x14ac:dyDescent="0.2">
      <c r="AH427" s="60"/>
      <c r="AI427" s="60"/>
      <c r="AJ427" s="60"/>
      <c r="AK427" s="60"/>
    </row>
    <row r="428" spans="34:37" x14ac:dyDescent="0.2">
      <c r="AH428" s="60"/>
      <c r="AI428" s="60"/>
      <c r="AJ428" s="60"/>
      <c r="AK428" s="60"/>
    </row>
    <row r="429" spans="34:37" x14ac:dyDescent="0.2">
      <c r="AH429" s="60"/>
      <c r="AI429" s="60"/>
      <c r="AJ429" s="60"/>
      <c r="AK429" s="60"/>
    </row>
    <row r="430" spans="34:37" x14ac:dyDescent="0.2">
      <c r="AH430" s="60"/>
      <c r="AI430" s="60"/>
      <c r="AJ430" s="60"/>
      <c r="AK430" s="60"/>
    </row>
    <row r="431" spans="34:37" x14ac:dyDescent="0.2">
      <c r="AH431" s="60"/>
      <c r="AI431" s="60"/>
      <c r="AJ431" s="60"/>
      <c r="AK431" s="60"/>
    </row>
    <row r="432" spans="34:37" x14ac:dyDescent="0.2">
      <c r="AH432" s="60"/>
      <c r="AI432" s="60"/>
      <c r="AJ432" s="60"/>
      <c r="AK432" s="60"/>
    </row>
    <row r="433" spans="34:37" x14ac:dyDescent="0.2">
      <c r="AH433" s="60"/>
      <c r="AI433" s="60"/>
      <c r="AJ433" s="60"/>
      <c r="AK433" s="60"/>
    </row>
    <row r="434" spans="34:37" x14ac:dyDescent="0.2">
      <c r="AH434" s="60"/>
      <c r="AI434" s="60"/>
      <c r="AJ434" s="60"/>
      <c r="AK434" s="60"/>
    </row>
    <row r="435" spans="34:37" x14ac:dyDescent="0.2">
      <c r="AH435" s="60"/>
      <c r="AI435" s="60"/>
      <c r="AJ435" s="60"/>
      <c r="AK435" s="60"/>
    </row>
    <row r="436" spans="34:37" x14ac:dyDescent="0.2">
      <c r="AH436" s="60"/>
      <c r="AI436" s="60"/>
      <c r="AJ436" s="60"/>
      <c r="AK436" s="60"/>
    </row>
    <row r="437" spans="34:37" x14ac:dyDescent="0.2">
      <c r="AH437" s="60"/>
      <c r="AI437" s="60"/>
      <c r="AJ437" s="60"/>
      <c r="AK437" s="60"/>
    </row>
    <row r="438" spans="34:37" x14ac:dyDescent="0.2">
      <c r="AH438" s="60"/>
      <c r="AI438" s="60"/>
      <c r="AJ438" s="60"/>
      <c r="AK438" s="60"/>
    </row>
    <row r="439" spans="34:37" x14ac:dyDescent="0.2">
      <c r="AH439" s="60"/>
      <c r="AI439" s="60"/>
      <c r="AJ439" s="60"/>
      <c r="AK439" s="60"/>
    </row>
    <row r="440" spans="34:37" x14ac:dyDescent="0.2">
      <c r="AH440" s="60"/>
      <c r="AI440" s="60"/>
      <c r="AJ440" s="60"/>
      <c r="AK440" s="60"/>
    </row>
    <row r="441" spans="34:37" x14ac:dyDescent="0.2">
      <c r="AH441" s="60"/>
      <c r="AI441" s="60"/>
      <c r="AJ441" s="60"/>
      <c r="AK441" s="60"/>
    </row>
    <row r="442" spans="34:37" x14ac:dyDescent="0.2">
      <c r="AH442" s="60"/>
      <c r="AI442" s="60"/>
      <c r="AJ442" s="60"/>
      <c r="AK442" s="60"/>
    </row>
    <row r="443" spans="34:37" x14ac:dyDescent="0.2">
      <c r="AH443" s="60"/>
      <c r="AI443" s="60"/>
      <c r="AJ443" s="60"/>
      <c r="AK443" s="60"/>
    </row>
    <row r="444" spans="34:37" x14ac:dyDescent="0.2">
      <c r="AH444" s="60"/>
      <c r="AI444" s="60"/>
      <c r="AJ444" s="60"/>
      <c r="AK444" s="60"/>
    </row>
    <row r="445" spans="34:37" x14ac:dyDescent="0.2">
      <c r="AH445" s="60"/>
      <c r="AI445" s="60"/>
      <c r="AJ445" s="60"/>
      <c r="AK445" s="60"/>
    </row>
    <row r="446" spans="34:37" x14ac:dyDescent="0.2">
      <c r="AH446" s="60"/>
      <c r="AI446" s="60"/>
      <c r="AJ446" s="60"/>
      <c r="AK446" s="60"/>
    </row>
    <row r="447" spans="34:37" x14ac:dyDescent="0.2">
      <c r="AH447" s="60"/>
      <c r="AI447" s="60"/>
      <c r="AJ447" s="60"/>
      <c r="AK447" s="60"/>
    </row>
    <row r="448" spans="34:37" x14ac:dyDescent="0.2">
      <c r="AH448" s="60"/>
      <c r="AI448" s="60"/>
      <c r="AJ448" s="60"/>
      <c r="AK448" s="60"/>
    </row>
    <row r="449" spans="34:37" x14ac:dyDescent="0.2">
      <c r="AH449" s="60"/>
      <c r="AI449" s="60"/>
      <c r="AJ449" s="60"/>
      <c r="AK449" s="60"/>
    </row>
    <row r="450" spans="34:37" x14ac:dyDescent="0.2">
      <c r="AH450" s="60"/>
      <c r="AI450" s="60"/>
      <c r="AJ450" s="60"/>
      <c r="AK450" s="60"/>
    </row>
    <row r="451" spans="34:37" x14ac:dyDescent="0.2">
      <c r="AH451" s="60"/>
      <c r="AI451" s="60"/>
      <c r="AJ451" s="60"/>
      <c r="AK451" s="60"/>
    </row>
    <row r="452" spans="34:37" x14ac:dyDescent="0.2">
      <c r="AH452" s="60"/>
      <c r="AI452" s="60"/>
      <c r="AJ452" s="60"/>
      <c r="AK452" s="60"/>
    </row>
    <row r="453" spans="34:37" x14ac:dyDescent="0.2">
      <c r="AH453" s="60"/>
      <c r="AI453" s="60"/>
      <c r="AJ453" s="60"/>
      <c r="AK453" s="60"/>
    </row>
    <row r="454" spans="34:37" x14ac:dyDescent="0.2">
      <c r="AH454" s="60"/>
      <c r="AI454" s="60"/>
      <c r="AJ454" s="60"/>
      <c r="AK454" s="60"/>
    </row>
    <row r="455" spans="34:37" x14ac:dyDescent="0.2">
      <c r="AH455" s="60"/>
      <c r="AI455" s="60"/>
      <c r="AJ455" s="60"/>
      <c r="AK455" s="60"/>
    </row>
    <row r="456" spans="34:37" x14ac:dyDescent="0.2">
      <c r="AH456" s="60"/>
      <c r="AI456" s="60"/>
      <c r="AJ456" s="60"/>
      <c r="AK456" s="60"/>
    </row>
    <row r="457" spans="34:37" x14ac:dyDescent="0.2">
      <c r="AH457" s="60"/>
      <c r="AI457" s="60"/>
      <c r="AJ457" s="60"/>
      <c r="AK457" s="60"/>
    </row>
    <row r="458" spans="34:37" x14ac:dyDescent="0.2">
      <c r="AH458" s="60"/>
      <c r="AI458" s="60"/>
      <c r="AJ458" s="60"/>
      <c r="AK458" s="60"/>
    </row>
    <row r="459" spans="34:37" x14ac:dyDescent="0.2">
      <c r="AH459" s="60"/>
      <c r="AI459" s="60"/>
      <c r="AJ459" s="60"/>
      <c r="AK459" s="60"/>
    </row>
    <row r="460" spans="34:37" x14ac:dyDescent="0.2">
      <c r="AH460" s="60"/>
      <c r="AI460" s="60"/>
      <c r="AJ460" s="60"/>
      <c r="AK460" s="60"/>
    </row>
    <row r="461" spans="34:37" x14ac:dyDescent="0.2">
      <c r="AH461" s="60"/>
      <c r="AI461" s="60"/>
      <c r="AJ461" s="60"/>
      <c r="AK461" s="60"/>
    </row>
    <row r="462" spans="34:37" x14ac:dyDescent="0.2">
      <c r="AH462" s="60"/>
      <c r="AI462" s="60"/>
      <c r="AJ462" s="60"/>
      <c r="AK462" s="60"/>
    </row>
    <row r="463" spans="34:37" x14ac:dyDescent="0.2">
      <c r="AH463" s="60"/>
      <c r="AI463" s="60"/>
      <c r="AJ463" s="60"/>
      <c r="AK463" s="60"/>
    </row>
    <row r="464" spans="34:37" x14ac:dyDescent="0.2">
      <c r="AH464" s="60"/>
      <c r="AI464" s="60"/>
      <c r="AJ464" s="60"/>
      <c r="AK464" s="60"/>
    </row>
    <row r="465" spans="34:37" x14ac:dyDescent="0.2">
      <c r="AH465" s="60"/>
      <c r="AI465" s="60"/>
      <c r="AJ465" s="60"/>
      <c r="AK465" s="60"/>
    </row>
    <row r="466" spans="34:37" x14ac:dyDescent="0.2">
      <c r="AH466" s="60"/>
      <c r="AI466" s="60"/>
      <c r="AJ466" s="60"/>
      <c r="AK466" s="60"/>
    </row>
    <row r="467" spans="34:37" x14ac:dyDescent="0.2">
      <c r="AH467" s="60"/>
      <c r="AI467" s="60"/>
      <c r="AJ467" s="60"/>
      <c r="AK467" s="60"/>
    </row>
    <row r="468" spans="34:37" x14ac:dyDescent="0.2">
      <c r="AH468" s="60"/>
      <c r="AI468" s="60"/>
      <c r="AJ468" s="60"/>
      <c r="AK468" s="60"/>
    </row>
    <row r="469" spans="34:37" x14ac:dyDescent="0.2">
      <c r="AH469" s="60"/>
      <c r="AI469" s="60"/>
      <c r="AJ469" s="60"/>
      <c r="AK469" s="60"/>
    </row>
    <row r="470" spans="34:37" x14ac:dyDescent="0.2">
      <c r="AH470" s="60"/>
      <c r="AI470" s="60"/>
      <c r="AJ470" s="60"/>
      <c r="AK470" s="60"/>
    </row>
    <row r="471" spans="34:37" x14ac:dyDescent="0.2">
      <c r="AH471" s="60"/>
      <c r="AI471" s="60"/>
      <c r="AJ471" s="60"/>
      <c r="AK471" s="60"/>
    </row>
    <row r="472" spans="34:37" x14ac:dyDescent="0.2">
      <c r="AH472" s="60"/>
      <c r="AI472" s="60"/>
      <c r="AJ472" s="60"/>
      <c r="AK472" s="60"/>
    </row>
    <row r="473" spans="34:37" x14ac:dyDescent="0.2">
      <c r="AH473" s="60"/>
      <c r="AI473" s="60"/>
      <c r="AJ473" s="60"/>
      <c r="AK473" s="60"/>
    </row>
    <row r="474" spans="34:37" x14ac:dyDescent="0.2">
      <c r="AH474" s="60"/>
      <c r="AI474" s="60"/>
      <c r="AJ474" s="60"/>
      <c r="AK474" s="60"/>
    </row>
    <row r="475" spans="34:37" x14ac:dyDescent="0.2">
      <c r="AH475" s="60"/>
      <c r="AI475" s="60"/>
      <c r="AJ475" s="60"/>
      <c r="AK475" s="60"/>
    </row>
    <row r="476" spans="34:37" x14ac:dyDescent="0.2">
      <c r="AH476" s="60"/>
      <c r="AI476" s="60"/>
      <c r="AJ476" s="60"/>
      <c r="AK476" s="60"/>
    </row>
    <row r="477" spans="34:37" x14ac:dyDescent="0.2">
      <c r="AH477" s="60"/>
      <c r="AI477" s="60"/>
      <c r="AJ477" s="60"/>
      <c r="AK477" s="60"/>
    </row>
    <row r="478" spans="34:37" x14ac:dyDescent="0.2">
      <c r="AH478" s="60"/>
      <c r="AI478" s="60"/>
      <c r="AJ478" s="60"/>
      <c r="AK478" s="60"/>
    </row>
    <row r="479" spans="34:37" x14ac:dyDescent="0.2">
      <c r="AH479" s="60"/>
      <c r="AI479" s="60"/>
      <c r="AJ479" s="60"/>
      <c r="AK479" s="60"/>
    </row>
    <row r="480" spans="34:37" x14ac:dyDescent="0.2">
      <c r="AH480" s="60"/>
      <c r="AI480" s="60"/>
      <c r="AJ480" s="60"/>
      <c r="AK480" s="60"/>
    </row>
    <row r="481" spans="34:37" x14ac:dyDescent="0.2">
      <c r="AH481" s="60"/>
      <c r="AI481" s="60"/>
      <c r="AJ481" s="60"/>
      <c r="AK481" s="60"/>
    </row>
    <row r="482" spans="34:37" x14ac:dyDescent="0.2">
      <c r="AH482" s="60"/>
      <c r="AI482" s="60"/>
      <c r="AJ482" s="60"/>
      <c r="AK482" s="60"/>
    </row>
    <row r="483" spans="34:37" x14ac:dyDescent="0.2">
      <c r="AH483" s="60"/>
      <c r="AI483" s="60"/>
      <c r="AJ483" s="60"/>
      <c r="AK483" s="60"/>
    </row>
    <row r="484" spans="34:37" x14ac:dyDescent="0.2">
      <c r="AH484" s="60"/>
      <c r="AI484" s="60"/>
      <c r="AJ484" s="60"/>
      <c r="AK484" s="60"/>
    </row>
    <row r="485" spans="34:37" x14ac:dyDescent="0.2">
      <c r="AH485" s="60"/>
      <c r="AI485" s="60"/>
      <c r="AJ485" s="60"/>
      <c r="AK485" s="60"/>
    </row>
    <row r="486" spans="34:37" x14ac:dyDescent="0.2">
      <c r="AH486" s="60"/>
      <c r="AI486" s="60"/>
      <c r="AJ486" s="60"/>
      <c r="AK486" s="60"/>
    </row>
    <row r="487" spans="34:37" x14ac:dyDescent="0.2">
      <c r="AH487" s="60"/>
      <c r="AI487" s="60"/>
      <c r="AJ487" s="60"/>
      <c r="AK487" s="60"/>
    </row>
    <row r="488" spans="34:37" x14ac:dyDescent="0.2">
      <c r="AH488" s="60"/>
      <c r="AI488" s="60"/>
      <c r="AJ488" s="60"/>
      <c r="AK488" s="60"/>
    </row>
    <row r="489" spans="34:37" x14ac:dyDescent="0.2">
      <c r="AH489" s="60"/>
      <c r="AI489" s="60"/>
      <c r="AJ489" s="60"/>
      <c r="AK489" s="60"/>
    </row>
    <row r="490" spans="34:37" x14ac:dyDescent="0.2">
      <c r="AH490" s="60"/>
      <c r="AI490" s="60"/>
      <c r="AJ490" s="60"/>
      <c r="AK490" s="60"/>
    </row>
    <row r="491" spans="34:37" x14ac:dyDescent="0.2">
      <c r="AH491" s="60"/>
      <c r="AI491" s="60"/>
      <c r="AJ491" s="60"/>
      <c r="AK491" s="60"/>
    </row>
    <row r="492" spans="34:37" x14ac:dyDescent="0.2">
      <c r="AH492" s="60"/>
      <c r="AI492" s="60"/>
      <c r="AJ492" s="60"/>
      <c r="AK492" s="60"/>
    </row>
    <row r="493" spans="34:37" x14ac:dyDescent="0.2">
      <c r="AH493" s="60"/>
      <c r="AI493" s="60"/>
      <c r="AJ493" s="60"/>
      <c r="AK493" s="60"/>
    </row>
    <row r="494" spans="34:37" x14ac:dyDescent="0.2">
      <c r="AH494" s="60"/>
      <c r="AI494" s="60"/>
      <c r="AJ494" s="60"/>
      <c r="AK494" s="60"/>
    </row>
    <row r="495" spans="34:37" x14ac:dyDescent="0.2">
      <c r="AH495" s="60"/>
      <c r="AI495" s="60"/>
      <c r="AJ495" s="60"/>
      <c r="AK495" s="60"/>
    </row>
    <row r="496" spans="34:37" x14ac:dyDescent="0.2">
      <c r="AH496" s="60"/>
      <c r="AI496" s="60"/>
      <c r="AJ496" s="60"/>
      <c r="AK496" s="60"/>
    </row>
    <row r="497" spans="34:37" x14ac:dyDescent="0.2">
      <c r="AH497" s="60"/>
      <c r="AI497" s="60"/>
      <c r="AJ497" s="60"/>
      <c r="AK497" s="60"/>
    </row>
    <row r="498" spans="34:37" x14ac:dyDescent="0.2">
      <c r="AH498" s="60"/>
      <c r="AI498" s="60"/>
      <c r="AJ498" s="60"/>
      <c r="AK498" s="60"/>
    </row>
    <row r="499" spans="34:37" x14ac:dyDescent="0.2">
      <c r="AH499" s="60"/>
      <c r="AI499" s="60"/>
      <c r="AJ499" s="60"/>
      <c r="AK499" s="60"/>
    </row>
    <row r="500" spans="34:37" x14ac:dyDescent="0.2">
      <c r="AH500" s="60"/>
      <c r="AI500" s="60"/>
      <c r="AJ500" s="60"/>
      <c r="AK500" s="60"/>
    </row>
    <row r="501" spans="34:37" x14ac:dyDescent="0.2">
      <c r="AH501" s="60"/>
      <c r="AI501" s="60"/>
      <c r="AJ501" s="60"/>
      <c r="AK501" s="60"/>
    </row>
    <row r="502" spans="34:37" x14ac:dyDescent="0.2">
      <c r="AH502" s="60"/>
      <c r="AI502" s="60"/>
      <c r="AJ502" s="60"/>
      <c r="AK502" s="60"/>
    </row>
    <row r="503" spans="34:37" x14ac:dyDescent="0.2">
      <c r="AH503" s="60"/>
      <c r="AI503" s="60"/>
      <c r="AJ503" s="60"/>
      <c r="AK503" s="60"/>
    </row>
    <row r="504" spans="34:37" x14ac:dyDescent="0.2">
      <c r="AH504" s="60"/>
      <c r="AI504" s="60"/>
      <c r="AJ504" s="60"/>
      <c r="AK504" s="60"/>
    </row>
    <row r="505" spans="34:37" x14ac:dyDescent="0.2">
      <c r="AH505" s="60"/>
      <c r="AI505" s="60"/>
      <c r="AJ505" s="60"/>
      <c r="AK505" s="60"/>
    </row>
    <row r="506" spans="34:37" x14ac:dyDescent="0.2">
      <c r="AH506" s="60"/>
      <c r="AI506" s="60"/>
      <c r="AJ506" s="60"/>
      <c r="AK506" s="60"/>
    </row>
    <row r="507" spans="34:37" x14ac:dyDescent="0.2">
      <c r="AH507" s="60"/>
      <c r="AI507" s="60"/>
      <c r="AJ507" s="60"/>
      <c r="AK507" s="60"/>
    </row>
    <row r="508" spans="34:37" x14ac:dyDescent="0.2">
      <c r="AH508" s="60"/>
      <c r="AI508" s="60"/>
      <c r="AJ508" s="60"/>
      <c r="AK508" s="60"/>
    </row>
    <row r="509" spans="34:37" x14ac:dyDescent="0.2">
      <c r="AH509" s="60"/>
      <c r="AI509" s="60"/>
      <c r="AJ509" s="60"/>
      <c r="AK509" s="60"/>
    </row>
    <row r="510" spans="34:37" x14ac:dyDescent="0.2">
      <c r="AH510" s="60"/>
      <c r="AI510" s="60"/>
      <c r="AJ510" s="60"/>
      <c r="AK510" s="60"/>
    </row>
    <row r="511" spans="34:37" x14ac:dyDescent="0.2">
      <c r="AH511" s="60"/>
      <c r="AI511" s="60"/>
      <c r="AJ511" s="60"/>
      <c r="AK511" s="60"/>
    </row>
    <row r="512" spans="34:37" x14ac:dyDescent="0.2">
      <c r="AH512" s="60"/>
      <c r="AI512" s="60"/>
      <c r="AJ512" s="60"/>
      <c r="AK512" s="60"/>
    </row>
    <row r="513" spans="34:37" x14ac:dyDescent="0.2">
      <c r="AH513" s="60"/>
      <c r="AI513" s="60"/>
      <c r="AJ513" s="60"/>
      <c r="AK513" s="60"/>
    </row>
    <row r="514" spans="34:37" x14ac:dyDescent="0.2">
      <c r="AH514" s="60"/>
      <c r="AI514" s="60"/>
      <c r="AJ514" s="60"/>
      <c r="AK514" s="60"/>
    </row>
    <row r="515" spans="34:37" x14ac:dyDescent="0.2">
      <c r="AH515" s="60"/>
      <c r="AI515" s="60"/>
      <c r="AJ515" s="60"/>
      <c r="AK515" s="60"/>
    </row>
    <row r="516" spans="34:37" x14ac:dyDescent="0.2">
      <c r="AH516" s="60"/>
      <c r="AI516" s="60"/>
      <c r="AJ516" s="60"/>
      <c r="AK516" s="60"/>
    </row>
    <row r="517" spans="34:37" x14ac:dyDescent="0.2">
      <c r="AH517" s="60"/>
      <c r="AI517" s="60"/>
      <c r="AJ517" s="60"/>
      <c r="AK517" s="60"/>
    </row>
    <row r="518" spans="34:37" x14ac:dyDescent="0.2">
      <c r="AH518" s="60"/>
      <c r="AI518" s="60"/>
      <c r="AJ518" s="60"/>
      <c r="AK518" s="60"/>
    </row>
    <row r="519" spans="34:37" x14ac:dyDescent="0.2">
      <c r="AH519" s="60"/>
      <c r="AI519" s="60"/>
      <c r="AJ519" s="60"/>
      <c r="AK519" s="60"/>
    </row>
    <row r="520" spans="34:37" x14ac:dyDescent="0.2">
      <c r="AH520" s="60"/>
      <c r="AI520" s="60"/>
      <c r="AJ520" s="60"/>
      <c r="AK520" s="60"/>
    </row>
    <row r="521" spans="34:37" x14ac:dyDescent="0.2">
      <c r="AH521" s="60"/>
      <c r="AI521" s="60"/>
      <c r="AJ521" s="60"/>
      <c r="AK521" s="60"/>
    </row>
    <row r="522" spans="34:37" x14ac:dyDescent="0.2">
      <c r="AH522" s="60"/>
      <c r="AI522" s="60"/>
      <c r="AJ522" s="60"/>
      <c r="AK522" s="60"/>
    </row>
    <row r="523" spans="34:37" x14ac:dyDescent="0.2">
      <c r="AH523" s="60"/>
      <c r="AI523" s="60"/>
      <c r="AJ523" s="60"/>
      <c r="AK523" s="60"/>
    </row>
    <row r="524" spans="34:37" x14ac:dyDescent="0.2">
      <c r="AH524" s="60"/>
      <c r="AI524" s="60"/>
      <c r="AJ524" s="60"/>
      <c r="AK524" s="60"/>
    </row>
    <row r="525" spans="34:37" x14ac:dyDescent="0.2">
      <c r="AH525" s="60"/>
      <c r="AI525" s="60"/>
      <c r="AJ525" s="60"/>
      <c r="AK525" s="60"/>
    </row>
    <row r="526" spans="34:37" x14ac:dyDescent="0.2">
      <c r="AH526" s="60"/>
      <c r="AI526" s="60"/>
      <c r="AJ526" s="60"/>
      <c r="AK526" s="60"/>
    </row>
    <row r="527" spans="34:37" x14ac:dyDescent="0.2">
      <c r="AH527" s="60"/>
      <c r="AI527" s="60"/>
      <c r="AJ527" s="60"/>
      <c r="AK527" s="60"/>
    </row>
    <row r="528" spans="34:37" x14ac:dyDescent="0.2">
      <c r="AH528" s="60"/>
      <c r="AI528" s="60"/>
      <c r="AJ528" s="60"/>
      <c r="AK528" s="60"/>
    </row>
    <row r="529" spans="34:37" x14ac:dyDescent="0.2">
      <c r="AH529" s="60"/>
      <c r="AI529" s="60"/>
      <c r="AJ529" s="60"/>
      <c r="AK529" s="60"/>
    </row>
    <row r="530" spans="34:37" x14ac:dyDescent="0.2">
      <c r="AH530" s="60"/>
      <c r="AI530" s="60"/>
      <c r="AJ530" s="60"/>
      <c r="AK530" s="60"/>
    </row>
    <row r="531" spans="34:37" x14ac:dyDescent="0.2">
      <c r="AH531" s="60"/>
      <c r="AI531" s="60"/>
      <c r="AJ531" s="60"/>
      <c r="AK531" s="60"/>
    </row>
    <row r="532" spans="34:37" x14ac:dyDescent="0.2">
      <c r="AH532" s="60"/>
      <c r="AI532" s="60"/>
      <c r="AJ532" s="60"/>
      <c r="AK532" s="60"/>
    </row>
    <row r="533" spans="34:37" x14ac:dyDescent="0.2">
      <c r="AH533" s="60"/>
      <c r="AI533" s="60"/>
      <c r="AJ533" s="60"/>
      <c r="AK533" s="60"/>
    </row>
    <row r="534" spans="34:37" x14ac:dyDescent="0.2">
      <c r="AH534" s="60"/>
      <c r="AI534" s="60"/>
      <c r="AJ534" s="60"/>
      <c r="AK534" s="60"/>
    </row>
    <row r="535" spans="34:37" x14ac:dyDescent="0.2">
      <c r="AH535" s="60"/>
      <c r="AI535" s="60"/>
      <c r="AJ535" s="60"/>
      <c r="AK535" s="60"/>
    </row>
    <row r="536" spans="34:37" x14ac:dyDescent="0.2">
      <c r="AH536" s="60"/>
      <c r="AI536" s="60"/>
      <c r="AJ536" s="60"/>
      <c r="AK536" s="60"/>
    </row>
    <row r="537" spans="34:37" x14ac:dyDescent="0.2">
      <c r="AH537" s="60"/>
      <c r="AI537" s="60"/>
      <c r="AJ537" s="60"/>
      <c r="AK537" s="60"/>
    </row>
    <row r="538" spans="34:37" x14ac:dyDescent="0.2">
      <c r="AH538" s="60"/>
      <c r="AI538" s="60"/>
      <c r="AJ538" s="60"/>
      <c r="AK538" s="60"/>
    </row>
    <row r="539" spans="34:37" x14ac:dyDescent="0.2">
      <c r="AH539" s="60"/>
      <c r="AI539" s="60"/>
      <c r="AJ539" s="60"/>
      <c r="AK539" s="60"/>
    </row>
    <row r="540" spans="34:37" x14ac:dyDescent="0.2">
      <c r="AH540" s="60"/>
      <c r="AI540" s="60"/>
      <c r="AJ540" s="60"/>
      <c r="AK540" s="60"/>
    </row>
    <row r="541" spans="34:37" x14ac:dyDescent="0.2">
      <c r="AH541" s="60"/>
      <c r="AI541" s="60"/>
      <c r="AJ541" s="60"/>
      <c r="AK541" s="60"/>
    </row>
    <row r="542" spans="34:37" x14ac:dyDescent="0.2">
      <c r="AH542" s="60"/>
      <c r="AI542" s="60"/>
      <c r="AJ542" s="60"/>
      <c r="AK542" s="60"/>
    </row>
    <row r="543" spans="34:37" x14ac:dyDescent="0.2">
      <c r="AH543" s="60"/>
      <c r="AI543" s="60"/>
      <c r="AJ543" s="60"/>
      <c r="AK543" s="60"/>
    </row>
    <row r="544" spans="34:37" x14ac:dyDescent="0.2">
      <c r="AH544" s="60"/>
      <c r="AI544" s="60"/>
      <c r="AJ544" s="60"/>
      <c r="AK544" s="60"/>
    </row>
    <row r="545" spans="34:37" x14ac:dyDescent="0.2">
      <c r="AH545" s="60"/>
      <c r="AI545" s="60"/>
      <c r="AJ545" s="60"/>
      <c r="AK545" s="60"/>
    </row>
    <row r="546" spans="34:37" x14ac:dyDescent="0.2">
      <c r="AH546" s="60"/>
      <c r="AI546" s="60"/>
      <c r="AJ546" s="60"/>
      <c r="AK546" s="60"/>
    </row>
    <row r="547" spans="34:37" x14ac:dyDescent="0.2">
      <c r="AH547" s="60"/>
      <c r="AI547" s="60"/>
      <c r="AJ547" s="60"/>
      <c r="AK547" s="60"/>
    </row>
    <row r="548" spans="34:37" x14ac:dyDescent="0.2">
      <c r="AH548" s="60"/>
      <c r="AI548" s="60"/>
      <c r="AJ548" s="60"/>
      <c r="AK548" s="60"/>
    </row>
    <row r="549" spans="34:37" x14ac:dyDescent="0.2">
      <c r="AH549" s="60"/>
      <c r="AI549" s="60"/>
      <c r="AJ549" s="60"/>
      <c r="AK549" s="60"/>
    </row>
    <row r="550" spans="34:37" x14ac:dyDescent="0.2">
      <c r="AH550" s="60"/>
      <c r="AI550" s="60"/>
      <c r="AJ550" s="60"/>
      <c r="AK550" s="60"/>
    </row>
    <row r="551" spans="34:37" x14ac:dyDescent="0.2">
      <c r="AH551" s="60"/>
      <c r="AI551" s="60"/>
      <c r="AJ551" s="60"/>
      <c r="AK551" s="60"/>
    </row>
    <row r="552" spans="34:37" x14ac:dyDescent="0.2">
      <c r="AH552" s="60"/>
      <c r="AI552" s="60"/>
      <c r="AJ552" s="60"/>
      <c r="AK552" s="60"/>
    </row>
    <row r="553" spans="34:37" x14ac:dyDescent="0.2">
      <c r="AH553" s="60"/>
      <c r="AI553" s="60"/>
      <c r="AJ553" s="60"/>
      <c r="AK553" s="60"/>
    </row>
    <row r="554" spans="34:37" x14ac:dyDescent="0.2">
      <c r="AH554" s="60"/>
      <c r="AI554" s="60"/>
      <c r="AJ554" s="60"/>
      <c r="AK554" s="60"/>
    </row>
    <row r="555" spans="34:37" x14ac:dyDescent="0.2">
      <c r="AH555" s="60"/>
      <c r="AI555" s="60"/>
      <c r="AJ555" s="60"/>
      <c r="AK555" s="60"/>
    </row>
    <row r="556" spans="34:37" x14ac:dyDescent="0.2">
      <c r="AH556" s="60"/>
      <c r="AI556" s="60"/>
      <c r="AJ556" s="60"/>
      <c r="AK556" s="60"/>
    </row>
    <row r="557" spans="34:37" x14ac:dyDescent="0.2">
      <c r="AH557" s="60"/>
      <c r="AI557" s="60"/>
      <c r="AJ557" s="60"/>
      <c r="AK557" s="60"/>
    </row>
    <row r="558" spans="34:37" x14ac:dyDescent="0.2">
      <c r="AH558" s="60"/>
      <c r="AI558" s="60"/>
      <c r="AJ558" s="60"/>
      <c r="AK558" s="60"/>
    </row>
    <row r="559" spans="34:37" x14ac:dyDescent="0.2">
      <c r="AH559" s="60"/>
      <c r="AI559" s="60"/>
      <c r="AJ559" s="60"/>
      <c r="AK559" s="60"/>
    </row>
    <row r="560" spans="34:37" x14ac:dyDescent="0.2">
      <c r="AH560" s="60"/>
      <c r="AI560" s="60"/>
      <c r="AJ560" s="60"/>
      <c r="AK560" s="60"/>
    </row>
    <row r="561" spans="34:37" x14ac:dyDescent="0.2">
      <c r="AH561" s="60"/>
      <c r="AI561" s="60"/>
      <c r="AJ561" s="60"/>
      <c r="AK561" s="60"/>
    </row>
    <row r="562" spans="34:37" x14ac:dyDescent="0.2">
      <c r="AH562" s="60"/>
      <c r="AI562" s="60"/>
      <c r="AJ562" s="60"/>
      <c r="AK562" s="60"/>
    </row>
    <row r="563" spans="34:37" x14ac:dyDescent="0.2">
      <c r="AH563" s="60"/>
      <c r="AI563" s="60"/>
      <c r="AJ563" s="60"/>
      <c r="AK563" s="60"/>
    </row>
    <row r="564" spans="34:37" x14ac:dyDescent="0.2">
      <c r="AH564" s="60"/>
      <c r="AI564" s="60"/>
      <c r="AJ564" s="60"/>
      <c r="AK564" s="60"/>
    </row>
    <row r="565" spans="34:37" x14ac:dyDescent="0.2">
      <c r="AH565" s="60"/>
      <c r="AI565" s="60"/>
      <c r="AJ565" s="60"/>
      <c r="AK565" s="60"/>
    </row>
    <row r="566" spans="34:37" x14ac:dyDescent="0.2">
      <c r="AH566" s="60"/>
      <c r="AI566" s="60"/>
      <c r="AJ566" s="60"/>
      <c r="AK566" s="60"/>
    </row>
    <row r="567" spans="34:37" x14ac:dyDescent="0.2">
      <c r="AH567" s="60"/>
      <c r="AI567" s="60"/>
      <c r="AJ567" s="60"/>
      <c r="AK567" s="60"/>
    </row>
    <row r="568" spans="34:37" x14ac:dyDescent="0.2">
      <c r="AH568" s="60"/>
      <c r="AI568" s="60"/>
      <c r="AJ568" s="60"/>
      <c r="AK568" s="60"/>
    </row>
    <row r="569" spans="34:37" x14ac:dyDescent="0.2">
      <c r="AH569" s="60"/>
      <c r="AI569" s="60"/>
      <c r="AJ569" s="60"/>
      <c r="AK569" s="60"/>
    </row>
    <row r="570" spans="34:37" x14ac:dyDescent="0.2">
      <c r="AH570" s="60"/>
      <c r="AI570" s="60"/>
      <c r="AJ570" s="60"/>
      <c r="AK570" s="60"/>
    </row>
    <row r="571" spans="34:37" x14ac:dyDescent="0.2">
      <c r="AH571" s="60"/>
      <c r="AI571" s="60"/>
      <c r="AJ571" s="60"/>
      <c r="AK571" s="60"/>
    </row>
    <row r="572" spans="34:37" x14ac:dyDescent="0.2">
      <c r="AH572" s="60"/>
      <c r="AI572" s="60"/>
      <c r="AJ572" s="60"/>
      <c r="AK572" s="60"/>
    </row>
    <row r="573" spans="34:37" x14ac:dyDescent="0.2">
      <c r="AH573" s="60"/>
      <c r="AI573" s="60"/>
      <c r="AJ573" s="60"/>
      <c r="AK573" s="60"/>
    </row>
    <row r="574" spans="34:37" x14ac:dyDescent="0.2">
      <c r="AH574" s="60"/>
      <c r="AI574" s="60"/>
      <c r="AJ574" s="60"/>
      <c r="AK574" s="60"/>
    </row>
    <row r="575" spans="34:37" x14ac:dyDescent="0.2">
      <c r="AH575" s="60"/>
      <c r="AI575" s="60"/>
      <c r="AJ575" s="60"/>
      <c r="AK575" s="60"/>
    </row>
    <row r="576" spans="34:37" x14ac:dyDescent="0.2">
      <c r="AH576" s="60"/>
      <c r="AI576" s="60"/>
      <c r="AJ576" s="60"/>
      <c r="AK576" s="60"/>
    </row>
    <row r="577" spans="34:37" x14ac:dyDescent="0.2">
      <c r="AH577" s="60"/>
      <c r="AI577" s="60"/>
      <c r="AJ577" s="60"/>
      <c r="AK577" s="60"/>
    </row>
    <row r="578" spans="34:37" x14ac:dyDescent="0.2">
      <c r="AH578" s="60"/>
      <c r="AI578" s="60"/>
      <c r="AJ578" s="60"/>
      <c r="AK578" s="60"/>
    </row>
    <row r="579" spans="34:37" x14ac:dyDescent="0.2">
      <c r="AH579" s="60"/>
      <c r="AI579" s="60"/>
      <c r="AJ579" s="60"/>
      <c r="AK579" s="60"/>
    </row>
    <row r="580" spans="34:37" x14ac:dyDescent="0.2">
      <c r="AH580" s="60"/>
      <c r="AI580" s="60"/>
      <c r="AJ580" s="60"/>
      <c r="AK580" s="60"/>
    </row>
    <row r="581" spans="34:37" x14ac:dyDescent="0.2">
      <c r="AH581" s="60"/>
      <c r="AI581" s="60"/>
      <c r="AJ581" s="60"/>
      <c r="AK581" s="60"/>
    </row>
    <row r="582" spans="34:37" x14ac:dyDescent="0.2">
      <c r="AH582" s="60"/>
      <c r="AI582" s="60"/>
      <c r="AJ582" s="60"/>
      <c r="AK582" s="60"/>
    </row>
    <row r="583" spans="34:37" x14ac:dyDescent="0.2">
      <c r="AH583" s="60"/>
      <c r="AI583" s="60"/>
      <c r="AJ583" s="60"/>
      <c r="AK583" s="60"/>
    </row>
    <row r="584" spans="34:37" x14ac:dyDescent="0.2">
      <c r="AH584" s="60"/>
      <c r="AI584" s="60"/>
      <c r="AJ584" s="60"/>
      <c r="AK584" s="60"/>
    </row>
    <row r="585" spans="34:37" x14ac:dyDescent="0.2">
      <c r="AH585" s="60"/>
      <c r="AI585" s="60"/>
      <c r="AJ585" s="60"/>
      <c r="AK585" s="60"/>
    </row>
    <row r="586" spans="34:37" x14ac:dyDescent="0.2">
      <c r="AH586" s="60"/>
      <c r="AI586" s="60"/>
      <c r="AJ586" s="60"/>
      <c r="AK586" s="60"/>
    </row>
    <row r="587" spans="34:37" x14ac:dyDescent="0.2">
      <c r="AH587" s="60"/>
      <c r="AI587" s="60"/>
      <c r="AJ587" s="60"/>
      <c r="AK587" s="60"/>
    </row>
    <row r="588" spans="34:37" x14ac:dyDescent="0.2">
      <c r="AH588" s="60"/>
      <c r="AI588" s="60"/>
      <c r="AJ588" s="60"/>
      <c r="AK588" s="60"/>
    </row>
    <row r="589" spans="34:37" x14ac:dyDescent="0.2">
      <c r="AH589" s="60"/>
      <c r="AI589" s="60"/>
      <c r="AJ589" s="60"/>
      <c r="AK589" s="60"/>
    </row>
    <row r="590" spans="34:37" x14ac:dyDescent="0.2">
      <c r="AH590" s="60"/>
      <c r="AI590" s="60"/>
      <c r="AJ590" s="60"/>
      <c r="AK590" s="60"/>
    </row>
    <row r="591" spans="34:37" x14ac:dyDescent="0.2">
      <c r="AH591" s="60"/>
      <c r="AI591" s="60"/>
      <c r="AJ591" s="60"/>
      <c r="AK591" s="60"/>
    </row>
    <row r="592" spans="34:37" x14ac:dyDescent="0.2">
      <c r="AH592" s="60"/>
      <c r="AI592" s="60"/>
      <c r="AJ592" s="60"/>
      <c r="AK592" s="60"/>
    </row>
    <row r="593" spans="34:37" x14ac:dyDescent="0.2">
      <c r="AH593" s="60"/>
      <c r="AI593" s="60"/>
      <c r="AJ593" s="60"/>
      <c r="AK593" s="60"/>
    </row>
    <row r="594" spans="34:37" x14ac:dyDescent="0.2">
      <c r="AH594" s="60"/>
      <c r="AI594" s="60"/>
      <c r="AJ594" s="60"/>
      <c r="AK594" s="60"/>
    </row>
    <row r="595" spans="34:37" x14ac:dyDescent="0.2">
      <c r="AH595" s="60"/>
      <c r="AI595" s="60"/>
      <c r="AJ595" s="60"/>
      <c r="AK595" s="60"/>
    </row>
    <row r="596" spans="34:37" x14ac:dyDescent="0.2">
      <c r="AH596" s="60"/>
      <c r="AI596" s="60"/>
      <c r="AJ596" s="60"/>
      <c r="AK596" s="60"/>
    </row>
    <row r="597" spans="34:37" x14ac:dyDescent="0.2">
      <c r="AH597" s="60"/>
      <c r="AI597" s="60"/>
      <c r="AJ597" s="60"/>
      <c r="AK597" s="60"/>
    </row>
    <row r="598" spans="34:37" x14ac:dyDescent="0.2">
      <c r="AH598" s="60"/>
      <c r="AI598" s="60"/>
      <c r="AJ598" s="60"/>
      <c r="AK598" s="60"/>
    </row>
    <row r="599" spans="34:37" x14ac:dyDescent="0.2">
      <c r="AH599" s="60"/>
      <c r="AI599" s="60"/>
      <c r="AJ599" s="60"/>
      <c r="AK599" s="60"/>
    </row>
    <row r="600" spans="34:37" x14ac:dyDescent="0.2">
      <c r="AH600" s="60"/>
      <c r="AI600" s="60"/>
      <c r="AJ600" s="60"/>
      <c r="AK600" s="60"/>
    </row>
    <row r="601" spans="34:37" x14ac:dyDescent="0.2">
      <c r="AH601" s="60"/>
      <c r="AI601" s="60"/>
      <c r="AJ601" s="60"/>
      <c r="AK601" s="60"/>
    </row>
    <row r="602" spans="34:37" x14ac:dyDescent="0.2">
      <c r="AH602" s="60"/>
      <c r="AI602" s="60"/>
      <c r="AJ602" s="60"/>
      <c r="AK602" s="60"/>
    </row>
    <row r="603" spans="34:37" x14ac:dyDescent="0.2">
      <c r="AH603" s="60"/>
      <c r="AI603" s="60"/>
      <c r="AJ603" s="60"/>
      <c r="AK603" s="60"/>
    </row>
    <row r="604" spans="34:37" x14ac:dyDescent="0.2">
      <c r="AH604" s="60"/>
      <c r="AI604" s="60"/>
      <c r="AJ604" s="60"/>
      <c r="AK604" s="60"/>
    </row>
    <row r="605" spans="34:37" x14ac:dyDescent="0.2">
      <c r="AH605" s="60"/>
      <c r="AI605" s="60"/>
      <c r="AJ605" s="60"/>
      <c r="AK605" s="60"/>
    </row>
    <row r="606" spans="34:37" x14ac:dyDescent="0.2">
      <c r="AH606" s="60"/>
      <c r="AI606" s="60"/>
      <c r="AJ606" s="60"/>
      <c r="AK606" s="60"/>
    </row>
    <row r="607" spans="34:37" x14ac:dyDescent="0.2">
      <c r="AH607" s="60"/>
      <c r="AI607" s="60"/>
      <c r="AJ607" s="60"/>
      <c r="AK607" s="60"/>
    </row>
    <row r="608" spans="34:37" x14ac:dyDescent="0.2">
      <c r="AH608" s="60"/>
      <c r="AI608" s="60"/>
      <c r="AJ608" s="60"/>
      <c r="AK608" s="60"/>
    </row>
    <row r="609" spans="34:37" x14ac:dyDescent="0.2">
      <c r="AH609" s="60"/>
      <c r="AI609" s="60"/>
      <c r="AJ609" s="60"/>
      <c r="AK609" s="60"/>
    </row>
    <row r="610" spans="34:37" x14ac:dyDescent="0.2">
      <c r="AH610" s="60"/>
      <c r="AI610" s="60"/>
      <c r="AJ610" s="60"/>
      <c r="AK610" s="60"/>
    </row>
    <row r="611" spans="34:37" x14ac:dyDescent="0.2">
      <c r="AH611" s="60"/>
      <c r="AI611" s="60"/>
      <c r="AJ611" s="60"/>
      <c r="AK611" s="60"/>
    </row>
    <row r="612" spans="34:37" x14ac:dyDescent="0.2">
      <c r="AH612" s="60"/>
      <c r="AI612" s="60"/>
      <c r="AJ612" s="60"/>
      <c r="AK612" s="60"/>
    </row>
    <row r="613" spans="34:37" x14ac:dyDescent="0.2">
      <c r="AH613" s="60"/>
      <c r="AI613" s="60"/>
      <c r="AJ613" s="60"/>
      <c r="AK613" s="60"/>
    </row>
    <row r="614" spans="34:37" x14ac:dyDescent="0.2">
      <c r="AH614" s="60"/>
      <c r="AI614" s="60"/>
      <c r="AJ614" s="60"/>
      <c r="AK614" s="60"/>
    </row>
    <row r="615" spans="34:37" x14ac:dyDescent="0.2">
      <c r="AH615" s="60"/>
      <c r="AI615" s="60"/>
      <c r="AJ615" s="60"/>
      <c r="AK615" s="60"/>
    </row>
    <row r="616" spans="34:37" x14ac:dyDescent="0.2">
      <c r="AH616" s="60"/>
      <c r="AI616" s="60"/>
      <c r="AJ616" s="60"/>
      <c r="AK616" s="60"/>
    </row>
    <row r="617" spans="34:37" x14ac:dyDescent="0.2">
      <c r="AH617" s="60"/>
      <c r="AI617" s="60"/>
      <c r="AJ617" s="60"/>
      <c r="AK617" s="60"/>
    </row>
    <row r="618" spans="34:37" x14ac:dyDescent="0.2">
      <c r="AH618" s="60"/>
      <c r="AI618" s="60"/>
      <c r="AJ618" s="60"/>
      <c r="AK618" s="60"/>
    </row>
    <row r="619" spans="34:37" x14ac:dyDescent="0.2">
      <c r="AH619" s="60"/>
      <c r="AI619" s="60"/>
      <c r="AJ619" s="60"/>
      <c r="AK619" s="60"/>
    </row>
    <row r="620" spans="34:37" x14ac:dyDescent="0.2">
      <c r="AH620" s="60"/>
      <c r="AI620" s="60"/>
      <c r="AJ620" s="60"/>
      <c r="AK620" s="60"/>
    </row>
    <row r="621" spans="34:37" x14ac:dyDescent="0.2">
      <c r="AH621" s="60"/>
      <c r="AI621" s="60"/>
      <c r="AJ621" s="60"/>
      <c r="AK621" s="60"/>
    </row>
    <row r="622" spans="34:37" x14ac:dyDescent="0.2">
      <c r="AH622" s="60"/>
      <c r="AI622" s="60"/>
      <c r="AJ622" s="60"/>
      <c r="AK622" s="60"/>
    </row>
    <row r="623" spans="34:37" x14ac:dyDescent="0.2">
      <c r="AH623" s="60"/>
      <c r="AI623" s="60"/>
      <c r="AJ623" s="60"/>
      <c r="AK623" s="60"/>
    </row>
    <row r="624" spans="34:37" x14ac:dyDescent="0.2">
      <c r="AH624" s="60"/>
      <c r="AI624" s="60"/>
      <c r="AJ624" s="60"/>
      <c r="AK624" s="60"/>
    </row>
    <row r="625" spans="34:37" x14ac:dyDescent="0.2">
      <c r="AH625" s="60"/>
      <c r="AI625" s="60"/>
      <c r="AJ625" s="60"/>
      <c r="AK625" s="60"/>
    </row>
    <row r="626" spans="34:37" x14ac:dyDescent="0.2">
      <c r="AH626" s="60"/>
      <c r="AI626" s="60"/>
      <c r="AJ626" s="60"/>
      <c r="AK626" s="60"/>
    </row>
    <row r="627" spans="34:37" x14ac:dyDescent="0.2">
      <c r="AH627" s="60"/>
      <c r="AI627" s="60"/>
      <c r="AJ627" s="60"/>
      <c r="AK627" s="60"/>
    </row>
    <row r="628" spans="34:37" x14ac:dyDescent="0.2">
      <c r="AH628" s="60"/>
      <c r="AI628" s="60"/>
      <c r="AJ628" s="60"/>
      <c r="AK628" s="60"/>
    </row>
    <row r="629" spans="34:37" x14ac:dyDescent="0.2">
      <c r="AH629" s="60"/>
      <c r="AI629" s="60"/>
      <c r="AJ629" s="60"/>
      <c r="AK629" s="60"/>
    </row>
    <row r="630" spans="34:37" x14ac:dyDescent="0.2">
      <c r="AH630" s="60"/>
      <c r="AI630" s="60"/>
      <c r="AJ630" s="60"/>
      <c r="AK630" s="60"/>
    </row>
    <row r="631" spans="34:37" x14ac:dyDescent="0.2">
      <c r="AH631" s="60"/>
      <c r="AI631" s="60"/>
      <c r="AJ631" s="60"/>
      <c r="AK631" s="60"/>
    </row>
    <row r="632" spans="34:37" x14ac:dyDescent="0.2">
      <c r="AH632" s="60"/>
      <c r="AI632" s="60"/>
      <c r="AJ632" s="60"/>
      <c r="AK632" s="60"/>
    </row>
    <row r="633" spans="34:37" x14ac:dyDescent="0.2">
      <c r="AH633" s="60"/>
      <c r="AI633" s="60"/>
      <c r="AJ633" s="60"/>
      <c r="AK633" s="60"/>
    </row>
    <row r="634" spans="34:37" x14ac:dyDescent="0.2">
      <c r="AH634" s="60"/>
      <c r="AI634" s="60"/>
      <c r="AJ634" s="60"/>
      <c r="AK634" s="60"/>
    </row>
    <row r="635" spans="34:37" x14ac:dyDescent="0.2">
      <c r="AH635" s="60"/>
      <c r="AI635" s="60"/>
      <c r="AJ635" s="60"/>
      <c r="AK635" s="60"/>
    </row>
    <row r="636" spans="34:37" x14ac:dyDescent="0.2">
      <c r="AH636" s="60"/>
      <c r="AI636" s="60"/>
      <c r="AJ636" s="60"/>
      <c r="AK636" s="60"/>
    </row>
    <row r="637" spans="34:37" x14ac:dyDescent="0.2">
      <c r="AH637" s="60"/>
      <c r="AI637" s="60"/>
      <c r="AJ637" s="60"/>
      <c r="AK637" s="60"/>
    </row>
    <row r="638" spans="34:37" x14ac:dyDescent="0.2">
      <c r="AH638" s="60"/>
      <c r="AI638" s="60"/>
      <c r="AJ638" s="60"/>
      <c r="AK638" s="60"/>
    </row>
    <row r="639" spans="34:37" x14ac:dyDescent="0.2">
      <c r="AH639" s="60"/>
      <c r="AI639" s="60"/>
      <c r="AJ639" s="60"/>
      <c r="AK639" s="60"/>
    </row>
    <row r="640" spans="34:37" x14ac:dyDescent="0.2">
      <c r="AH640" s="60"/>
      <c r="AI640" s="60"/>
      <c r="AJ640" s="60"/>
      <c r="AK640" s="60"/>
    </row>
    <row r="641" spans="34:37" x14ac:dyDescent="0.2">
      <c r="AH641" s="60"/>
      <c r="AI641" s="60"/>
      <c r="AJ641" s="60"/>
      <c r="AK641" s="60"/>
    </row>
    <row r="642" spans="34:37" x14ac:dyDescent="0.2">
      <c r="AH642" s="60"/>
      <c r="AI642" s="60"/>
      <c r="AJ642" s="60"/>
      <c r="AK642" s="60"/>
    </row>
    <row r="643" spans="34:37" x14ac:dyDescent="0.2">
      <c r="AH643" s="60"/>
      <c r="AI643" s="60"/>
      <c r="AJ643" s="60"/>
      <c r="AK643" s="60"/>
    </row>
    <row r="644" spans="34:37" x14ac:dyDescent="0.2">
      <c r="AH644" s="60"/>
      <c r="AI644" s="60"/>
      <c r="AJ644" s="60"/>
      <c r="AK644" s="60"/>
    </row>
    <row r="645" spans="34:37" x14ac:dyDescent="0.2">
      <c r="AH645" s="60"/>
      <c r="AI645" s="60"/>
      <c r="AJ645" s="60"/>
      <c r="AK645" s="60"/>
    </row>
    <row r="646" spans="34:37" x14ac:dyDescent="0.2">
      <c r="AH646" s="60"/>
      <c r="AI646" s="60"/>
      <c r="AJ646" s="60"/>
      <c r="AK646" s="60"/>
    </row>
    <row r="647" spans="34:37" x14ac:dyDescent="0.2">
      <c r="AH647" s="60"/>
      <c r="AI647" s="60"/>
      <c r="AJ647" s="60"/>
      <c r="AK647" s="60"/>
    </row>
    <row r="648" spans="34:37" x14ac:dyDescent="0.2">
      <c r="AH648" s="60"/>
      <c r="AI648" s="60"/>
      <c r="AJ648" s="60"/>
      <c r="AK648" s="60"/>
    </row>
    <row r="649" spans="34:37" x14ac:dyDescent="0.2">
      <c r="AH649" s="60"/>
      <c r="AI649" s="60"/>
      <c r="AJ649" s="60"/>
      <c r="AK649" s="60"/>
    </row>
    <row r="650" spans="34:37" x14ac:dyDescent="0.2">
      <c r="AH650" s="60"/>
      <c r="AI650" s="60"/>
      <c r="AJ650" s="60"/>
      <c r="AK650" s="60"/>
    </row>
    <row r="651" spans="34:37" x14ac:dyDescent="0.2">
      <c r="AH651" s="60"/>
      <c r="AI651" s="60"/>
      <c r="AJ651" s="60"/>
      <c r="AK651" s="60"/>
    </row>
    <row r="652" spans="34:37" x14ac:dyDescent="0.2">
      <c r="AH652" s="60"/>
      <c r="AI652" s="60"/>
      <c r="AJ652" s="60"/>
      <c r="AK652" s="60"/>
    </row>
    <row r="653" spans="34:37" x14ac:dyDescent="0.2">
      <c r="AH653" s="60"/>
      <c r="AI653" s="60"/>
      <c r="AJ653" s="60"/>
      <c r="AK653" s="60"/>
    </row>
    <row r="654" spans="34:37" x14ac:dyDescent="0.2">
      <c r="AH654" s="60"/>
      <c r="AI654" s="60"/>
      <c r="AJ654" s="60"/>
      <c r="AK654" s="60"/>
    </row>
    <row r="655" spans="34:37" x14ac:dyDescent="0.2">
      <c r="AH655" s="60"/>
      <c r="AI655" s="60"/>
      <c r="AJ655" s="60"/>
      <c r="AK655" s="60"/>
    </row>
    <row r="656" spans="34:37" x14ac:dyDescent="0.2">
      <c r="AH656" s="60"/>
      <c r="AI656" s="60"/>
      <c r="AJ656" s="60"/>
      <c r="AK656" s="60"/>
    </row>
    <row r="657" spans="34:37" x14ac:dyDescent="0.2">
      <c r="AH657" s="60"/>
      <c r="AI657" s="60"/>
      <c r="AJ657" s="60"/>
      <c r="AK657" s="60"/>
    </row>
    <row r="658" spans="34:37" x14ac:dyDescent="0.2">
      <c r="AH658" s="60"/>
      <c r="AI658" s="60"/>
      <c r="AJ658" s="60"/>
      <c r="AK658" s="60"/>
    </row>
    <row r="659" spans="34:37" x14ac:dyDescent="0.2">
      <c r="AH659" s="60"/>
      <c r="AI659" s="60"/>
      <c r="AJ659" s="60"/>
      <c r="AK659" s="60"/>
    </row>
    <row r="660" spans="34:37" x14ac:dyDescent="0.2">
      <c r="AH660" s="60"/>
      <c r="AI660" s="60"/>
      <c r="AJ660" s="60"/>
      <c r="AK660" s="60"/>
    </row>
    <row r="661" spans="34:37" x14ac:dyDescent="0.2">
      <c r="AH661" s="60"/>
      <c r="AI661" s="60"/>
      <c r="AJ661" s="60"/>
      <c r="AK661" s="60"/>
    </row>
    <row r="662" spans="34:37" x14ac:dyDescent="0.2">
      <c r="AH662" s="60"/>
      <c r="AI662" s="60"/>
      <c r="AJ662" s="60"/>
      <c r="AK662" s="60"/>
    </row>
    <row r="663" spans="34:37" x14ac:dyDescent="0.2">
      <c r="AH663" s="60"/>
      <c r="AI663" s="60"/>
      <c r="AJ663" s="60"/>
      <c r="AK663" s="60"/>
    </row>
    <row r="664" spans="34:37" x14ac:dyDescent="0.2">
      <c r="AH664" s="60"/>
      <c r="AI664" s="60"/>
      <c r="AJ664" s="60"/>
      <c r="AK664" s="60"/>
    </row>
    <row r="665" spans="34:37" x14ac:dyDescent="0.2">
      <c r="AH665" s="60"/>
      <c r="AI665" s="60"/>
      <c r="AJ665" s="60"/>
      <c r="AK665" s="60"/>
    </row>
    <row r="666" spans="34:37" x14ac:dyDescent="0.2">
      <c r="AH666" s="60"/>
      <c r="AI666" s="60"/>
      <c r="AJ666" s="60"/>
      <c r="AK666" s="60"/>
    </row>
    <row r="667" spans="34:37" x14ac:dyDescent="0.2">
      <c r="AH667" s="60"/>
      <c r="AI667" s="60"/>
      <c r="AJ667" s="60"/>
      <c r="AK667" s="60"/>
    </row>
    <row r="668" spans="34:37" x14ac:dyDescent="0.2">
      <c r="AH668" s="60"/>
      <c r="AI668" s="60"/>
      <c r="AJ668" s="60"/>
      <c r="AK668" s="60"/>
    </row>
    <row r="669" spans="34:37" x14ac:dyDescent="0.2">
      <c r="AH669" s="60"/>
      <c r="AI669" s="60"/>
      <c r="AJ669" s="60"/>
      <c r="AK669" s="60"/>
    </row>
    <row r="670" spans="34:37" x14ac:dyDescent="0.2">
      <c r="AH670" s="60"/>
      <c r="AI670" s="60"/>
      <c r="AJ670" s="60"/>
      <c r="AK670" s="60"/>
    </row>
    <row r="671" spans="34:37" x14ac:dyDescent="0.2">
      <c r="AH671" s="60"/>
      <c r="AI671" s="60"/>
      <c r="AJ671" s="60"/>
      <c r="AK671" s="60"/>
    </row>
    <row r="672" spans="34:37" x14ac:dyDescent="0.2">
      <c r="AH672" s="60"/>
      <c r="AI672" s="60"/>
      <c r="AJ672" s="60"/>
      <c r="AK672" s="60"/>
    </row>
    <row r="673" spans="34:37" x14ac:dyDescent="0.2">
      <c r="AH673" s="60"/>
      <c r="AI673" s="60"/>
      <c r="AJ673" s="60"/>
      <c r="AK673" s="60"/>
    </row>
    <row r="674" spans="34:37" x14ac:dyDescent="0.2">
      <c r="AH674" s="60"/>
      <c r="AI674" s="60"/>
      <c r="AJ674" s="60"/>
      <c r="AK674" s="60"/>
    </row>
    <row r="675" spans="34:37" x14ac:dyDescent="0.2">
      <c r="AH675" s="60"/>
      <c r="AI675" s="60"/>
      <c r="AJ675" s="60"/>
      <c r="AK675" s="60"/>
    </row>
    <row r="676" spans="34:37" x14ac:dyDescent="0.2">
      <c r="AH676" s="60"/>
      <c r="AI676" s="60"/>
      <c r="AJ676" s="60"/>
      <c r="AK676" s="60"/>
    </row>
    <row r="677" spans="34:37" x14ac:dyDescent="0.2">
      <c r="AH677" s="60"/>
      <c r="AI677" s="60"/>
      <c r="AJ677" s="60"/>
      <c r="AK677" s="60"/>
    </row>
    <row r="678" spans="34:37" x14ac:dyDescent="0.2">
      <c r="AH678" s="60"/>
      <c r="AI678" s="60"/>
      <c r="AJ678" s="60"/>
      <c r="AK678" s="60"/>
    </row>
    <row r="679" spans="34:37" x14ac:dyDescent="0.2">
      <c r="AH679" s="60"/>
      <c r="AI679" s="60"/>
      <c r="AJ679" s="60"/>
      <c r="AK679" s="60"/>
    </row>
    <row r="680" spans="34:37" x14ac:dyDescent="0.2">
      <c r="AH680" s="60"/>
      <c r="AI680" s="60"/>
      <c r="AJ680" s="60"/>
      <c r="AK680" s="60"/>
    </row>
    <row r="681" spans="34:37" x14ac:dyDescent="0.2">
      <c r="AH681" s="60"/>
      <c r="AI681" s="60"/>
      <c r="AJ681" s="60"/>
      <c r="AK681" s="60"/>
    </row>
    <row r="682" spans="34:37" x14ac:dyDescent="0.2">
      <c r="AH682" s="60"/>
      <c r="AI682" s="60"/>
      <c r="AJ682" s="60"/>
      <c r="AK682" s="60"/>
    </row>
    <row r="683" spans="34:37" x14ac:dyDescent="0.2">
      <c r="AH683" s="60"/>
      <c r="AI683" s="60"/>
      <c r="AJ683" s="60"/>
      <c r="AK683" s="60"/>
    </row>
    <row r="684" spans="34:37" x14ac:dyDescent="0.2">
      <c r="AH684" s="60"/>
      <c r="AI684" s="60"/>
      <c r="AJ684" s="60"/>
      <c r="AK684" s="60"/>
    </row>
    <row r="685" spans="34:37" x14ac:dyDescent="0.2">
      <c r="AH685" s="60"/>
      <c r="AI685" s="60"/>
      <c r="AJ685" s="60"/>
      <c r="AK685" s="60"/>
    </row>
    <row r="686" spans="34:37" x14ac:dyDescent="0.2">
      <c r="AH686" s="60"/>
      <c r="AI686" s="60"/>
      <c r="AJ686" s="60"/>
      <c r="AK686" s="60"/>
    </row>
    <row r="687" spans="34:37" x14ac:dyDescent="0.2">
      <c r="AH687" s="60"/>
      <c r="AI687" s="60"/>
      <c r="AJ687" s="60"/>
      <c r="AK687" s="60"/>
    </row>
    <row r="688" spans="34:37" x14ac:dyDescent="0.2">
      <c r="AH688" s="60"/>
      <c r="AI688" s="60"/>
      <c r="AJ688" s="60"/>
      <c r="AK688" s="60"/>
    </row>
    <row r="689" spans="34:37" x14ac:dyDescent="0.2">
      <c r="AH689" s="60"/>
      <c r="AI689" s="60"/>
      <c r="AJ689" s="60"/>
      <c r="AK689" s="60"/>
    </row>
    <row r="690" spans="34:37" x14ac:dyDescent="0.2">
      <c r="AH690" s="60"/>
      <c r="AI690" s="60"/>
      <c r="AJ690" s="60"/>
      <c r="AK690" s="60"/>
    </row>
    <row r="691" spans="34:37" x14ac:dyDescent="0.2">
      <c r="AH691" s="60"/>
      <c r="AI691" s="60"/>
      <c r="AJ691" s="60"/>
      <c r="AK691" s="60"/>
    </row>
    <row r="692" spans="34:37" x14ac:dyDescent="0.2">
      <c r="AH692" s="60"/>
      <c r="AI692" s="60"/>
      <c r="AJ692" s="60"/>
      <c r="AK692" s="60"/>
    </row>
    <row r="693" spans="34:37" x14ac:dyDescent="0.2">
      <c r="AH693" s="60"/>
      <c r="AI693" s="60"/>
      <c r="AJ693" s="60"/>
      <c r="AK693" s="60"/>
    </row>
    <row r="694" spans="34:37" x14ac:dyDescent="0.2">
      <c r="AH694" s="60"/>
      <c r="AI694" s="60"/>
      <c r="AJ694" s="60"/>
      <c r="AK694" s="60"/>
    </row>
    <row r="695" spans="34:37" x14ac:dyDescent="0.2">
      <c r="AH695" s="60"/>
      <c r="AI695" s="60"/>
      <c r="AJ695" s="60"/>
      <c r="AK695" s="60"/>
    </row>
    <row r="696" spans="34:37" x14ac:dyDescent="0.2">
      <c r="AH696" s="60"/>
      <c r="AI696" s="60"/>
      <c r="AJ696" s="60"/>
      <c r="AK696" s="60"/>
    </row>
    <row r="697" spans="34:37" x14ac:dyDescent="0.2">
      <c r="AH697" s="60"/>
      <c r="AI697" s="60"/>
      <c r="AJ697" s="60"/>
      <c r="AK697" s="60"/>
    </row>
    <row r="698" spans="34:37" x14ac:dyDescent="0.2">
      <c r="AH698" s="60"/>
      <c r="AI698" s="60"/>
      <c r="AJ698" s="60"/>
      <c r="AK698" s="60"/>
    </row>
    <row r="699" spans="34:37" x14ac:dyDescent="0.2">
      <c r="AH699" s="60"/>
      <c r="AI699" s="60"/>
      <c r="AJ699" s="60"/>
      <c r="AK699" s="60"/>
    </row>
    <row r="700" spans="34:37" x14ac:dyDescent="0.2">
      <c r="AH700" s="60"/>
      <c r="AI700" s="60"/>
      <c r="AJ700" s="60"/>
      <c r="AK700" s="60"/>
    </row>
    <row r="701" spans="34:37" x14ac:dyDescent="0.2">
      <c r="AH701" s="60"/>
      <c r="AI701" s="60"/>
      <c r="AJ701" s="60"/>
      <c r="AK701" s="60"/>
    </row>
    <row r="702" spans="34:37" x14ac:dyDescent="0.2">
      <c r="AH702" s="60"/>
      <c r="AI702" s="60"/>
      <c r="AJ702" s="60"/>
      <c r="AK702" s="60"/>
    </row>
    <row r="703" spans="34:37" x14ac:dyDescent="0.2">
      <c r="AH703" s="60"/>
      <c r="AI703" s="60"/>
      <c r="AJ703" s="60"/>
      <c r="AK703" s="60"/>
    </row>
    <row r="704" spans="34:37" x14ac:dyDescent="0.2">
      <c r="AH704" s="60"/>
      <c r="AI704" s="60"/>
      <c r="AJ704" s="60"/>
      <c r="AK704" s="60"/>
    </row>
    <row r="705" spans="34:37" x14ac:dyDescent="0.2">
      <c r="AH705" s="60"/>
      <c r="AI705" s="60"/>
      <c r="AJ705" s="60"/>
      <c r="AK705" s="60"/>
    </row>
    <row r="706" spans="34:37" x14ac:dyDescent="0.2">
      <c r="AH706" s="60"/>
      <c r="AI706" s="60"/>
      <c r="AJ706" s="60"/>
      <c r="AK706" s="60"/>
    </row>
    <row r="707" spans="34:37" x14ac:dyDescent="0.2">
      <c r="AH707" s="60"/>
      <c r="AI707" s="60"/>
      <c r="AJ707" s="60"/>
      <c r="AK707" s="60"/>
    </row>
    <row r="708" spans="34:37" x14ac:dyDescent="0.2">
      <c r="AH708" s="60"/>
      <c r="AI708" s="60"/>
      <c r="AJ708" s="60"/>
      <c r="AK708" s="60"/>
    </row>
    <row r="709" spans="34:37" x14ac:dyDescent="0.2">
      <c r="AH709" s="60"/>
      <c r="AI709" s="60"/>
      <c r="AJ709" s="60"/>
      <c r="AK709" s="60"/>
    </row>
    <row r="710" spans="34:37" x14ac:dyDescent="0.2">
      <c r="AH710" s="60"/>
      <c r="AI710" s="60"/>
      <c r="AJ710" s="60"/>
      <c r="AK710" s="60"/>
    </row>
    <row r="711" spans="34:37" x14ac:dyDescent="0.2">
      <c r="AH711" s="60"/>
      <c r="AI711" s="60"/>
      <c r="AJ711" s="60"/>
      <c r="AK711" s="60"/>
    </row>
    <row r="712" spans="34:37" x14ac:dyDescent="0.2">
      <c r="AH712" s="60"/>
      <c r="AI712" s="60"/>
      <c r="AJ712" s="60"/>
      <c r="AK712" s="60"/>
    </row>
    <row r="713" spans="34:37" x14ac:dyDescent="0.2">
      <c r="AH713" s="60"/>
      <c r="AI713" s="60"/>
      <c r="AJ713" s="60"/>
      <c r="AK713" s="60"/>
    </row>
    <row r="714" spans="34:37" x14ac:dyDescent="0.2">
      <c r="AH714" s="60"/>
      <c r="AI714" s="60"/>
      <c r="AJ714" s="60"/>
      <c r="AK714" s="60"/>
    </row>
    <row r="715" spans="34:37" x14ac:dyDescent="0.2">
      <c r="AH715" s="60"/>
      <c r="AI715" s="60"/>
      <c r="AJ715" s="60"/>
      <c r="AK715" s="60"/>
    </row>
    <row r="716" spans="34:37" x14ac:dyDescent="0.2">
      <c r="AH716" s="60"/>
      <c r="AI716" s="60"/>
      <c r="AJ716" s="60"/>
      <c r="AK716" s="60"/>
    </row>
    <row r="717" spans="34:37" x14ac:dyDescent="0.2">
      <c r="AH717" s="60"/>
      <c r="AI717" s="60"/>
      <c r="AJ717" s="60"/>
      <c r="AK717" s="60"/>
    </row>
    <row r="718" spans="34:37" x14ac:dyDescent="0.2">
      <c r="AH718" s="60"/>
      <c r="AI718" s="60"/>
      <c r="AJ718" s="60"/>
      <c r="AK718" s="60"/>
    </row>
    <row r="719" spans="34:37" x14ac:dyDescent="0.2">
      <c r="AH719" s="60"/>
      <c r="AI719" s="60"/>
      <c r="AJ719" s="60"/>
      <c r="AK719" s="60"/>
    </row>
    <row r="720" spans="34:37" x14ac:dyDescent="0.2">
      <c r="AH720" s="60"/>
      <c r="AI720" s="60"/>
      <c r="AJ720" s="60"/>
      <c r="AK720" s="60"/>
    </row>
    <row r="721" spans="34:37" x14ac:dyDescent="0.2">
      <c r="AH721" s="60"/>
      <c r="AI721" s="60"/>
      <c r="AJ721" s="60"/>
      <c r="AK721" s="60"/>
    </row>
    <row r="722" spans="34:37" x14ac:dyDescent="0.2">
      <c r="AH722" s="60"/>
      <c r="AI722" s="60"/>
      <c r="AJ722" s="60"/>
      <c r="AK722" s="60"/>
    </row>
    <row r="723" spans="34:37" x14ac:dyDescent="0.2">
      <c r="AH723" s="60"/>
      <c r="AI723" s="60"/>
      <c r="AJ723" s="60"/>
      <c r="AK723" s="60"/>
    </row>
    <row r="724" spans="34:37" x14ac:dyDescent="0.2">
      <c r="AH724" s="60"/>
      <c r="AI724" s="60"/>
      <c r="AJ724" s="60"/>
      <c r="AK724" s="60"/>
    </row>
    <row r="725" spans="34:37" x14ac:dyDescent="0.2">
      <c r="AH725" s="60"/>
      <c r="AI725" s="60"/>
      <c r="AJ725" s="60"/>
      <c r="AK725" s="60"/>
    </row>
    <row r="726" spans="34:37" x14ac:dyDescent="0.2">
      <c r="AH726" s="60"/>
      <c r="AI726" s="60"/>
      <c r="AJ726" s="60"/>
      <c r="AK726" s="60"/>
    </row>
    <row r="727" spans="34:37" x14ac:dyDescent="0.2">
      <c r="AH727" s="60"/>
      <c r="AI727" s="60"/>
      <c r="AJ727" s="60"/>
      <c r="AK727" s="60"/>
    </row>
    <row r="728" spans="34:37" x14ac:dyDescent="0.2">
      <c r="AH728" s="60"/>
      <c r="AI728" s="60"/>
      <c r="AJ728" s="60"/>
      <c r="AK728" s="60"/>
    </row>
    <row r="729" spans="34:37" x14ac:dyDescent="0.2">
      <c r="AH729" s="60"/>
      <c r="AI729" s="60"/>
      <c r="AJ729" s="60"/>
      <c r="AK729" s="60"/>
    </row>
    <row r="730" spans="34:37" x14ac:dyDescent="0.2">
      <c r="AH730" s="60"/>
      <c r="AI730" s="60"/>
      <c r="AJ730" s="60"/>
      <c r="AK730" s="60"/>
    </row>
    <row r="731" spans="34:37" x14ac:dyDescent="0.2">
      <c r="AH731" s="60"/>
      <c r="AI731" s="60"/>
      <c r="AJ731" s="60"/>
      <c r="AK731" s="60"/>
    </row>
    <row r="732" spans="34:37" x14ac:dyDescent="0.2">
      <c r="AH732" s="60"/>
      <c r="AI732" s="60"/>
      <c r="AJ732" s="60"/>
      <c r="AK732" s="60"/>
    </row>
    <row r="733" spans="34:37" x14ac:dyDescent="0.2">
      <c r="AH733" s="60"/>
      <c r="AI733" s="60"/>
      <c r="AJ733" s="60"/>
      <c r="AK733" s="60"/>
    </row>
    <row r="734" spans="34:37" x14ac:dyDescent="0.2">
      <c r="AH734" s="60"/>
      <c r="AI734" s="60"/>
      <c r="AJ734" s="60"/>
      <c r="AK734" s="60"/>
    </row>
    <row r="735" spans="34:37" x14ac:dyDescent="0.2">
      <c r="AH735" s="60"/>
      <c r="AI735" s="60"/>
      <c r="AJ735" s="60"/>
      <c r="AK735" s="60"/>
    </row>
    <row r="736" spans="34:37" x14ac:dyDescent="0.2">
      <c r="AH736" s="60"/>
      <c r="AI736" s="60"/>
      <c r="AJ736" s="60"/>
      <c r="AK736" s="60"/>
    </row>
    <row r="737" spans="34:37" x14ac:dyDescent="0.2">
      <c r="AH737" s="60"/>
      <c r="AI737" s="60"/>
      <c r="AJ737" s="60"/>
      <c r="AK737" s="60"/>
    </row>
    <row r="738" spans="34:37" x14ac:dyDescent="0.2">
      <c r="AH738" s="60"/>
      <c r="AI738" s="60"/>
      <c r="AJ738" s="60"/>
      <c r="AK738" s="60"/>
    </row>
    <row r="739" spans="34:37" x14ac:dyDescent="0.2">
      <c r="AH739" s="60"/>
      <c r="AI739" s="60"/>
      <c r="AJ739" s="60"/>
      <c r="AK739" s="60"/>
    </row>
    <row r="740" spans="34:37" x14ac:dyDescent="0.2">
      <c r="AH740" s="60"/>
      <c r="AI740" s="60"/>
      <c r="AJ740" s="60"/>
      <c r="AK740" s="60"/>
    </row>
    <row r="741" spans="34:37" x14ac:dyDescent="0.2">
      <c r="AH741" s="60"/>
      <c r="AI741" s="60"/>
      <c r="AJ741" s="60"/>
      <c r="AK741" s="60"/>
    </row>
    <row r="742" spans="34:37" x14ac:dyDescent="0.2">
      <c r="AH742" s="60"/>
      <c r="AI742" s="60"/>
      <c r="AJ742" s="60"/>
      <c r="AK742" s="60"/>
    </row>
    <row r="743" spans="34:37" x14ac:dyDescent="0.2">
      <c r="AH743" s="60"/>
      <c r="AI743" s="60"/>
      <c r="AJ743" s="60"/>
      <c r="AK743" s="60"/>
    </row>
    <row r="744" spans="34:37" x14ac:dyDescent="0.2">
      <c r="AH744" s="60"/>
      <c r="AI744" s="60"/>
      <c r="AJ744" s="60"/>
      <c r="AK744" s="60"/>
    </row>
    <row r="745" spans="34:37" x14ac:dyDescent="0.2">
      <c r="AH745" s="60"/>
      <c r="AI745" s="60"/>
      <c r="AJ745" s="60"/>
      <c r="AK745" s="60"/>
    </row>
    <row r="746" spans="34:37" x14ac:dyDescent="0.2">
      <c r="AH746" s="60"/>
      <c r="AI746" s="60"/>
      <c r="AJ746" s="60"/>
      <c r="AK746" s="60"/>
    </row>
    <row r="747" spans="34:37" x14ac:dyDescent="0.2">
      <c r="AH747" s="60"/>
      <c r="AI747" s="60"/>
      <c r="AJ747" s="60"/>
      <c r="AK747" s="60"/>
    </row>
    <row r="748" spans="34:37" x14ac:dyDescent="0.2">
      <c r="AH748" s="60"/>
      <c r="AI748" s="60"/>
      <c r="AJ748" s="60"/>
      <c r="AK748" s="60"/>
    </row>
    <row r="749" spans="34:37" x14ac:dyDescent="0.2">
      <c r="AH749" s="60"/>
      <c r="AI749" s="60"/>
      <c r="AJ749" s="60"/>
      <c r="AK749" s="60"/>
    </row>
    <row r="750" spans="34:37" x14ac:dyDescent="0.2">
      <c r="AH750" s="60"/>
      <c r="AI750" s="60"/>
      <c r="AJ750" s="60"/>
      <c r="AK750" s="60"/>
    </row>
    <row r="751" spans="34:37" x14ac:dyDescent="0.2">
      <c r="AH751" s="60"/>
      <c r="AI751" s="60"/>
      <c r="AJ751" s="60"/>
      <c r="AK751" s="60"/>
    </row>
    <row r="752" spans="34:37" x14ac:dyDescent="0.2">
      <c r="AH752" s="60"/>
      <c r="AI752" s="60"/>
      <c r="AJ752" s="60"/>
      <c r="AK752" s="60"/>
    </row>
    <row r="753" spans="34:37" x14ac:dyDescent="0.2">
      <c r="AH753" s="60"/>
      <c r="AI753" s="60"/>
      <c r="AJ753" s="60"/>
      <c r="AK753" s="60"/>
    </row>
    <row r="754" spans="34:37" x14ac:dyDescent="0.2">
      <c r="AH754" s="60"/>
      <c r="AI754" s="60"/>
      <c r="AJ754" s="60"/>
      <c r="AK754" s="60"/>
    </row>
    <row r="755" spans="34:37" x14ac:dyDescent="0.2">
      <c r="AH755" s="60"/>
      <c r="AI755" s="60"/>
      <c r="AJ755" s="60"/>
      <c r="AK755" s="60"/>
    </row>
    <row r="756" spans="34:37" x14ac:dyDescent="0.2">
      <c r="AH756" s="60"/>
      <c r="AI756" s="60"/>
      <c r="AJ756" s="60"/>
      <c r="AK756" s="60"/>
    </row>
    <row r="757" spans="34:37" x14ac:dyDescent="0.2">
      <c r="AH757" s="60"/>
      <c r="AI757" s="60"/>
      <c r="AJ757" s="60"/>
      <c r="AK757" s="60"/>
    </row>
    <row r="758" spans="34:37" x14ac:dyDescent="0.2">
      <c r="AH758" s="60"/>
      <c r="AI758" s="60"/>
      <c r="AJ758" s="60"/>
      <c r="AK758" s="60"/>
    </row>
    <row r="759" spans="34:37" x14ac:dyDescent="0.2">
      <c r="AH759" s="60"/>
      <c r="AI759" s="60"/>
      <c r="AJ759" s="60"/>
      <c r="AK759" s="60"/>
    </row>
    <row r="760" spans="34:37" x14ac:dyDescent="0.2">
      <c r="AH760" s="60"/>
      <c r="AI760" s="60"/>
      <c r="AJ760" s="60"/>
      <c r="AK760" s="60"/>
    </row>
    <row r="761" spans="34:37" x14ac:dyDescent="0.2">
      <c r="AH761" s="60"/>
      <c r="AI761" s="60"/>
      <c r="AJ761" s="60"/>
      <c r="AK761" s="60"/>
    </row>
    <row r="762" spans="34:37" x14ac:dyDescent="0.2">
      <c r="AH762" s="60"/>
      <c r="AI762" s="60"/>
      <c r="AJ762" s="60"/>
      <c r="AK762" s="60"/>
    </row>
    <row r="763" spans="34:37" x14ac:dyDescent="0.2">
      <c r="AH763" s="60"/>
      <c r="AI763" s="60"/>
      <c r="AJ763" s="60"/>
      <c r="AK763" s="60"/>
    </row>
    <row r="764" spans="34:37" x14ac:dyDescent="0.2">
      <c r="AH764" s="60"/>
      <c r="AI764" s="60"/>
      <c r="AJ764" s="60"/>
      <c r="AK764" s="60"/>
    </row>
    <row r="765" spans="34:37" x14ac:dyDescent="0.2">
      <c r="AH765" s="60"/>
      <c r="AI765" s="60"/>
      <c r="AJ765" s="60"/>
      <c r="AK765" s="60"/>
    </row>
    <row r="766" spans="34:37" x14ac:dyDescent="0.2">
      <c r="AH766" s="60"/>
      <c r="AI766" s="60"/>
      <c r="AJ766" s="60"/>
      <c r="AK766" s="60"/>
    </row>
    <row r="767" spans="34:37" x14ac:dyDescent="0.2">
      <c r="AH767" s="60"/>
      <c r="AI767" s="60"/>
      <c r="AJ767" s="60"/>
      <c r="AK767" s="60"/>
    </row>
    <row r="768" spans="34:37" x14ac:dyDescent="0.2">
      <c r="AH768" s="60"/>
      <c r="AI768" s="60"/>
      <c r="AJ768" s="60"/>
      <c r="AK768" s="60"/>
    </row>
    <row r="769" spans="34:37" x14ac:dyDescent="0.2">
      <c r="AH769" s="60"/>
      <c r="AI769" s="60"/>
      <c r="AJ769" s="60"/>
      <c r="AK769" s="60"/>
    </row>
    <row r="770" spans="34:37" x14ac:dyDescent="0.2">
      <c r="AH770" s="60"/>
      <c r="AI770" s="60"/>
      <c r="AJ770" s="60"/>
      <c r="AK770" s="60"/>
    </row>
    <row r="771" spans="34:37" x14ac:dyDescent="0.2">
      <c r="AH771" s="60"/>
      <c r="AI771" s="60"/>
      <c r="AJ771" s="60"/>
      <c r="AK771" s="60"/>
    </row>
    <row r="772" spans="34:37" x14ac:dyDescent="0.2">
      <c r="AH772" s="60"/>
      <c r="AI772" s="60"/>
      <c r="AJ772" s="60"/>
      <c r="AK772" s="60"/>
    </row>
    <row r="773" spans="34:37" x14ac:dyDescent="0.2">
      <c r="AH773" s="60"/>
      <c r="AI773" s="60"/>
      <c r="AJ773" s="60"/>
      <c r="AK773" s="60"/>
    </row>
    <row r="774" spans="34:37" x14ac:dyDescent="0.2">
      <c r="AH774" s="60"/>
      <c r="AI774" s="60"/>
      <c r="AJ774" s="60"/>
      <c r="AK774" s="60"/>
    </row>
    <row r="775" spans="34:37" x14ac:dyDescent="0.2">
      <c r="AH775" s="60"/>
      <c r="AI775" s="60"/>
      <c r="AJ775" s="60"/>
      <c r="AK775" s="60"/>
    </row>
    <row r="776" spans="34:37" x14ac:dyDescent="0.2">
      <c r="AH776" s="60"/>
      <c r="AI776" s="60"/>
      <c r="AJ776" s="60"/>
      <c r="AK776" s="60"/>
    </row>
    <row r="777" spans="34:37" x14ac:dyDescent="0.2">
      <c r="AH777" s="60"/>
      <c r="AI777" s="60"/>
      <c r="AJ777" s="60"/>
      <c r="AK777" s="60"/>
    </row>
    <row r="778" spans="34:37" x14ac:dyDescent="0.2">
      <c r="AH778" s="60"/>
      <c r="AI778" s="60"/>
      <c r="AJ778" s="60"/>
      <c r="AK778" s="60"/>
    </row>
    <row r="779" spans="34:37" x14ac:dyDescent="0.2">
      <c r="AH779" s="60"/>
      <c r="AI779" s="60"/>
      <c r="AJ779" s="60"/>
      <c r="AK779" s="60"/>
    </row>
    <row r="780" spans="34:37" x14ac:dyDescent="0.2">
      <c r="AH780" s="60"/>
      <c r="AI780" s="60"/>
      <c r="AJ780" s="60"/>
      <c r="AK780" s="60"/>
    </row>
    <row r="781" spans="34:37" x14ac:dyDescent="0.2">
      <c r="AH781" s="60"/>
      <c r="AI781" s="60"/>
      <c r="AJ781" s="60"/>
      <c r="AK781" s="60"/>
    </row>
    <row r="782" spans="34:37" x14ac:dyDescent="0.2">
      <c r="AH782" s="60"/>
      <c r="AI782" s="60"/>
      <c r="AJ782" s="60"/>
      <c r="AK782" s="60"/>
    </row>
    <row r="783" spans="34:37" x14ac:dyDescent="0.2">
      <c r="AH783" s="60"/>
      <c r="AI783" s="60"/>
      <c r="AJ783" s="60"/>
      <c r="AK783" s="60"/>
    </row>
    <row r="784" spans="34:37" x14ac:dyDescent="0.2">
      <c r="AH784" s="60"/>
      <c r="AI784" s="60"/>
      <c r="AJ784" s="60"/>
      <c r="AK784" s="60"/>
    </row>
    <row r="785" spans="34:37" x14ac:dyDescent="0.2">
      <c r="AH785" s="60"/>
      <c r="AI785" s="60"/>
      <c r="AJ785" s="60"/>
      <c r="AK785" s="60"/>
    </row>
    <row r="786" spans="34:37" x14ac:dyDescent="0.2">
      <c r="AH786" s="60"/>
      <c r="AI786" s="60"/>
      <c r="AJ786" s="60"/>
      <c r="AK786" s="60"/>
    </row>
    <row r="787" spans="34:37" x14ac:dyDescent="0.2">
      <c r="AH787" s="60"/>
      <c r="AI787" s="60"/>
      <c r="AJ787" s="60"/>
      <c r="AK787" s="60"/>
    </row>
    <row r="788" spans="34:37" x14ac:dyDescent="0.2">
      <c r="AH788" s="60"/>
      <c r="AI788" s="60"/>
      <c r="AJ788" s="60"/>
      <c r="AK788" s="60"/>
    </row>
    <row r="789" spans="34:37" x14ac:dyDescent="0.2">
      <c r="AH789" s="60"/>
      <c r="AI789" s="60"/>
      <c r="AJ789" s="60"/>
      <c r="AK789" s="60"/>
    </row>
    <row r="790" spans="34:37" x14ac:dyDescent="0.2">
      <c r="AH790" s="60"/>
      <c r="AI790" s="60"/>
      <c r="AJ790" s="60"/>
      <c r="AK790" s="60"/>
    </row>
    <row r="791" spans="34:37" x14ac:dyDescent="0.2">
      <c r="AH791" s="60"/>
      <c r="AI791" s="60"/>
      <c r="AJ791" s="60"/>
      <c r="AK791" s="60"/>
    </row>
    <row r="792" spans="34:37" x14ac:dyDescent="0.2">
      <c r="AH792" s="60"/>
      <c r="AI792" s="60"/>
      <c r="AJ792" s="60"/>
      <c r="AK792" s="60"/>
    </row>
    <row r="793" spans="34:37" x14ac:dyDescent="0.2">
      <c r="AH793" s="60"/>
      <c r="AI793" s="60"/>
      <c r="AJ793" s="60"/>
      <c r="AK793" s="60"/>
    </row>
    <row r="794" spans="34:37" x14ac:dyDescent="0.2">
      <c r="AH794" s="60"/>
      <c r="AI794" s="60"/>
      <c r="AJ794" s="60"/>
      <c r="AK794" s="60"/>
    </row>
    <row r="795" spans="34:37" x14ac:dyDescent="0.2">
      <c r="AH795" s="60"/>
      <c r="AI795" s="60"/>
      <c r="AJ795" s="60"/>
      <c r="AK795" s="60"/>
    </row>
    <row r="796" spans="34:37" x14ac:dyDescent="0.2">
      <c r="AH796" s="60"/>
      <c r="AI796" s="60"/>
      <c r="AJ796" s="60"/>
      <c r="AK796" s="60"/>
    </row>
    <row r="797" spans="34:37" x14ac:dyDescent="0.2">
      <c r="AH797" s="60"/>
      <c r="AI797" s="60"/>
      <c r="AJ797" s="60"/>
      <c r="AK797" s="60"/>
    </row>
    <row r="798" spans="34:37" x14ac:dyDescent="0.2">
      <c r="AH798" s="60"/>
      <c r="AI798" s="60"/>
      <c r="AJ798" s="60"/>
      <c r="AK798" s="60"/>
    </row>
    <row r="799" spans="34:37" x14ac:dyDescent="0.2">
      <c r="AH799" s="60"/>
      <c r="AI799" s="60"/>
      <c r="AJ799" s="60"/>
      <c r="AK799" s="60"/>
    </row>
    <row r="800" spans="34:37" x14ac:dyDescent="0.2">
      <c r="AH800" s="60"/>
      <c r="AI800" s="60"/>
      <c r="AJ800" s="60"/>
      <c r="AK800" s="60"/>
    </row>
    <row r="801" spans="34:37" x14ac:dyDescent="0.2">
      <c r="AH801" s="60"/>
      <c r="AI801" s="60"/>
      <c r="AJ801" s="60"/>
      <c r="AK801" s="60"/>
    </row>
    <row r="802" spans="34:37" x14ac:dyDescent="0.2">
      <c r="AH802" s="60"/>
      <c r="AI802" s="60"/>
      <c r="AJ802" s="60"/>
      <c r="AK802" s="60"/>
    </row>
    <row r="803" spans="34:37" x14ac:dyDescent="0.2">
      <c r="AH803" s="60"/>
      <c r="AI803" s="60"/>
      <c r="AJ803" s="60"/>
      <c r="AK803" s="60"/>
    </row>
    <row r="804" spans="34:37" x14ac:dyDescent="0.2">
      <c r="AH804" s="60"/>
      <c r="AI804" s="60"/>
      <c r="AJ804" s="60"/>
      <c r="AK804" s="60"/>
    </row>
    <row r="805" spans="34:37" x14ac:dyDescent="0.2">
      <c r="AH805" s="60"/>
      <c r="AI805" s="60"/>
      <c r="AJ805" s="60"/>
      <c r="AK805" s="60"/>
    </row>
    <row r="806" spans="34:37" x14ac:dyDescent="0.2">
      <c r="AH806" s="60"/>
      <c r="AI806" s="60"/>
      <c r="AJ806" s="60"/>
      <c r="AK806" s="60"/>
    </row>
    <row r="807" spans="34:37" x14ac:dyDescent="0.2">
      <c r="AH807" s="60"/>
      <c r="AI807" s="60"/>
      <c r="AJ807" s="60"/>
      <c r="AK807" s="60"/>
    </row>
    <row r="808" spans="34:37" x14ac:dyDescent="0.2">
      <c r="AH808" s="60"/>
      <c r="AI808" s="60"/>
      <c r="AJ808" s="60"/>
      <c r="AK808" s="60"/>
    </row>
    <row r="809" spans="34:37" x14ac:dyDescent="0.2">
      <c r="AH809" s="60"/>
      <c r="AI809" s="60"/>
      <c r="AJ809" s="60"/>
      <c r="AK809" s="60"/>
    </row>
    <row r="810" spans="34:37" x14ac:dyDescent="0.2">
      <c r="AH810" s="60"/>
      <c r="AI810" s="60"/>
      <c r="AJ810" s="60"/>
      <c r="AK810" s="60"/>
    </row>
    <row r="811" spans="34:37" x14ac:dyDescent="0.2">
      <c r="AH811" s="60"/>
      <c r="AI811" s="60"/>
      <c r="AJ811" s="60"/>
      <c r="AK811" s="60"/>
    </row>
    <row r="812" spans="34:37" x14ac:dyDescent="0.2">
      <c r="AH812" s="60"/>
      <c r="AI812" s="60"/>
      <c r="AJ812" s="60"/>
      <c r="AK812" s="60"/>
    </row>
    <row r="813" spans="34:37" x14ac:dyDescent="0.2">
      <c r="AH813" s="60"/>
      <c r="AI813" s="60"/>
      <c r="AJ813" s="60"/>
      <c r="AK813" s="60"/>
    </row>
    <row r="814" spans="34:37" x14ac:dyDescent="0.2">
      <c r="AH814" s="60"/>
      <c r="AI814" s="60"/>
      <c r="AJ814" s="60"/>
      <c r="AK814" s="60"/>
    </row>
    <row r="815" spans="34:37" x14ac:dyDescent="0.2">
      <c r="AH815" s="60"/>
      <c r="AI815" s="60"/>
      <c r="AJ815" s="60"/>
      <c r="AK815" s="60"/>
    </row>
    <row r="816" spans="34:37" x14ac:dyDescent="0.2">
      <c r="AH816" s="60"/>
      <c r="AI816" s="60"/>
      <c r="AJ816" s="60"/>
      <c r="AK816" s="60"/>
    </row>
    <row r="817" spans="34:37" x14ac:dyDescent="0.2">
      <c r="AH817" s="60"/>
      <c r="AI817" s="60"/>
      <c r="AJ817" s="60"/>
      <c r="AK817" s="60"/>
    </row>
    <row r="818" spans="34:37" x14ac:dyDescent="0.2">
      <c r="AH818" s="60"/>
      <c r="AI818" s="60"/>
      <c r="AJ818" s="60"/>
      <c r="AK818" s="60"/>
    </row>
    <row r="819" spans="34:37" x14ac:dyDescent="0.2">
      <c r="AH819" s="60"/>
      <c r="AI819" s="60"/>
      <c r="AJ819" s="60"/>
      <c r="AK819" s="60"/>
    </row>
    <row r="820" spans="34:37" x14ac:dyDescent="0.2">
      <c r="AH820" s="60"/>
      <c r="AI820" s="60"/>
      <c r="AJ820" s="60"/>
      <c r="AK820" s="60"/>
    </row>
    <row r="821" spans="34:37" x14ac:dyDescent="0.2">
      <c r="AH821" s="60"/>
      <c r="AI821" s="60"/>
      <c r="AJ821" s="60"/>
      <c r="AK821" s="60"/>
    </row>
    <row r="822" spans="34:37" x14ac:dyDescent="0.2">
      <c r="AH822" s="60"/>
      <c r="AI822" s="60"/>
      <c r="AJ822" s="60"/>
      <c r="AK822" s="60"/>
    </row>
    <row r="823" spans="34:37" x14ac:dyDescent="0.2">
      <c r="AH823" s="60"/>
      <c r="AI823" s="60"/>
      <c r="AJ823" s="60"/>
      <c r="AK823" s="60"/>
    </row>
    <row r="824" spans="34:37" x14ac:dyDescent="0.2">
      <c r="AH824" s="60"/>
      <c r="AI824" s="60"/>
      <c r="AJ824" s="60"/>
      <c r="AK824" s="60"/>
    </row>
    <row r="825" spans="34:37" x14ac:dyDescent="0.2">
      <c r="AH825" s="60"/>
      <c r="AI825" s="60"/>
      <c r="AJ825" s="60"/>
      <c r="AK825" s="60"/>
    </row>
    <row r="826" spans="34:37" x14ac:dyDescent="0.2">
      <c r="AH826" s="60"/>
      <c r="AI826" s="60"/>
      <c r="AJ826" s="60"/>
      <c r="AK826" s="60"/>
    </row>
    <row r="827" spans="34:37" x14ac:dyDescent="0.2">
      <c r="AH827" s="60"/>
      <c r="AI827" s="60"/>
      <c r="AJ827" s="60"/>
      <c r="AK827" s="60"/>
    </row>
    <row r="828" spans="34:37" x14ac:dyDescent="0.2">
      <c r="AH828" s="60"/>
      <c r="AI828" s="60"/>
      <c r="AJ828" s="60"/>
      <c r="AK828" s="60"/>
    </row>
    <row r="829" spans="34:37" x14ac:dyDescent="0.2">
      <c r="AH829" s="60"/>
      <c r="AI829" s="60"/>
      <c r="AJ829" s="60"/>
      <c r="AK829" s="60"/>
    </row>
    <row r="830" spans="34:37" x14ac:dyDescent="0.2">
      <c r="AH830" s="60"/>
      <c r="AI830" s="60"/>
      <c r="AJ830" s="60"/>
      <c r="AK830" s="60"/>
    </row>
    <row r="831" spans="34:37" x14ac:dyDescent="0.2">
      <c r="AH831" s="60"/>
      <c r="AI831" s="60"/>
      <c r="AJ831" s="60"/>
      <c r="AK831" s="60"/>
    </row>
    <row r="832" spans="34:37" x14ac:dyDescent="0.2">
      <c r="AH832" s="60"/>
      <c r="AI832" s="60"/>
      <c r="AJ832" s="60"/>
      <c r="AK832" s="60"/>
    </row>
    <row r="833" spans="34:37" x14ac:dyDescent="0.2">
      <c r="AH833" s="60"/>
      <c r="AI833" s="60"/>
      <c r="AJ833" s="60"/>
      <c r="AK833" s="60"/>
    </row>
    <row r="834" spans="34:37" x14ac:dyDescent="0.2">
      <c r="AH834" s="60"/>
      <c r="AI834" s="60"/>
      <c r="AJ834" s="60"/>
      <c r="AK834" s="60"/>
    </row>
    <row r="835" spans="34:37" x14ac:dyDescent="0.2">
      <c r="AH835" s="60"/>
      <c r="AI835" s="60"/>
      <c r="AJ835" s="60"/>
      <c r="AK835" s="60"/>
    </row>
    <row r="836" spans="34:37" x14ac:dyDescent="0.2">
      <c r="AH836" s="60"/>
      <c r="AI836" s="60"/>
      <c r="AJ836" s="60"/>
      <c r="AK836" s="60"/>
    </row>
    <row r="837" spans="34:37" x14ac:dyDescent="0.2">
      <c r="AH837" s="60"/>
      <c r="AI837" s="60"/>
      <c r="AJ837" s="60"/>
      <c r="AK837" s="60"/>
    </row>
    <row r="838" spans="34:37" x14ac:dyDescent="0.2">
      <c r="AH838" s="60"/>
      <c r="AI838" s="60"/>
      <c r="AJ838" s="60"/>
      <c r="AK838" s="60"/>
    </row>
    <row r="839" spans="34:37" x14ac:dyDescent="0.2">
      <c r="AH839" s="60"/>
      <c r="AI839" s="60"/>
      <c r="AJ839" s="60"/>
      <c r="AK839" s="60"/>
    </row>
    <row r="840" spans="34:37" x14ac:dyDescent="0.2">
      <c r="AH840" s="60"/>
      <c r="AI840" s="60"/>
      <c r="AJ840" s="60"/>
      <c r="AK840" s="60"/>
    </row>
    <row r="841" spans="34:37" x14ac:dyDescent="0.2">
      <c r="AH841" s="60"/>
      <c r="AI841" s="60"/>
      <c r="AJ841" s="60"/>
      <c r="AK841" s="60"/>
    </row>
    <row r="842" spans="34:37" x14ac:dyDescent="0.2">
      <c r="AH842" s="60"/>
      <c r="AI842" s="60"/>
      <c r="AJ842" s="60"/>
      <c r="AK842" s="60"/>
    </row>
    <row r="843" spans="34:37" x14ac:dyDescent="0.2">
      <c r="AH843" s="60"/>
      <c r="AI843" s="60"/>
      <c r="AJ843" s="60"/>
      <c r="AK843" s="60"/>
    </row>
    <row r="844" spans="34:37" x14ac:dyDescent="0.2">
      <c r="AH844" s="60"/>
      <c r="AI844" s="60"/>
      <c r="AJ844" s="60"/>
      <c r="AK844" s="60"/>
    </row>
    <row r="845" spans="34:37" x14ac:dyDescent="0.2">
      <c r="AH845" s="60"/>
      <c r="AI845" s="60"/>
      <c r="AJ845" s="60"/>
      <c r="AK845" s="60"/>
    </row>
    <row r="846" spans="34:37" x14ac:dyDescent="0.2">
      <c r="AH846" s="60"/>
      <c r="AI846" s="60"/>
      <c r="AJ846" s="60"/>
      <c r="AK846" s="60"/>
    </row>
    <row r="847" spans="34:37" x14ac:dyDescent="0.2">
      <c r="AH847" s="60"/>
      <c r="AI847" s="60"/>
      <c r="AJ847" s="60"/>
      <c r="AK847" s="60"/>
    </row>
    <row r="848" spans="34:37" x14ac:dyDescent="0.2">
      <c r="AH848" s="60"/>
      <c r="AI848" s="60"/>
      <c r="AJ848" s="60"/>
      <c r="AK848" s="60"/>
    </row>
    <row r="849" spans="34:37" x14ac:dyDescent="0.2">
      <c r="AH849" s="60"/>
      <c r="AI849" s="60"/>
      <c r="AJ849" s="60"/>
      <c r="AK849" s="60"/>
    </row>
    <row r="850" spans="34:37" x14ac:dyDescent="0.2">
      <c r="AH850" s="60"/>
      <c r="AI850" s="60"/>
      <c r="AJ850" s="60"/>
      <c r="AK850" s="60"/>
    </row>
    <row r="851" spans="34:37" x14ac:dyDescent="0.2">
      <c r="AH851" s="60"/>
      <c r="AI851" s="60"/>
      <c r="AJ851" s="60"/>
      <c r="AK851" s="60"/>
    </row>
    <row r="852" spans="34:37" x14ac:dyDescent="0.2">
      <c r="AH852" s="60"/>
      <c r="AI852" s="60"/>
      <c r="AJ852" s="60"/>
      <c r="AK852" s="60"/>
    </row>
    <row r="853" spans="34:37" x14ac:dyDescent="0.2">
      <c r="AH853" s="60"/>
      <c r="AI853" s="60"/>
      <c r="AJ853" s="60"/>
      <c r="AK853" s="60"/>
    </row>
    <row r="854" spans="34:37" x14ac:dyDescent="0.2">
      <c r="AH854" s="60"/>
      <c r="AI854" s="60"/>
      <c r="AJ854" s="60"/>
      <c r="AK854" s="60"/>
    </row>
    <row r="855" spans="34:37" x14ac:dyDescent="0.2">
      <c r="AH855" s="60"/>
      <c r="AI855" s="60"/>
      <c r="AJ855" s="60"/>
      <c r="AK855" s="60"/>
    </row>
    <row r="856" spans="34:37" x14ac:dyDescent="0.2">
      <c r="AH856" s="60"/>
      <c r="AI856" s="60"/>
      <c r="AJ856" s="60"/>
      <c r="AK856" s="60"/>
    </row>
    <row r="857" spans="34:37" x14ac:dyDescent="0.2">
      <c r="AH857" s="60"/>
      <c r="AI857" s="60"/>
      <c r="AJ857" s="60"/>
      <c r="AK857" s="60"/>
    </row>
    <row r="858" spans="34:37" x14ac:dyDescent="0.2">
      <c r="AH858" s="60"/>
      <c r="AI858" s="60"/>
      <c r="AJ858" s="60"/>
      <c r="AK858" s="60"/>
    </row>
    <row r="859" spans="34:37" x14ac:dyDescent="0.2">
      <c r="AH859" s="60"/>
      <c r="AI859" s="60"/>
      <c r="AJ859" s="60"/>
      <c r="AK859" s="60"/>
    </row>
    <row r="860" spans="34:37" x14ac:dyDescent="0.2">
      <c r="AH860" s="60"/>
      <c r="AI860" s="60"/>
      <c r="AJ860" s="60"/>
      <c r="AK860" s="60"/>
    </row>
    <row r="861" spans="34:37" x14ac:dyDescent="0.2">
      <c r="AH861" s="60"/>
      <c r="AI861" s="60"/>
      <c r="AJ861" s="60"/>
      <c r="AK861" s="60"/>
    </row>
    <row r="862" spans="34:37" x14ac:dyDescent="0.2">
      <c r="AH862" s="60"/>
      <c r="AI862" s="60"/>
      <c r="AJ862" s="60"/>
      <c r="AK862" s="60"/>
    </row>
    <row r="863" spans="34:37" x14ac:dyDescent="0.2">
      <c r="AH863" s="60"/>
      <c r="AI863" s="60"/>
      <c r="AJ863" s="60"/>
      <c r="AK863" s="60"/>
    </row>
    <row r="864" spans="34:37" x14ac:dyDescent="0.2">
      <c r="AH864" s="60"/>
      <c r="AI864" s="60"/>
      <c r="AJ864" s="60"/>
      <c r="AK864" s="60"/>
    </row>
    <row r="865" spans="34:37" x14ac:dyDescent="0.2">
      <c r="AH865" s="60"/>
      <c r="AI865" s="60"/>
      <c r="AJ865" s="60"/>
      <c r="AK865" s="60"/>
    </row>
    <row r="866" spans="34:37" x14ac:dyDescent="0.2">
      <c r="AH866" s="60"/>
      <c r="AI866" s="60"/>
      <c r="AJ866" s="60"/>
      <c r="AK866" s="60"/>
    </row>
    <row r="867" spans="34:37" x14ac:dyDescent="0.2">
      <c r="AH867" s="60"/>
      <c r="AI867" s="60"/>
      <c r="AJ867" s="60"/>
      <c r="AK867" s="60"/>
    </row>
    <row r="868" spans="34:37" x14ac:dyDescent="0.2">
      <c r="AH868" s="60"/>
      <c r="AI868" s="60"/>
      <c r="AJ868" s="60"/>
      <c r="AK868" s="60"/>
    </row>
    <row r="869" spans="34:37" x14ac:dyDescent="0.2">
      <c r="AH869" s="60"/>
      <c r="AI869" s="60"/>
      <c r="AJ869" s="60"/>
      <c r="AK869" s="60"/>
    </row>
    <row r="870" spans="34:37" x14ac:dyDescent="0.2">
      <c r="AH870" s="60"/>
      <c r="AI870" s="60"/>
      <c r="AJ870" s="60"/>
      <c r="AK870" s="60"/>
    </row>
    <row r="871" spans="34:37" x14ac:dyDescent="0.2">
      <c r="AH871" s="60"/>
      <c r="AI871" s="60"/>
      <c r="AJ871" s="60"/>
      <c r="AK871" s="60"/>
    </row>
    <row r="872" spans="34:37" x14ac:dyDescent="0.2">
      <c r="AH872" s="60"/>
      <c r="AI872" s="60"/>
      <c r="AJ872" s="60"/>
      <c r="AK872" s="60"/>
    </row>
    <row r="873" spans="34:37" x14ac:dyDescent="0.2">
      <c r="AH873" s="60"/>
      <c r="AI873" s="60"/>
      <c r="AJ873" s="60"/>
      <c r="AK873" s="60"/>
    </row>
    <row r="874" spans="34:37" x14ac:dyDescent="0.2">
      <c r="AH874" s="60"/>
      <c r="AI874" s="60"/>
      <c r="AJ874" s="60"/>
      <c r="AK874" s="60"/>
    </row>
    <row r="875" spans="34:37" x14ac:dyDescent="0.2">
      <c r="AH875" s="60"/>
      <c r="AI875" s="60"/>
      <c r="AJ875" s="60"/>
      <c r="AK875" s="60"/>
    </row>
    <row r="876" spans="34:37" x14ac:dyDescent="0.2">
      <c r="AH876" s="60"/>
      <c r="AI876" s="60"/>
      <c r="AJ876" s="60"/>
      <c r="AK876" s="60"/>
    </row>
    <row r="877" spans="34:37" x14ac:dyDescent="0.2">
      <c r="AH877" s="60"/>
      <c r="AI877" s="60"/>
      <c r="AJ877" s="60"/>
      <c r="AK877" s="60"/>
    </row>
    <row r="878" spans="34:37" x14ac:dyDescent="0.2">
      <c r="AH878" s="60"/>
      <c r="AI878" s="60"/>
      <c r="AJ878" s="60"/>
      <c r="AK878" s="60"/>
    </row>
    <row r="879" spans="34:37" x14ac:dyDescent="0.2">
      <c r="AH879" s="60"/>
      <c r="AI879" s="60"/>
      <c r="AJ879" s="60"/>
      <c r="AK879" s="60"/>
    </row>
    <row r="880" spans="34:37" x14ac:dyDescent="0.2">
      <c r="AH880" s="60"/>
      <c r="AI880" s="60"/>
      <c r="AJ880" s="60"/>
      <c r="AK880" s="60"/>
    </row>
    <row r="881" spans="34:37" x14ac:dyDescent="0.2">
      <c r="AH881" s="60"/>
      <c r="AI881" s="60"/>
      <c r="AJ881" s="60"/>
      <c r="AK881" s="60"/>
    </row>
    <row r="882" spans="34:37" x14ac:dyDescent="0.2">
      <c r="AH882" s="60"/>
      <c r="AI882" s="60"/>
      <c r="AJ882" s="60"/>
      <c r="AK882" s="60"/>
    </row>
    <row r="883" spans="34:37" x14ac:dyDescent="0.2">
      <c r="AH883" s="60"/>
      <c r="AI883" s="60"/>
      <c r="AJ883" s="60"/>
      <c r="AK883" s="60"/>
    </row>
    <row r="884" spans="34:37" x14ac:dyDescent="0.2">
      <c r="AH884" s="60"/>
      <c r="AI884" s="60"/>
      <c r="AJ884" s="60"/>
      <c r="AK884" s="60"/>
    </row>
    <row r="885" spans="34:37" x14ac:dyDescent="0.2">
      <c r="AH885" s="60"/>
      <c r="AI885" s="60"/>
      <c r="AJ885" s="60"/>
      <c r="AK885" s="60"/>
    </row>
    <row r="886" spans="34:37" x14ac:dyDescent="0.2">
      <c r="AH886" s="60"/>
      <c r="AI886" s="60"/>
      <c r="AJ886" s="60"/>
      <c r="AK886" s="60"/>
    </row>
    <row r="887" spans="34:37" x14ac:dyDescent="0.2">
      <c r="AH887" s="60"/>
      <c r="AI887" s="60"/>
      <c r="AJ887" s="60"/>
      <c r="AK887" s="60"/>
    </row>
    <row r="888" spans="34:37" x14ac:dyDescent="0.2">
      <c r="AH888" s="60"/>
      <c r="AI888" s="60"/>
      <c r="AJ888" s="60"/>
      <c r="AK888" s="60"/>
    </row>
    <row r="889" spans="34:37" x14ac:dyDescent="0.2">
      <c r="AH889" s="60"/>
      <c r="AI889" s="60"/>
      <c r="AJ889" s="60"/>
      <c r="AK889" s="60"/>
    </row>
    <row r="890" spans="34:37" x14ac:dyDescent="0.2">
      <c r="AH890" s="60"/>
      <c r="AI890" s="60"/>
      <c r="AJ890" s="60"/>
      <c r="AK890" s="60"/>
    </row>
    <row r="891" spans="34:37" x14ac:dyDescent="0.2">
      <c r="AH891" s="60"/>
      <c r="AI891" s="60"/>
      <c r="AJ891" s="60"/>
      <c r="AK891" s="60"/>
    </row>
    <row r="892" spans="34:37" x14ac:dyDescent="0.2">
      <c r="AH892" s="60"/>
      <c r="AI892" s="60"/>
      <c r="AJ892" s="60"/>
      <c r="AK892" s="60"/>
    </row>
    <row r="893" spans="34:37" x14ac:dyDescent="0.2">
      <c r="AH893" s="60"/>
      <c r="AI893" s="60"/>
      <c r="AJ893" s="60"/>
      <c r="AK893" s="60"/>
    </row>
    <row r="894" spans="34:37" x14ac:dyDescent="0.2">
      <c r="AH894" s="60"/>
      <c r="AI894" s="60"/>
      <c r="AJ894" s="60"/>
      <c r="AK894" s="60"/>
    </row>
    <row r="895" spans="34:37" x14ac:dyDescent="0.2">
      <c r="AH895" s="60"/>
      <c r="AI895" s="60"/>
      <c r="AJ895" s="60"/>
      <c r="AK895" s="60"/>
    </row>
    <row r="896" spans="34:37" x14ac:dyDescent="0.2">
      <c r="AH896" s="60"/>
      <c r="AI896" s="60"/>
      <c r="AJ896" s="60"/>
      <c r="AK896" s="60"/>
    </row>
    <row r="897" spans="34:37" x14ac:dyDescent="0.2">
      <c r="AH897" s="60"/>
      <c r="AI897" s="60"/>
      <c r="AJ897" s="60"/>
      <c r="AK897" s="60"/>
    </row>
    <row r="898" spans="34:37" x14ac:dyDescent="0.2">
      <c r="AH898" s="60"/>
      <c r="AI898" s="60"/>
      <c r="AJ898" s="60"/>
      <c r="AK898" s="60"/>
    </row>
    <row r="899" spans="34:37" x14ac:dyDescent="0.2">
      <c r="AH899" s="60"/>
      <c r="AI899" s="60"/>
      <c r="AJ899" s="60"/>
      <c r="AK899" s="60"/>
    </row>
    <row r="900" spans="34:37" x14ac:dyDescent="0.2">
      <c r="AH900" s="60"/>
      <c r="AI900" s="60"/>
      <c r="AJ900" s="60"/>
      <c r="AK900" s="60"/>
    </row>
    <row r="901" spans="34:37" x14ac:dyDescent="0.2">
      <c r="AH901" s="60"/>
      <c r="AI901" s="60"/>
      <c r="AJ901" s="60"/>
      <c r="AK901" s="60"/>
    </row>
    <row r="902" spans="34:37" x14ac:dyDescent="0.2">
      <c r="AH902" s="60"/>
      <c r="AI902" s="60"/>
      <c r="AJ902" s="60"/>
      <c r="AK902" s="60"/>
    </row>
    <row r="903" spans="34:37" x14ac:dyDescent="0.2">
      <c r="AH903" s="60"/>
      <c r="AI903" s="60"/>
      <c r="AJ903" s="60"/>
      <c r="AK903" s="60"/>
    </row>
    <row r="904" spans="34:37" x14ac:dyDescent="0.2">
      <c r="AH904" s="60"/>
      <c r="AI904" s="60"/>
      <c r="AJ904" s="60"/>
      <c r="AK904" s="60"/>
    </row>
    <row r="905" spans="34:37" x14ac:dyDescent="0.2">
      <c r="AH905" s="60"/>
      <c r="AI905" s="60"/>
      <c r="AJ905" s="60"/>
      <c r="AK905" s="60"/>
    </row>
    <row r="906" spans="34:37" x14ac:dyDescent="0.2">
      <c r="AH906" s="60"/>
      <c r="AI906" s="60"/>
      <c r="AJ906" s="60"/>
      <c r="AK906" s="60"/>
    </row>
    <row r="907" spans="34:37" x14ac:dyDescent="0.2">
      <c r="AH907" s="60"/>
      <c r="AI907" s="60"/>
      <c r="AJ907" s="60"/>
      <c r="AK907" s="60"/>
    </row>
    <row r="908" spans="34:37" x14ac:dyDescent="0.2">
      <c r="AH908" s="60"/>
      <c r="AI908" s="60"/>
      <c r="AJ908" s="60"/>
      <c r="AK908" s="60"/>
    </row>
    <row r="909" spans="34:37" x14ac:dyDescent="0.2">
      <c r="AH909" s="60"/>
      <c r="AI909" s="60"/>
      <c r="AJ909" s="60"/>
      <c r="AK909" s="60"/>
    </row>
    <row r="910" spans="34:37" x14ac:dyDescent="0.2">
      <c r="AH910" s="60"/>
      <c r="AI910" s="60"/>
      <c r="AJ910" s="60"/>
      <c r="AK910" s="60"/>
    </row>
    <row r="911" spans="34:37" x14ac:dyDescent="0.2">
      <c r="AH911" s="60"/>
      <c r="AI911" s="60"/>
      <c r="AJ911" s="60"/>
      <c r="AK911" s="60"/>
    </row>
    <row r="912" spans="34:37" x14ac:dyDescent="0.2">
      <c r="AH912" s="60"/>
      <c r="AI912" s="60"/>
      <c r="AJ912" s="60"/>
      <c r="AK912" s="60"/>
    </row>
    <row r="913" spans="34:37" x14ac:dyDescent="0.2">
      <c r="AH913" s="60"/>
      <c r="AI913" s="60"/>
      <c r="AJ913" s="60"/>
      <c r="AK913" s="60"/>
    </row>
    <row r="914" spans="34:37" x14ac:dyDescent="0.2">
      <c r="AH914" s="60"/>
      <c r="AI914" s="60"/>
      <c r="AJ914" s="60"/>
      <c r="AK914" s="60"/>
    </row>
    <row r="915" spans="34:37" x14ac:dyDescent="0.2">
      <c r="AH915" s="60"/>
      <c r="AI915" s="60"/>
      <c r="AJ915" s="60"/>
      <c r="AK915" s="60"/>
    </row>
    <row r="916" spans="34:37" x14ac:dyDescent="0.2">
      <c r="AH916" s="60"/>
      <c r="AI916" s="60"/>
      <c r="AJ916" s="60"/>
      <c r="AK916" s="60"/>
    </row>
    <row r="917" spans="34:37" x14ac:dyDescent="0.2">
      <c r="AH917" s="60"/>
      <c r="AI917" s="60"/>
      <c r="AJ917" s="60"/>
      <c r="AK917" s="60"/>
    </row>
    <row r="918" spans="34:37" x14ac:dyDescent="0.2">
      <c r="AH918" s="60"/>
      <c r="AI918" s="60"/>
      <c r="AJ918" s="60"/>
      <c r="AK918" s="60"/>
    </row>
    <row r="919" spans="34:37" x14ac:dyDescent="0.2">
      <c r="AH919" s="60"/>
      <c r="AI919" s="60"/>
      <c r="AJ919" s="60"/>
      <c r="AK919" s="60"/>
    </row>
    <row r="920" spans="34:37" x14ac:dyDescent="0.2">
      <c r="AH920" s="60"/>
      <c r="AI920" s="60"/>
      <c r="AJ920" s="60"/>
      <c r="AK920" s="60"/>
    </row>
    <row r="921" spans="34:37" x14ac:dyDescent="0.2">
      <c r="AH921" s="60"/>
      <c r="AI921" s="60"/>
      <c r="AJ921" s="60"/>
      <c r="AK921" s="60"/>
    </row>
    <row r="922" spans="34:37" x14ac:dyDescent="0.2">
      <c r="AH922" s="60"/>
      <c r="AI922" s="60"/>
      <c r="AJ922" s="60"/>
      <c r="AK922" s="60"/>
    </row>
    <row r="923" spans="34:37" x14ac:dyDescent="0.2">
      <c r="AH923" s="60"/>
      <c r="AI923" s="60"/>
      <c r="AJ923" s="60"/>
      <c r="AK923" s="60"/>
    </row>
    <row r="924" spans="34:37" x14ac:dyDescent="0.2">
      <c r="AH924" s="60"/>
      <c r="AI924" s="60"/>
      <c r="AJ924" s="60"/>
      <c r="AK924" s="60"/>
    </row>
    <row r="925" spans="34:37" x14ac:dyDescent="0.2">
      <c r="AH925" s="60"/>
      <c r="AI925" s="60"/>
      <c r="AJ925" s="60"/>
      <c r="AK925" s="60"/>
    </row>
    <row r="926" spans="34:37" x14ac:dyDescent="0.2">
      <c r="AH926" s="60"/>
      <c r="AI926" s="60"/>
      <c r="AJ926" s="60"/>
      <c r="AK926" s="60"/>
    </row>
    <row r="927" spans="34:37" x14ac:dyDescent="0.2">
      <c r="AH927" s="60"/>
      <c r="AI927" s="60"/>
      <c r="AJ927" s="60"/>
      <c r="AK927" s="60"/>
    </row>
    <row r="928" spans="34:37" x14ac:dyDescent="0.2">
      <c r="AH928" s="60"/>
      <c r="AI928" s="60"/>
      <c r="AJ928" s="60"/>
      <c r="AK928" s="60"/>
    </row>
    <row r="929" spans="34:37" x14ac:dyDescent="0.2">
      <c r="AH929" s="60"/>
      <c r="AI929" s="60"/>
      <c r="AJ929" s="60"/>
      <c r="AK929" s="60"/>
    </row>
    <row r="930" spans="34:37" x14ac:dyDescent="0.2">
      <c r="AH930" s="60"/>
      <c r="AI930" s="60"/>
      <c r="AJ930" s="60"/>
      <c r="AK930" s="60"/>
    </row>
    <row r="931" spans="34:37" x14ac:dyDescent="0.2">
      <c r="AH931" s="60"/>
      <c r="AI931" s="60"/>
      <c r="AJ931" s="60"/>
      <c r="AK931" s="60"/>
    </row>
    <row r="932" spans="34:37" x14ac:dyDescent="0.2">
      <c r="AH932" s="60"/>
      <c r="AI932" s="60"/>
      <c r="AJ932" s="60"/>
      <c r="AK932" s="60"/>
    </row>
    <row r="933" spans="34:37" x14ac:dyDescent="0.2">
      <c r="AH933" s="60"/>
      <c r="AI933" s="60"/>
      <c r="AJ933" s="60"/>
      <c r="AK933" s="60"/>
    </row>
    <row r="934" spans="34:37" x14ac:dyDescent="0.2">
      <c r="AH934" s="60"/>
      <c r="AI934" s="60"/>
      <c r="AJ934" s="60"/>
      <c r="AK934" s="60"/>
    </row>
    <row r="935" spans="34:37" x14ac:dyDescent="0.2">
      <c r="AH935" s="60"/>
      <c r="AI935" s="60"/>
      <c r="AJ935" s="60"/>
      <c r="AK935" s="60"/>
    </row>
    <row r="936" spans="34:37" x14ac:dyDescent="0.2">
      <c r="AH936" s="60"/>
      <c r="AI936" s="60"/>
      <c r="AJ936" s="60"/>
      <c r="AK936" s="60"/>
    </row>
    <row r="937" spans="34:37" x14ac:dyDescent="0.2">
      <c r="AH937" s="60"/>
      <c r="AI937" s="60"/>
      <c r="AJ937" s="60"/>
      <c r="AK937" s="60"/>
    </row>
    <row r="938" spans="34:37" x14ac:dyDescent="0.2">
      <c r="AH938" s="60"/>
      <c r="AI938" s="60"/>
      <c r="AJ938" s="60"/>
      <c r="AK938" s="60"/>
    </row>
    <row r="939" spans="34:37" x14ac:dyDescent="0.2">
      <c r="AH939" s="60"/>
      <c r="AI939" s="60"/>
      <c r="AJ939" s="60"/>
      <c r="AK939" s="60"/>
    </row>
    <row r="940" spans="34:37" x14ac:dyDescent="0.2">
      <c r="AH940" s="60"/>
      <c r="AI940" s="60"/>
      <c r="AJ940" s="60"/>
      <c r="AK940" s="60"/>
    </row>
    <row r="941" spans="34:37" x14ac:dyDescent="0.2">
      <c r="AH941" s="60"/>
      <c r="AI941" s="60"/>
      <c r="AJ941" s="60"/>
      <c r="AK941" s="60"/>
    </row>
    <row r="942" spans="34:37" x14ac:dyDescent="0.2">
      <c r="AH942" s="60"/>
      <c r="AI942" s="60"/>
      <c r="AJ942" s="60"/>
      <c r="AK942" s="60"/>
    </row>
    <row r="943" spans="34:37" x14ac:dyDescent="0.2">
      <c r="AH943" s="60"/>
      <c r="AI943" s="60"/>
      <c r="AJ943" s="60"/>
      <c r="AK943" s="60"/>
    </row>
    <row r="944" spans="34:37" x14ac:dyDescent="0.2">
      <c r="AH944" s="60"/>
      <c r="AI944" s="60"/>
      <c r="AJ944" s="60"/>
      <c r="AK944" s="60"/>
    </row>
    <row r="945" spans="34:37" x14ac:dyDescent="0.2">
      <c r="AH945" s="60"/>
      <c r="AI945" s="60"/>
      <c r="AJ945" s="60"/>
      <c r="AK945" s="60"/>
    </row>
    <row r="946" spans="34:37" x14ac:dyDescent="0.2">
      <c r="AH946" s="60"/>
      <c r="AI946" s="60"/>
      <c r="AJ946" s="60"/>
      <c r="AK946" s="60"/>
    </row>
    <row r="947" spans="34:37" x14ac:dyDescent="0.2">
      <c r="AH947" s="60"/>
      <c r="AI947" s="60"/>
      <c r="AJ947" s="60"/>
      <c r="AK947" s="60"/>
    </row>
    <row r="948" spans="34:37" x14ac:dyDescent="0.2">
      <c r="AH948" s="60"/>
      <c r="AI948" s="60"/>
      <c r="AJ948" s="60"/>
      <c r="AK948" s="60"/>
    </row>
    <row r="949" spans="34:37" x14ac:dyDescent="0.2">
      <c r="AH949" s="60"/>
      <c r="AI949" s="60"/>
      <c r="AJ949" s="60"/>
      <c r="AK949" s="60"/>
    </row>
    <row r="950" spans="34:37" x14ac:dyDescent="0.2">
      <c r="AH950" s="60"/>
      <c r="AI950" s="60"/>
      <c r="AJ950" s="60"/>
      <c r="AK950" s="60"/>
    </row>
    <row r="951" spans="34:37" x14ac:dyDescent="0.2">
      <c r="AH951" s="60"/>
      <c r="AI951" s="60"/>
      <c r="AJ951" s="60"/>
      <c r="AK951" s="60"/>
    </row>
    <row r="952" spans="34:37" x14ac:dyDescent="0.2">
      <c r="AH952" s="60"/>
      <c r="AI952" s="60"/>
      <c r="AJ952" s="60"/>
      <c r="AK952" s="60"/>
    </row>
    <row r="953" spans="34:37" x14ac:dyDescent="0.2">
      <c r="AH953" s="60"/>
      <c r="AI953" s="60"/>
      <c r="AJ953" s="60"/>
      <c r="AK953" s="60"/>
    </row>
    <row r="954" spans="34:37" x14ac:dyDescent="0.2">
      <c r="AH954" s="60"/>
      <c r="AI954" s="60"/>
      <c r="AJ954" s="60"/>
      <c r="AK954" s="60"/>
    </row>
    <row r="955" spans="34:37" x14ac:dyDescent="0.2">
      <c r="AH955" s="60"/>
      <c r="AI955" s="60"/>
      <c r="AJ955" s="60"/>
      <c r="AK955" s="60"/>
    </row>
    <row r="956" spans="34:37" x14ac:dyDescent="0.2">
      <c r="AH956" s="60"/>
      <c r="AI956" s="60"/>
      <c r="AJ956" s="60"/>
      <c r="AK956" s="60"/>
    </row>
    <row r="957" spans="34:37" x14ac:dyDescent="0.2">
      <c r="AH957" s="60"/>
      <c r="AI957" s="60"/>
      <c r="AJ957" s="60"/>
      <c r="AK957" s="60"/>
    </row>
    <row r="958" spans="34:37" x14ac:dyDescent="0.2">
      <c r="AH958" s="60"/>
      <c r="AI958" s="60"/>
      <c r="AJ958" s="60"/>
      <c r="AK958" s="60"/>
    </row>
    <row r="959" spans="34:37" x14ac:dyDescent="0.2">
      <c r="AH959" s="60"/>
      <c r="AI959" s="60"/>
      <c r="AJ959" s="60"/>
      <c r="AK959" s="60"/>
    </row>
    <row r="960" spans="34:37" x14ac:dyDescent="0.2">
      <c r="AH960" s="60"/>
      <c r="AI960" s="60"/>
      <c r="AJ960" s="60"/>
      <c r="AK960" s="60"/>
    </row>
    <row r="961" spans="34:37" x14ac:dyDescent="0.2">
      <c r="AH961" s="60"/>
      <c r="AI961" s="60"/>
      <c r="AJ961" s="60"/>
      <c r="AK961" s="60"/>
    </row>
    <row r="962" spans="34:37" x14ac:dyDescent="0.2">
      <c r="AH962" s="60"/>
      <c r="AI962" s="60"/>
      <c r="AJ962" s="60"/>
      <c r="AK962" s="60"/>
    </row>
    <row r="963" spans="34:37" x14ac:dyDescent="0.2">
      <c r="AH963" s="60"/>
      <c r="AI963" s="60"/>
      <c r="AJ963" s="60"/>
      <c r="AK963" s="60"/>
    </row>
    <row r="964" spans="34:37" x14ac:dyDescent="0.2">
      <c r="AH964" s="60"/>
      <c r="AI964" s="60"/>
      <c r="AJ964" s="60"/>
      <c r="AK964" s="60"/>
    </row>
    <row r="965" spans="34:37" x14ac:dyDescent="0.2">
      <c r="AH965" s="60"/>
      <c r="AI965" s="60"/>
      <c r="AJ965" s="60"/>
      <c r="AK965" s="60"/>
    </row>
    <row r="966" spans="34:37" x14ac:dyDescent="0.2">
      <c r="AH966" s="60"/>
      <c r="AI966" s="60"/>
      <c r="AJ966" s="60"/>
      <c r="AK966" s="60"/>
    </row>
    <row r="967" spans="34:37" x14ac:dyDescent="0.2">
      <c r="AH967" s="60"/>
      <c r="AI967" s="60"/>
      <c r="AJ967" s="60"/>
      <c r="AK967" s="60"/>
    </row>
    <row r="968" spans="34:37" x14ac:dyDescent="0.2">
      <c r="AH968" s="60"/>
      <c r="AI968" s="60"/>
      <c r="AJ968" s="60"/>
      <c r="AK968" s="60"/>
    </row>
    <row r="969" spans="34:37" x14ac:dyDescent="0.2">
      <c r="AH969" s="60"/>
      <c r="AI969" s="60"/>
      <c r="AJ969" s="60"/>
      <c r="AK969" s="60"/>
    </row>
    <row r="970" spans="34:37" x14ac:dyDescent="0.2">
      <c r="AH970" s="60"/>
      <c r="AI970" s="60"/>
      <c r="AJ970" s="60"/>
      <c r="AK970" s="60"/>
    </row>
    <row r="971" spans="34:37" x14ac:dyDescent="0.2">
      <c r="AH971" s="60"/>
      <c r="AI971" s="60"/>
      <c r="AJ971" s="60"/>
      <c r="AK971" s="60"/>
    </row>
    <row r="972" spans="34:37" x14ac:dyDescent="0.2">
      <c r="AH972" s="60"/>
      <c r="AI972" s="60"/>
      <c r="AJ972" s="60"/>
      <c r="AK972" s="60"/>
    </row>
    <row r="973" spans="34:37" x14ac:dyDescent="0.2">
      <c r="AH973" s="60"/>
      <c r="AI973" s="60"/>
      <c r="AJ973" s="60"/>
      <c r="AK973" s="60"/>
    </row>
    <row r="974" spans="34:37" x14ac:dyDescent="0.2">
      <c r="AH974" s="60"/>
      <c r="AI974" s="60"/>
      <c r="AJ974" s="60"/>
      <c r="AK974" s="60"/>
    </row>
    <row r="975" spans="34:37" x14ac:dyDescent="0.2">
      <c r="AH975" s="60"/>
      <c r="AI975" s="60"/>
      <c r="AJ975" s="60"/>
      <c r="AK975" s="60"/>
    </row>
    <row r="976" spans="34:37" x14ac:dyDescent="0.2">
      <c r="AH976" s="60"/>
      <c r="AI976" s="60"/>
      <c r="AJ976" s="60"/>
      <c r="AK976" s="60"/>
    </row>
    <row r="977" spans="34:37" x14ac:dyDescent="0.2">
      <c r="AH977" s="60"/>
      <c r="AI977" s="60"/>
      <c r="AJ977" s="60"/>
      <c r="AK977" s="60"/>
    </row>
    <row r="978" spans="34:37" x14ac:dyDescent="0.2">
      <c r="AH978" s="60"/>
      <c r="AI978" s="60"/>
      <c r="AJ978" s="60"/>
      <c r="AK978" s="60"/>
    </row>
    <row r="979" spans="34:37" x14ac:dyDescent="0.2">
      <c r="AH979" s="60"/>
      <c r="AI979" s="60"/>
      <c r="AJ979" s="60"/>
      <c r="AK979" s="60"/>
    </row>
    <row r="980" spans="34:37" x14ac:dyDescent="0.2">
      <c r="AH980" s="60"/>
      <c r="AI980" s="60"/>
      <c r="AJ980" s="60"/>
      <c r="AK980" s="60"/>
    </row>
    <row r="981" spans="34:37" x14ac:dyDescent="0.2">
      <c r="AH981" s="60"/>
      <c r="AI981" s="60"/>
      <c r="AJ981" s="60"/>
      <c r="AK981" s="60"/>
    </row>
    <row r="982" spans="34:37" x14ac:dyDescent="0.2">
      <c r="AH982" s="60"/>
      <c r="AI982" s="60"/>
      <c r="AJ982" s="60"/>
      <c r="AK982" s="60"/>
    </row>
    <row r="983" spans="34:37" x14ac:dyDescent="0.2">
      <c r="AH983" s="60"/>
      <c r="AI983" s="60"/>
      <c r="AJ983" s="60"/>
      <c r="AK983" s="60"/>
    </row>
    <row r="984" spans="34:37" x14ac:dyDescent="0.2">
      <c r="AH984" s="60"/>
      <c r="AI984" s="60"/>
      <c r="AJ984" s="60"/>
      <c r="AK984" s="60"/>
    </row>
    <row r="985" spans="34:37" x14ac:dyDescent="0.2">
      <c r="AH985" s="60"/>
      <c r="AI985" s="60"/>
      <c r="AJ985" s="60"/>
      <c r="AK985" s="60"/>
    </row>
    <row r="986" spans="34:37" x14ac:dyDescent="0.2">
      <c r="AH986" s="60"/>
      <c r="AI986" s="60"/>
      <c r="AJ986" s="60"/>
      <c r="AK986" s="60"/>
    </row>
    <row r="987" spans="34:37" x14ac:dyDescent="0.2">
      <c r="AH987" s="60"/>
      <c r="AI987" s="60"/>
      <c r="AJ987" s="60"/>
      <c r="AK987" s="60"/>
    </row>
    <row r="988" spans="34:37" x14ac:dyDescent="0.2">
      <c r="AH988" s="60"/>
      <c r="AI988" s="60"/>
      <c r="AJ988" s="60"/>
      <c r="AK988" s="60"/>
    </row>
    <row r="989" spans="34:37" x14ac:dyDescent="0.2">
      <c r="AH989" s="60"/>
      <c r="AI989" s="60"/>
      <c r="AJ989" s="60"/>
      <c r="AK989" s="60"/>
    </row>
    <row r="990" spans="34:37" x14ac:dyDescent="0.2">
      <c r="AH990" s="60"/>
      <c r="AI990" s="60"/>
      <c r="AJ990" s="60"/>
      <c r="AK990" s="60"/>
    </row>
    <row r="991" spans="34:37" x14ac:dyDescent="0.2">
      <c r="AH991" s="60"/>
      <c r="AI991" s="60"/>
      <c r="AJ991" s="60"/>
      <c r="AK991" s="60"/>
    </row>
    <row r="992" spans="34:37" x14ac:dyDescent="0.2">
      <c r="AH992" s="60"/>
      <c r="AI992" s="60"/>
      <c r="AJ992" s="60"/>
      <c r="AK992" s="60"/>
    </row>
    <row r="993" spans="34:37" x14ac:dyDescent="0.2">
      <c r="AH993" s="60"/>
      <c r="AI993" s="60"/>
      <c r="AJ993" s="60"/>
      <c r="AK993" s="60"/>
    </row>
    <row r="994" spans="34:37" x14ac:dyDescent="0.2">
      <c r="AH994" s="60"/>
      <c r="AI994" s="60"/>
      <c r="AJ994" s="60"/>
      <c r="AK994" s="60"/>
    </row>
    <row r="995" spans="34:37" x14ac:dyDescent="0.2">
      <c r="AH995" s="60"/>
      <c r="AI995" s="60"/>
      <c r="AJ995" s="60"/>
      <c r="AK995" s="60"/>
    </row>
    <row r="996" spans="34:37" x14ac:dyDescent="0.2">
      <c r="AH996" s="60"/>
      <c r="AI996" s="60"/>
      <c r="AJ996" s="60"/>
      <c r="AK996" s="60"/>
    </row>
    <row r="997" spans="34:37" x14ac:dyDescent="0.2">
      <c r="AH997" s="60"/>
      <c r="AI997" s="60"/>
      <c r="AJ997" s="60"/>
      <c r="AK997" s="60"/>
    </row>
    <row r="998" spans="34:37" x14ac:dyDescent="0.2">
      <c r="AH998" s="60"/>
      <c r="AI998" s="60"/>
      <c r="AJ998" s="60"/>
      <c r="AK998" s="60"/>
    </row>
    <row r="999" spans="34:37" x14ac:dyDescent="0.2">
      <c r="AH999" s="60"/>
      <c r="AI999" s="60"/>
      <c r="AJ999" s="60"/>
      <c r="AK999" s="60"/>
    </row>
    <row r="1000" spans="34:37" x14ac:dyDescent="0.2">
      <c r="AH1000" s="60"/>
      <c r="AI1000" s="60"/>
      <c r="AJ1000" s="60"/>
      <c r="AK1000" s="60"/>
    </row>
    <row r="1001" spans="34:37" x14ac:dyDescent="0.2">
      <c r="AH1001" s="60"/>
      <c r="AI1001" s="60"/>
      <c r="AJ1001" s="60"/>
      <c r="AK1001" s="60"/>
    </row>
    <row r="1002" spans="34:37" x14ac:dyDescent="0.2">
      <c r="AH1002" s="60"/>
      <c r="AI1002" s="60"/>
      <c r="AJ1002" s="60"/>
      <c r="AK1002" s="60"/>
    </row>
    <row r="1003" spans="34:37" x14ac:dyDescent="0.2">
      <c r="AH1003" s="60"/>
      <c r="AI1003" s="60"/>
      <c r="AJ1003" s="60"/>
      <c r="AK1003" s="60"/>
    </row>
    <row r="1004" spans="34:37" x14ac:dyDescent="0.2">
      <c r="AH1004" s="60"/>
      <c r="AI1004" s="60"/>
      <c r="AJ1004" s="60"/>
      <c r="AK1004" s="60"/>
    </row>
    <row r="1005" spans="34:37" x14ac:dyDescent="0.2">
      <c r="AH1005" s="60"/>
      <c r="AI1005" s="60"/>
      <c r="AJ1005" s="60"/>
      <c r="AK1005" s="60"/>
    </row>
    <row r="1006" spans="34:37" x14ac:dyDescent="0.2">
      <c r="AH1006" s="60"/>
      <c r="AI1006" s="60"/>
      <c r="AJ1006" s="60"/>
      <c r="AK1006" s="60"/>
    </row>
    <row r="1007" spans="34:37" x14ac:dyDescent="0.2">
      <c r="AH1007" s="60"/>
      <c r="AI1007" s="60"/>
      <c r="AJ1007" s="60"/>
      <c r="AK1007" s="60"/>
    </row>
    <row r="1008" spans="34:37" x14ac:dyDescent="0.2">
      <c r="AH1008" s="60"/>
      <c r="AI1008" s="60"/>
      <c r="AJ1008" s="60"/>
      <c r="AK1008" s="60"/>
    </row>
    <row r="1009" spans="34:37" x14ac:dyDescent="0.2">
      <c r="AH1009" s="60"/>
      <c r="AI1009" s="60"/>
      <c r="AJ1009" s="60"/>
      <c r="AK1009" s="60"/>
    </row>
    <row r="1010" spans="34:37" x14ac:dyDescent="0.2">
      <c r="AH1010" s="60"/>
      <c r="AI1010" s="60"/>
      <c r="AJ1010" s="60"/>
      <c r="AK1010" s="60"/>
    </row>
    <row r="1011" spans="34:37" x14ac:dyDescent="0.2">
      <c r="AH1011" s="60"/>
      <c r="AI1011" s="60"/>
      <c r="AJ1011" s="60"/>
      <c r="AK1011" s="60"/>
    </row>
    <row r="1012" spans="34:37" x14ac:dyDescent="0.2">
      <c r="AH1012" s="60"/>
      <c r="AI1012" s="60"/>
      <c r="AJ1012" s="60"/>
      <c r="AK1012" s="60"/>
    </row>
    <row r="1013" spans="34:37" x14ac:dyDescent="0.2">
      <c r="AH1013" s="60"/>
      <c r="AI1013" s="60"/>
      <c r="AJ1013" s="60"/>
      <c r="AK1013" s="60"/>
    </row>
    <row r="1014" spans="34:37" x14ac:dyDescent="0.2">
      <c r="AH1014" s="60"/>
      <c r="AI1014" s="60"/>
      <c r="AJ1014" s="60"/>
      <c r="AK1014" s="60"/>
    </row>
    <row r="1015" spans="34:37" x14ac:dyDescent="0.2">
      <c r="AH1015" s="60"/>
      <c r="AI1015" s="60"/>
      <c r="AJ1015" s="60"/>
      <c r="AK1015" s="60"/>
    </row>
    <row r="1016" spans="34:37" x14ac:dyDescent="0.2">
      <c r="AH1016" s="60"/>
      <c r="AI1016" s="60"/>
      <c r="AJ1016" s="60"/>
      <c r="AK1016" s="60"/>
    </row>
    <row r="1017" spans="34:37" x14ac:dyDescent="0.2">
      <c r="AH1017" s="60"/>
      <c r="AI1017" s="60"/>
      <c r="AJ1017" s="60"/>
      <c r="AK1017" s="60"/>
    </row>
    <row r="1018" spans="34:37" x14ac:dyDescent="0.2">
      <c r="AH1018" s="60"/>
      <c r="AI1018" s="60"/>
      <c r="AJ1018" s="60"/>
      <c r="AK1018" s="60"/>
    </row>
    <row r="1019" spans="34:37" x14ac:dyDescent="0.2">
      <c r="AH1019" s="60"/>
      <c r="AI1019" s="60"/>
      <c r="AJ1019" s="60"/>
      <c r="AK1019" s="60"/>
    </row>
  </sheetData>
  <sheetProtection sheet="1" objects="1" scenarios="1"/>
  <mergeCells count="9">
    <mergeCell ref="W7:X7"/>
    <mergeCell ref="Z7:AA7"/>
    <mergeCell ref="AC7:AD7"/>
    <mergeCell ref="W9:X9"/>
    <mergeCell ref="Z9:AA9"/>
    <mergeCell ref="AC9:AD9"/>
    <mergeCell ref="W8:X8"/>
    <mergeCell ref="Z8:AA8"/>
    <mergeCell ref="AC8:AD8"/>
  </mergeCells>
  <phoneticPr fontId="18" type="noConversion"/>
  <conditionalFormatting sqref="C3">
    <cfRule type="expression" dxfId="16" priority="1" stopIfTrue="1">
      <formula>(C3/C2-INT(C3/C2)&gt;0.0001)</formula>
    </cfRule>
  </conditionalFormatting>
  <conditionalFormatting sqref="A10:A12 A21:A22">
    <cfRule type="cellIs" dxfId="15" priority="2" stopIfTrue="1" operator="equal">
      <formula>"N"</formula>
    </cfRule>
  </conditionalFormatting>
  <conditionalFormatting sqref="C4">
    <cfRule type="expression" dxfId="14" priority="3" stopIfTrue="1">
      <formula>(C4/2-INT(C4/2)&gt;0.0001)</formula>
    </cfRule>
  </conditionalFormatting>
  <conditionalFormatting sqref="C5">
    <cfRule type="expression" dxfId="13" priority="4" stopIfTrue="1">
      <formula>(C5-INT(C5)&gt;0.0001)</formula>
    </cfRule>
  </conditionalFormatting>
  <dataValidations count="5">
    <dataValidation type="list" showInputMessage="1" showErrorMessage="1" sqref="A4" xr:uid="{00000000-0002-0000-0000-000000000000}">
      <formula1>$BV$9:$BV$35</formula1>
    </dataValidation>
    <dataValidation type="list" allowBlank="1" showInputMessage="1" showErrorMessage="1" sqref="A5" xr:uid="{00000000-0002-0000-0000-000001000000}">
      <formula1>$BQ$9:$BQ$10</formula1>
    </dataValidation>
    <dataValidation type="list" allowBlank="1" showInputMessage="1" showErrorMessage="1" sqref="A7" xr:uid="{00000000-0002-0000-0000-000002000000}">
      <formula1>$BQ$13:$BQ$14</formula1>
    </dataValidation>
    <dataValidation type="list" allowBlank="1" showInputMessage="1" showErrorMessage="1" sqref="AI8" xr:uid="{00000000-0002-0000-0000-000003000000}">
      <formula1>$BQ$17:$BQ$19</formula1>
    </dataValidation>
    <dataValidation type="list" allowBlank="1" showInputMessage="1" showErrorMessage="1" sqref="E4" xr:uid="{00000000-0002-0000-0000-000004000000}">
      <formula1>$A$74:$A$75</formula1>
    </dataValidation>
  </dataValidations>
  <pageMargins left="0.5" right="0.3" top="0.79" bottom="0.46" header="0.6" footer="0.25"/>
  <pageSetup paperSize="9" scale="70" orientation="landscape" r:id="rId1"/>
  <headerFooter alignWithMargins="0">
    <oddFooter>&amp;LLaczkó István&amp;R&amp;F.xls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6">
    <pageSetUpPr fitToPage="1"/>
  </sheetPr>
  <dimension ref="A1:AT167"/>
  <sheetViews>
    <sheetView workbookViewId="0"/>
  </sheetViews>
  <sheetFormatPr defaultColWidth="9.140625" defaultRowHeight="12.75" x14ac:dyDescent="0.2"/>
  <cols>
    <col min="1" max="1" width="3.42578125" style="3" customWidth="1"/>
    <col min="2" max="2" width="10.7109375" style="3" customWidth="1"/>
    <col min="3" max="3" width="9.7109375" style="3" customWidth="1"/>
    <col min="4" max="52" width="4.7109375" style="3" customWidth="1"/>
    <col min="53" max="16384" width="9.140625" style="3"/>
  </cols>
  <sheetData>
    <row r="1" spans="1:2" ht="15.75" x14ac:dyDescent="0.25">
      <c r="B1" s="61" t="s">
        <v>945</v>
      </c>
    </row>
    <row r="2" spans="1:2" x14ac:dyDescent="0.2">
      <c r="B2" s="62" t="s">
        <v>928</v>
      </c>
    </row>
    <row r="4" spans="1:2" ht="15.75" x14ac:dyDescent="0.25">
      <c r="A4" s="63" t="s">
        <v>277</v>
      </c>
      <c r="B4" s="64" t="s">
        <v>307</v>
      </c>
    </row>
    <row r="5" spans="1:2" x14ac:dyDescent="0.2">
      <c r="B5" s="3" t="s">
        <v>312</v>
      </c>
    </row>
    <row r="6" spans="1:2" x14ac:dyDescent="0.2">
      <c r="B6" s="3" t="s">
        <v>266</v>
      </c>
    </row>
    <row r="7" spans="1:2" x14ac:dyDescent="0.2">
      <c r="B7" s="3" t="s">
        <v>259</v>
      </c>
    </row>
    <row r="8" spans="1:2" x14ac:dyDescent="0.2">
      <c r="B8" s="3" t="s">
        <v>302</v>
      </c>
    </row>
    <row r="9" spans="1:2" x14ac:dyDescent="0.2">
      <c r="B9" s="3" t="s">
        <v>934</v>
      </c>
    </row>
    <row r="10" spans="1:2" x14ac:dyDescent="0.2">
      <c r="B10" s="3" t="s">
        <v>904</v>
      </c>
    </row>
    <row r="11" spans="1:2" x14ac:dyDescent="0.2">
      <c r="B11" s="3" t="s">
        <v>300</v>
      </c>
    </row>
    <row r="12" spans="1:2" x14ac:dyDescent="0.2">
      <c r="B12" s="3" t="s">
        <v>258</v>
      </c>
    </row>
    <row r="13" spans="1:2" x14ac:dyDescent="0.2">
      <c r="B13" s="3" t="s">
        <v>260</v>
      </c>
    </row>
    <row r="14" spans="1:2" x14ac:dyDescent="0.2">
      <c r="B14" s="65" t="s">
        <v>303</v>
      </c>
    </row>
    <row r="15" spans="1:2" x14ac:dyDescent="0.2">
      <c r="B15" s="65" t="s">
        <v>261</v>
      </c>
    </row>
    <row r="16" spans="1:2" x14ac:dyDescent="0.2">
      <c r="B16" s="65" t="s">
        <v>262</v>
      </c>
    </row>
    <row r="17" spans="1:2" x14ac:dyDescent="0.2">
      <c r="B17" s="65" t="s">
        <v>263</v>
      </c>
    </row>
    <row r="18" spans="1:2" x14ac:dyDescent="0.2">
      <c r="B18" s="65" t="s">
        <v>304</v>
      </c>
    </row>
    <row r="19" spans="1:2" x14ac:dyDescent="0.2">
      <c r="B19" s="65" t="s">
        <v>274</v>
      </c>
    </row>
    <row r="20" spans="1:2" x14ac:dyDescent="0.2">
      <c r="B20" s="65" t="s">
        <v>536</v>
      </c>
    </row>
    <row r="21" spans="1:2" x14ac:dyDescent="0.2">
      <c r="B21" s="3" t="s">
        <v>268</v>
      </c>
    </row>
    <row r="22" spans="1:2" x14ac:dyDescent="0.2">
      <c r="B22" s="3" t="s">
        <v>324</v>
      </c>
    </row>
    <row r="24" spans="1:2" ht="15.75" x14ac:dyDescent="0.25">
      <c r="A24" s="63" t="s">
        <v>278</v>
      </c>
      <c r="B24" s="64" t="s">
        <v>315</v>
      </c>
    </row>
    <row r="25" spans="1:2" x14ac:dyDescent="0.2">
      <c r="B25" s="3" t="s">
        <v>313</v>
      </c>
    </row>
    <row r="26" spans="1:2" x14ac:dyDescent="0.2">
      <c r="B26" s="3" t="s">
        <v>316</v>
      </c>
    </row>
    <row r="27" spans="1:2" x14ac:dyDescent="0.2">
      <c r="B27" s="3" t="s">
        <v>314</v>
      </c>
    </row>
    <row r="28" spans="1:2" x14ac:dyDescent="0.2">
      <c r="B28" s="3" t="s">
        <v>264</v>
      </c>
    </row>
    <row r="29" spans="1:2" x14ac:dyDescent="0.2">
      <c r="B29" s="3" t="s">
        <v>296</v>
      </c>
    </row>
    <row r="30" spans="1:2" x14ac:dyDescent="0.2">
      <c r="B30" s="3" t="s">
        <v>269</v>
      </c>
    </row>
    <row r="31" spans="1:2" x14ac:dyDescent="0.2">
      <c r="B31" s="3" t="s">
        <v>276</v>
      </c>
    </row>
    <row r="32" spans="1:2" x14ac:dyDescent="0.2">
      <c r="B32" s="3" t="s">
        <v>265</v>
      </c>
    </row>
    <row r="33" spans="1:4" x14ac:dyDescent="0.2">
      <c r="B33" s="3" t="s">
        <v>257</v>
      </c>
    </row>
    <row r="34" spans="1:4" x14ac:dyDescent="0.2">
      <c r="B34" s="3" t="s">
        <v>272</v>
      </c>
    </row>
    <row r="35" spans="1:4" x14ac:dyDescent="0.2">
      <c r="B35" s="3" t="s">
        <v>273</v>
      </c>
    </row>
    <row r="36" spans="1:4" x14ac:dyDescent="0.2">
      <c r="B36" s="3" t="s">
        <v>297</v>
      </c>
    </row>
    <row r="37" spans="1:4" x14ac:dyDescent="0.2">
      <c r="B37" s="3" t="s">
        <v>298</v>
      </c>
    </row>
    <row r="38" spans="1:4" x14ac:dyDescent="0.2">
      <c r="B38" s="3" t="s">
        <v>282</v>
      </c>
    </row>
    <row r="39" spans="1:4" x14ac:dyDescent="0.2">
      <c r="B39" s="3" t="s">
        <v>299</v>
      </c>
    </row>
    <row r="40" spans="1:4" x14ac:dyDescent="0.2">
      <c r="B40" s="3" t="s">
        <v>291</v>
      </c>
    </row>
    <row r="41" spans="1:4" x14ac:dyDescent="0.2">
      <c r="B41" s="3" t="s">
        <v>290</v>
      </c>
    </row>
    <row r="42" spans="1:4" x14ac:dyDescent="0.2">
      <c r="B42" s="3" t="s">
        <v>531</v>
      </c>
    </row>
    <row r="43" spans="1:4" x14ac:dyDescent="0.2">
      <c r="B43" s="3" t="s">
        <v>532</v>
      </c>
    </row>
    <row r="45" spans="1:4" ht="15.75" x14ac:dyDescent="0.25">
      <c r="A45" s="63" t="s">
        <v>279</v>
      </c>
      <c r="B45" s="66" t="s">
        <v>275</v>
      </c>
      <c r="C45" s="67"/>
      <c r="D45" s="67"/>
    </row>
    <row r="46" spans="1:4" ht="15" x14ac:dyDescent="0.2">
      <c r="A46" s="67"/>
      <c r="B46" s="3" t="s">
        <v>534</v>
      </c>
      <c r="C46" s="67"/>
      <c r="D46" s="67"/>
    </row>
    <row r="47" spans="1:4" ht="15" x14ac:dyDescent="0.2">
      <c r="A47" s="67"/>
      <c r="B47" s="3" t="s">
        <v>535</v>
      </c>
      <c r="C47" s="67"/>
      <c r="D47" s="67"/>
    </row>
    <row r="48" spans="1:4" ht="15" x14ac:dyDescent="0.2">
      <c r="A48" s="67"/>
      <c r="B48" s="3" t="s">
        <v>305</v>
      </c>
      <c r="C48" s="67"/>
      <c r="D48" s="67"/>
    </row>
    <row r="49" spans="1:4" ht="15" x14ac:dyDescent="0.2">
      <c r="A49" s="67"/>
      <c r="B49" s="3" t="s">
        <v>306</v>
      </c>
      <c r="C49" s="67"/>
      <c r="D49" s="67"/>
    </row>
    <row r="50" spans="1:4" ht="15" x14ac:dyDescent="0.2">
      <c r="A50" s="67"/>
      <c r="B50" s="3" t="s">
        <v>325</v>
      </c>
      <c r="C50" s="67"/>
      <c r="D50" s="67"/>
    </row>
    <row r="51" spans="1:4" ht="15" x14ac:dyDescent="0.2">
      <c r="A51" s="67"/>
      <c r="B51" s="3" t="s">
        <v>326</v>
      </c>
      <c r="C51" s="67"/>
      <c r="D51" s="67"/>
    </row>
    <row r="52" spans="1:4" ht="15" x14ac:dyDescent="0.2">
      <c r="A52" s="67"/>
      <c r="C52" s="67"/>
      <c r="D52" s="67"/>
    </row>
    <row r="53" spans="1:4" ht="15.75" x14ac:dyDescent="0.25">
      <c r="A53" s="63" t="s">
        <v>280</v>
      </c>
      <c r="B53" s="66" t="s">
        <v>516</v>
      </c>
      <c r="C53" s="67"/>
      <c r="D53" s="67"/>
    </row>
    <row r="54" spans="1:4" x14ac:dyDescent="0.2">
      <c r="B54" s="68" t="s">
        <v>517</v>
      </c>
    </row>
    <row r="55" spans="1:4" x14ac:dyDescent="0.2">
      <c r="A55" s="37"/>
      <c r="B55" s="69" t="s">
        <v>83</v>
      </c>
      <c r="C55" s="70">
        <v>3</v>
      </c>
      <c r="D55" s="3" t="s">
        <v>225</v>
      </c>
    </row>
    <row r="56" spans="1:4" x14ac:dyDescent="0.2">
      <c r="A56" s="37"/>
      <c r="B56" s="69" t="s">
        <v>84</v>
      </c>
      <c r="C56" s="70">
        <v>36</v>
      </c>
      <c r="D56" s="3" t="s">
        <v>226</v>
      </c>
    </row>
    <row r="57" spans="1:4" x14ac:dyDescent="0.2">
      <c r="A57" s="37"/>
      <c r="B57" s="69" t="s">
        <v>85</v>
      </c>
      <c r="C57" s="70">
        <v>8</v>
      </c>
      <c r="D57" s="3" t="s">
        <v>227</v>
      </c>
    </row>
    <row r="58" spans="1:4" x14ac:dyDescent="0.2">
      <c r="A58" s="37"/>
      <c r="B58" s="69" t="s">
        <v>228</v>
      </c>
      <c r="C58" s="71">
        <f>C57*180/C56</f>
        <v>40</v>
      </c>
      <c r="D58" s="3" t="s">
        <v>935</v>
      </c>
    </row>
    <row r="59" spans="1:4" x14ac:dyDescent="0.2">
      <c r="A59" s="37"/>
      <c r="B59" s="69" t="s">
        <v>88</v>
      </c>
      <c r="C59" s="71">
        <f>gcdsk(C56,(C57/2))</f>
        <v>4</v>
      </c>
      <c r="D59" s="3" t="s">
        <v>229</v>
      </c>
    </row>
    <row r="60" spans="1:4" x14ac:dyDescent="0.2">
      <c r="A60" s="23" t="str">
        <f>IF(C60-INT(C60)&gt;0.00001,"N","Y")</f>
        <v>Y</v>
      </c>
      <c r="B60" s="69" t="s">
        <v>93</v>
      </c>
      <c r="C60" s="71">
        <f>C56/(C59*C55)</f>
        <v>3</v>
      </c>
      <c r="D60" s="3" t="s">
        <v>230</v>
      </c>
    </row>
    <row r="61" spans="1:4" x14ac:dyDescent="0.2">
      <c r="A61" s="72"/>
      <c r="B61" s="69" t="s">
        <v>94</v>
      </c>
      <c r="C61" s="71">
        <f>C56/C55</f>
        <v>12</v>
      </c>
      <c r="D61" s="3" t="s">
        <v>231</v>
      </c>
    </row>
    <row r="62" spans="1:4" x14ac:dyDescent="0.2">
      <c r="A62" s="72"/>
      <c r="B62" s="69" t="s">
        <v>95</v>
      </c>
      <c r="C62" s="71">
        <f>gcdsk(C61,C57)</f>
        <v>4</v>
      </c>
      <c r="D62" s="3" t="s">
        <v>936</v>
      </c>
    </row>
    <row r="63" spans="1:4" x14ac:dyDescent="0.2">
      <c r="A63" s="37"/>
      <c r="B63" s="69" t="s">
        <v>96</v>
      </c>
      <c r="C63" s="71">
        <f>C56/(C57*C55)</f>
        <v>1.5</v>
      </c>
      <c r="D63" s="3" t="s">
        <v>0</v>
      </c>
    </row>
    <row r="64" spans="1:4" x14ac:dyDescent="0.2">
      <c r="A64" s="37"/>
      <c r="B64" s="69" t="s">
        <v>97</v>
      </c>
      <c r="C64" s="71" t="str">
        <f>INT(C63)&amp;"+"&amp;C68&amp;"/"&amp;C69</f>
        <v>1+1/2</v>
      </c>
      <c r="D64" s="3" t="s">
        <v>232</v>
      </c>
    </row>
    <row r="65" spans="1:11" x14ac:dyDescent="0.2">
      <c r="A65" s="37"/>
      <c r="B65" s="69" t="s">
        <v>98</v>
      </c>
      <c r="C65" s="71" t="str">
        <f>C66&amp;"/"&amp;C69</f>
        <v>3/2</v>
      </c>
      <c r="D65" s="3" t="s">
        <v>1</v>
      </c>
    </row>
    <row r="66" spans="1:11" x14ac:dyDescent="0.2">
      <c r="A66" s="37"/>
      <c r="B66" s="69" t="s">
        <v>99</v>
      </c>
      <c r="C66" s="71">
        <f>C61/C62</f>
        <v>3</v>
      </c>
      <c r="D66" s="3" t="s">
        <v>2</v>
      </c>
    </row>
    <row r="67" spans="1:11" x14ac:dyDescent="0.2">
      <c r="A67" s="37"/>
      <c r="B67" s="69" t="s">
        <v>100</v>
      </c>
      <c r="C67" s="71">
        <f>INT(C63)</f>
        <v>1</v>
      </c>
      <c r="D67" s="3" t="s">
        <v>233</v>
      </c>
    </row>
    <row r="68" spans="1:11" x14ac:dyDescent="0.2">
      <c r="A68" s="37"/>
      <c r="B68" s="69" t="s">
        <v>101</v>
      </c>
      <c r="C68" s="71">
        <f>C66-C67*C69</f>
        <v>1</v>
      </c>
      <c r="D68" s="73" t="s">
        <v>234</v>
      </c>
    </row>
    <row r="69" spans="1:11" x14ac:dyDescent="0.2">
      <c r="A69" s="37"/>
      <c r="B69" s="69" t="s">
        <v>102</v>
      </c>
      <c r="C69" s="71">
        <f>C57/C62</f>
        <v>2</v>
      </c>
      <c r="D69" s="3" t="s">
        <v>5</v>
      </c>
    </row>
    <row r="70" spans="1:11" x14ac:dyDescent="0.2">
      <c r="A70" s="37"/>
      <c r="B70" s="69" t="s">
        <v>103</v>
      </c>
      <c r="C70" s="71">
        <f>C69-C68</f>
        <v>1</v>
      </c>
      <c r="D70" s="3" t="s">
        <v>6</v>
      </c>
    </row>
    <row r="71" spans="1:11" x14ac:dyDescent="0.2">
      <c r="A71" s="37"/>
      <c r="B71" s="69" t="s">
        <v>104</v>
      </c>
      <c r="C71" s="71">
        <f>C68</f>
        <v>1</v>
      </c>
      <c r="D71" s="3" t="s">
        <v>7</v>
      </c>
    </row>
    <row r="72" spans="1:11" x14ac:dyDescent="0.2">
      <c r="A72" s="37"/>
      <c r="B72" s="69" t="s">
        <v>105</v>
      </c>
      <c r="C72" s="71">
        <f>C56/C66</f>
        <v>12</v>
      </c>
      <c r="D72" s="3" t="s">
        <v>235</v>
      </c>
    </row>
    <row r="74" spans="1:11" x14ac:dyDescent="0.2">
      <c r="B74" s="3" t="s">
        <v>238</v>
      </c>
    </row>
    <row r="75" spans="1:11" x14ac:dyDescent="0.2">
      <c r="B75" s="3" t="s">
        <v>239</v>
      </c>
    </row>
    <row r="76" spans="1:11" x14ac:dyDescent="0.2">
      <c r="B76" s="3" t="s">
        <v>240</v>
      </c>
    </row>
    <row r="77" spans="1:11" x14ac:dyDescent="0.2">
      <c r="B77" s="3" t="s">
        <v>241</v>
      </c>
    </row>
    <row r="78" spans="1:11" x14ac:dyDescent="0.2">
      <c r="B78" s="3" t="s">
        <v>242</v>
      </c>
    </row>
    <row r="79" spans="1:11" x14ac:dyDescent="0.2">
      <c r="B79" s="3" t="s">
        <v>243</v>
      </c>
    </row>
    <row r="80" spans="1:11" x14ac:dyDescent="0.2">
      <c r="K80" s="74"/>
    </row>
    <row r="81" spans="1:46" x14ac:dyDescent="0.2">
      <c r="C81" s="39" t="s">
        <v>245</v>
      </c>
      <c r="D81" s="39">
        <v>0</v>
      </c>
      <c r="E81" s="39">
        <v>1</v>
      </c>
      <c r="F81" s="39">
        <v>2</v>
      </c>
      <c r="G81" s="39">
        <v>3</v>
      </c>
      <c r="H81" s="39">
        <v>4</v>
      </c>
      <c r="I81" s="39">
        <v>5</v>
      </c>
      <c r="J81" s="39">
        <v>6</v>
      </c>
      <c r="K81" s="39">
        <v>7</v>
      </c>
      <c r="L81" s="39">
        <v>8</v>
      </c>
      <c r="M81" s="39">
        <v>9</v>
      </c>
      <c r="N81" s="39">
        <v>10</v>
      </c>
      <c r="O81" s="39">
        <v>11</v>
      </c>
      <c r="P81" s="39">
        <v>12</v>
      </c>
      <c r="Q81" s="39">
        <v>13</v>
      </c>
      <c r="R81" s="39">
        <v>14</v>
      </c>
      <c r="S81" s="39">
        <v>15</v>
      </c>
      <c r="T81" s="39">
        <v>16</v>
      </c>
      <c r="U81" s="39">
        <v>17</v>
      </c>
      <c r="V81" s="39">
        <v>18</v>
      </c>
      <c r="W81" s="39">
        <v>19</v>
      </c>
      <c r="X81" s="39">
        <v>20</v>
      </c>
      <c r="Y81" s="39">
        <v>21</v>
      </c>
      <c r="Z81" s="39">
        <v>22</v>
      </c>
      <c r="AA81" s="39">
        <v>23</v>
      </c>
      <c r="AB81" s="39">
        <v>24</v>
      </c>
      <c r="AC81" s="39">
        <v>25</v>
      </c>
      <c r="AD81" s="39">
        <v>26</v>
      </c>
      <c r="AE81" s="39">
        <v>27</v>
      </c>
      <c r="AF81" s="39">
        <v>28</v>
      </c>
      <c r="AG81" s="39">
        <v>29</v>
      </c>
      <c r="AH81" s="39">
        <v>30</v>
      </c>
      <c r="AI81" s="39">
        <v>31</v>
      </c>
      <c r="AJ81" s="39">
        <v>32</v>
      </c>
      <c r="AK81" s="39">
        <v>33</v>
      </c>
      <c r="AL81" s="39">
        <v>34</v>
      </c>
      <c r="AM81" s="39">
        <v>35</v>
      </c>
      <c r="AN81" s="39">
        <v>36</v>
      </c>
      <c r="AO81" s="39">
        <v>37</v>
      </c>
      <c r="AP81" s="39">
        <v>38</v>
      </c>
      <c r="AQ81" s="39">
        <v>39</v>
      </c>
      <c r="AR81" s="39">
        <v>40</v>
      </c>
      <c r="AS81" s="39">
        <v>41</v>
      </c>
      <c r="AT81" s="39">
        <v>42</v>
      </c>
    </row>
    <row r="82" spans="1:46" x14ac:dyDescent="0.2">
      <c r="C82" s="39" t="s">
        <v>246</v>
      </c>
      <c r="D82" s="39">
        <v>0</v>
      </c>
      <c r="E82" s="39">
        <f t="shared" ref="E82:AT82" si="0">E81*$C$63</f>
        <v>1.5</v>
      </c>
      <c r="F82" s="39">
        <f t="shared" si="0"/>
        <v>3</v>
      </c>
      <c r="G82" s="39">
        <f t="shared" si="0"/>
        <v>4.5</v>
      </c>
      <c r="H82" s="39">
        <f t="shared" si="0"/>
        <v>6</v>
      </c>
      <c r="I82" s="39">
        <f t="shared" si="0"/>
        <v>7.5</v>
      </c>
      <c r="J82" s="39">
        <f t="shared" si="0"/>
        <v>9</v>
      </c>
      <c r="K82" s="39">
        <f t="shared" si="0"/>
        <v>10.5</v>
      </c>
      <c r="L82" s="39">
        <f t="shared" si="0"/>
        <v>12</v>
      </c>
      <c r="M82" s="39">
        <f t="shared" si="0"/>
        <v>13.5</v>
      </c>
      <c r="N82" s="39">
        <f t="shared" si="0"/>
        <v>15</v>
      </c>
      <c r="O82" s="39">
        <f t="shared" si="0"/>
        <v>16.5</v>
      </c>
      <c r="P82" s="39">
        <f t="shared" si="0"/>
        <v>18</v>
      </c>
      <c r="Q82" s="39">
        <f t="shared" si="0"/>
        <v>19.5</v>
      </c>
      <c r="R82" s="39">
        <f t="shared" si="0"/>
        <v>21</v>
      </c>
      <c r="S82" s="39">
        <f t="shared" si="0"/>
        <v>22.5</v>
      </c>
      <c r="T82" s="39">
        <f t="shared" si="0"/>
        <v>24</v>
      </c>
      <c r="U82" s="39">
        <f t="shared" si="0"/>
        <v>25.5</v>
      </c>
      <c r="V82" s="39">
        <f t="shared" si="0"/>
        <v>27</v>
      </c>
      <c r="W82" s="39">
        <f t="shared" si="0"/>
        <v>28.5</v>
      </c>
      <c r="X82" s="39">
        <f t="shared" si="0"/>
        <v>30</v>
      </c>
      <c r="Y82" s="39">
        <f t="shared" si="0"/>
        <v>31.5</v>
      </c>
      <c r="Z82" s="39">
        <f t="shared" si="0"/>
        <v>33</v>
      </c>
      <c r="AA82" s="39">
        <f t="shared" si="0"/>
        <v>34.5</v>
      </c>
      <c r="AB82" s="39">
        <f t="shared" si="0"/>
        <v>36</v>
      </c>
      <c r="AC82" s="39">
        <f t="shared" si="0"/>
        <v>37.5</v>
      </c>
      <c r="AD82" s="39">
        <f t="shared" si="0"/>
        <v>39</v>
      </c>
      <c r="AE82" s="39">
        <f t="shared" si="0"/>
        <v>40.5</v>
      </c>
      <c r="AF82" s="39">
        <f t="shared" si="0"/>
        <v>42</v>
      </c>
      <c r="AG82" s="39">
        <f t="shared" si="0"/>
        <v>43.5</v>
      </c>
      <c r="AH82" s="39">
        <f t="shared" si="0"/>
        <v>45</v>
      </c>
      <c r="AI82" s="39">
        <f t="shared" si="0"/>
        <v>46.5</v>
      </c>
      <c r="AJ82" s="39">
        <f t="shared" si="0"/>
        <v>48</v>
      </c>
      <c r="AK82" s="39">
        <f t="shared" si="0"/>
        <v>49.5</v>
      </c>
      <c r="AL82" s="39">
        <f t="shared" si="0"/>
        <v>51</v>
      </c>
      <c r="AM82" s="39">
        <f t="shared" si="0"/>
        <v>52.5</v>
      </c>
      <c r="AN82" s="39">
        <f t="shared" si="0"/>
        <v>54</v>
      </c>
      <c r="AO82" s="39">
        <f t="shared" si="0"/>
        <v>55.5</v>
      </c>
      <c r="AP82" s="39">
        <f t="shared" si="0"/>
        <v>57</v>
      </c>
      <c r="AQ82" s="39">
        <f t="shared" si="0"/>
        <v>58.5</v>
      </c>
      <c r="AR82" s="39">
        <f t="shared" si="0"/>
        <v>60</v>
      </c>
      <c r="AS82" s="39">
        <f t="shared" si="0"/>
        <v>61.5</v>
      </c>
      <c r="AT82" s="39">
        <f t="shared" si="0"/>
        <v>63</v>
      </c>
    </row>
    <row r="83" spans="1:46" x14ac:dyDescent="0.2">
      <c r="C83" s="39" t="s">
        <v>247</v>
      </c>
      <c r="D83" s="39">
        <v>0</v>
      </c>
      <c r="E83" s="39">
        <f t="shared" ref="E83:AT83" si="1">IF(E82-INT(E82)&gt;0.00001,INT(E82)+1,E82)</f>
        <v>2</v>
      </c>
      <c r="F83" s="39">
        <f t="shared" si="1"/>
        <v>3</v>
      </c>
      <c r="G83" s="39">
        <f t="shared" si="1"/>
        <v>5</v>
      </c>
      <c r="H83" s="39">
        <f t="shared" si="1"/>
        <v>6</v>
      </c>
      <c r="I83" s="39">
        <f t="shared" si="1"/>
        <v>8</v>
      </c>
      <c r="J83" s="39">
        <f t="shared" si="1"/>
        <v>9</v>
      </c>
      <c r="K83" s="39">
        <f t="shared" si="1"/>
        <v>11</v>
      </c>
      <c r="L83" s="39">
        <f t="shared" si="1"/>
        <v>12</v>
      </c>
      <c r="M83" s="39">
        <f t="shared" si="1"/>
        <v>14</v>
      </c>
      <c r="N83" s="39">
        <f t="shared" si="1"/>
        <v>15</v>
      </c>
      <c r="O83" s="39">
        <f t="shared" si="1"/>
        <v>17</v>
      </c>
      <c r="P83" s="39">
        <f t="shared" si="1"/>
        <v>18</v>
      </c>
      <c r="Q83" s="39">
        <f t="shared" si="1"/>
        <v>20</v>
      </c>
      <c r="R83" s="39">
        <f t="shared" si="1"/>
        <v>21</v>
      </c>
      <c r="S83" s="39">
        <f t="shared" si="1"/>
        <v>23</v>
      </c>
      <c r="T83" s="39">
        <f t="shared" si="1"/>
        <v>24</v>
      </c>
      <c r="U83" s="39">
        <f t="shared" si="1"/>
        <v>26</v>
      </c>
      <c r="V83" s="39">
        <f t="shared" si="1"/>
        <v>27</v>
      </c>
      <c r="W83" s="39">
        <f t="shared" si="1"/>
        <v>29</v>
      </c>
      <c r="X83" s="39">
        <f t="shared" si="1"/>
        <v>30</v>
      </c>
      <c r="Y83" s="39">
        <f t="shared" si="1"/>
        <v>32</v>
      </c>
      <c r="Z83" s="39">
        <f t="shared" si="1"/>
        <v>33</v>
      </c>
      <c r="AA83" s="39">
        <f t="shared" si="1"/>
        <v>35</v>
      </c>
      <c r="AB83" s="39">
        <f t="shared" si="1"/>
        <v>36</v>
      </c>
      <c r="AC83" s="39">
        <f t="shared" si="1"/>
        <v>38</v>
      </c>
      <c r="AD83" s="39">
        <f t="shared" si="1"/>
        <v>39</v>
      </c>
      <c r="AE83" s="39">
        <f t="shared" si="1"/>
        <v>41</v>
      </c>
      <c r="AF83" s="39">
        <f t="shared" si="1"/>
        <v>42</v>
      </c>
      <c r="AG83" s="39">
        <f t="shared" si="1"/>
        <v>44</v>
      </c>
      <c r="AH83" s="39">
        <f t="shared" si="1"/>
        <v>45</v>
      </c>
      <c r="AI83" s="39">
        <f t="shared" si="1"/>
        <v>47</v>
      </c>
      <c r="AJ83" s="39">
        <f t="shared" si="1"/>
        <v>48</v>
      </c>
      <c r="AK83" s="39">
        <f t="shared" si="1"/>
        <v>50</v>
      </c>
      <c r="AL83" s="39">
        <f t="shared" si="1"/>
        <v>51</v>
      </c>
      <c r="AM83" s="39">
        <f t="shared" si="1"/>
        <v>53</v>
      </c>
      <c r="AN83" s="39">
        <f t="shared" si="1"/>
        <v>54</v>
      </c>
      <c r="AO83" s="39">
        <f t="shared" si="1"/>
        <v>56</v>
      </c>
      <c r="AP83" s="39">
        <f t="shared" si="1"/>
        <v>57</v>
      </c>
      <c r="AQ83" s="39">
        <f t="shared" si="1"/>
        <v>59</v>
      </c>
      <c r="AR83" s="39">
        <f t="shared" si="1"/>
        <v>60</v>
      </c>
      <c r="AS83" s="39">
        <f t="shared" si="1"/>
        <v>62</v>
      </c>
      <c r="AT83" s="39">
        <f t="shared" si="1"/>
        <v>63</v>
      </c>
    </row>
    <row r="84" spans="1:46" x14ac:dyDescent="0.2">
      <c r="C84" s="39" t="s">
        <v>248</v>
      </c>
      <c r="D84" s="39">
        <f t="shared" ref="D84:AS84" si="2">E83-D83</f>
        <v>2</v>
      </c>
      <c r="E84" s="39">
        <f t="shared" si="2"/>
        <v>1</v>
      </c>
      <c r="F84" s="39">
        <f t="shared" si="2"/>
        <v>2</v>
      </c>
      <c r="G84" s="39">
        <f t="shared" si="2"/>
        <v>1</v>
      </c>
      <c r="H84" s="39">
        <f t="shared" si="2"/>
        <v>2</v>
      </c>
      <c r="I84" s="39">
        <f t="shared" si="2"/>
        <v>1</v>
      </c>
      <c r="J84" s="39">
        <f t="shared" si="2"/>
        <v>2</v>
      </c>
      <c r="K84" s="39">
        <f t="shared" si="2"/>
        <v>1</v>
      </c>
      <c r="L84" s="39">
        <f t="shared" si="2"/>
        <v>2</v>
      </c>
      <c r="M84" s="39">
        <f t="shared" si="2"/>
        <v>1</v>
      </c>
      <c r="N84" s="39">
        <f t="shared" si="2"/>
        <v>2</v>
      </c>
      <c r="O84" s="39">
        <f t="shared" si="2"/>
        <v>1</v>
      </c>
      <c r="P84" s="39">
        <f t="shared" si="2"/>
        <v>2</v>
      </c>
      <c r="Q84" s="39">
        <f t="shared" si="2"/>
        <v>1</v>
      </c>
      <c r="R84" s="39">
        <f t="shared" si="2"/>
        <v>2</v>
      </c>
      <c r="S84" s="39">
        <f t="shared" si="2"/>
        <v>1</v>
      </c>
      <c r="T84" s="39">
        <f t="shared" si="2"/>
        <v>2</v>
      </c>
      <c r="U84" s="39">
        <f t="shared" si="2"/>
        <v>1</v>
      </c>
      <c r="V84" s="39">
        <f t="shared" si="2"/>
        <v>2</v>
      </c>
      <c r="W84" s="39">
        <f t="shared" si="2"/>
        <v>1</v>
      </c>
      <c r="X84" s="39">
        <f t="shared" si="2"/>
        <v>2</v>
      </c>
      <c r="Y84" s="39">
        <f t="shared" si="2"/>
        <v>1</v>
      </c>
      <c r="Z84" s="39">
        <f t="shared" si="2"/>
        <v>2</v>
      </c>
      <c r="AA84" s="39">
        <f t="shared" si="2"/>
        <v>1</v>
      </c>
      <c r="AB84" s="39">
        <f t="shared" si="2"/>
        <v>2</v>
      </c>
      <c r="AC84" s="39">
        <f t="shared" si="2"/>
        <v>1</v>
      </c>
      <c r="AD84" s="39">
        <f t="shared" si="2"/>
        <v>2</v>
      </c>
      <c r="AE84" s="39">
        <f t="shared" si="2"/>
        <v>1</v>
      </c>
      <c r="AF84" s="39">
        <f t="shared" si="2"/>
        <v>2</v>
      </c>
      <c r="AG84" s="39">
        <f t="shared" si="2"/>
        <v>1</v>
      </c>
      <c r="AH84" s="39">
        <f t="shared" si="2"/>
        <v>2</v>
      </c>
      <c r="AI84" s="39">
        <f t="shared" si="2"/>
        <v>1</v>
      </c>
      <c r="AJ84" s="39">
        <f t="shared" si="2"/>
        <v>2</v>
      </c>
      <c r="AK84" s="39">
        <f t="shared" si="2"/>
        <v>1</v>
      </c>
      <c r="AL84" s="39">
        <f t="shared" si="2"/>
        <v>2</v>
      </c>
      <c r="AM84" s="39">
        <f t="shared" si="2"/>
        <v>1</v>
      </c>
      <c r="AN84" s="39">
        <f t="shared" si="2"/>
        <v>2</v>
      </c>
      <c r="AO84" s="39">
        <f t="shared" si="2"/>
        <v>1</v>
      </c>
      <c r="AP84" s="39">
        <f t="shared" si="2"/>
        <v>2</v>
      </c>
      <c r="AQ84" s="39">
        <f t="shared" si="2"/>
        <v>1</v>
      </c>
      <c r="AR84" s="39">
        <f t="shared" si="2"/>
        <v>2</v>
      </c>
      <c r="AS84" s="39">
        <f t="shared" si="2"/>
        <v>1</v>
      </c>
    </row>
    <row r="85" spans="1:46" x14ac:dyDescent="0.2">
      <c r="C85" s="39" t="s">
        <v>249</v>
      </c>
      <c r="D85" s="75" t="s">
        <v>41</v>
      </c>
      <c r="E85" s="75" t="s">
        <v>120</v>
      </c>
      <c r="F85" s="75" t="s">
        <v>46</v>
      </c>
      <c r="G85" s="75" t="s">
        <v>116</v>
      </c>
      <c r="H85" s="75" t="s">
        <v>65</v>
      </c>
      <c r="I85" s="75" t="s">
        <v>117</v>
      </c>
      <c r="J85" s="75" t="s">
        <v>41</v>
      </c>
      <c r="K85" s="75" t="s">
        <v>120</v>
      </c>
      <c r="L85" s="75" t="s">
        <v>46</v>
      </c>
      <c r="M85" s="75" t="s">
        <v>116</v>
      </c>
      <c r="N85" s="75" t="s">
        <v>65</v>
      </c>
      <c r="O85" s="75" t="s">
        <v>117</v>
      </c>
      <c r="P85" s="75" t="s">
        <v>41</v>
      </c>
      <c r="Q85" s="75" t="s">
        <v>120</v>
      </c>
      <c r="R85" s="75" t="s">
        <v>46</v>
      </c>
      <c r="S85" s="75" t="s">
        <v>116</v>
      </c>
      <c r="T85" s="75" t="s">
        <v>65</v>
      </c>
      <c r="U85" s="75" t="s">
        <v>117</v>
      </c>
      <c r="V85" s="75" t="s">
        <v>41</v>
      </c>
      <c r="W85" s="75" t="s">
        <v>120</v>
      </c>
      <c r="X85" s="75" t="s">
        <v>46</v>
      </c>
      <c r="Y85" s="75" t="s">
        <v>116</v>
      </c>
      <c r="Z85" s="75" t="s">
        <v>65</v>
      </c>
      <c r="AA85" s="75" t="s">
        <v>117</v>
      </c>
      <c r="AB85" s="75" t="s">
        <v>41</v>
      </c>
      <c r="AC85" s="75" t="s">
        <v>120</v>
      </c>
      <c r="AD85" s="75" t="s">
        <v>46</v>
      </c>
      <c r="AE85" s="75" t="s">
        <v>116</v>
      </c>
      <c r="AF85" s="75" t="s">
        <v>65</v>
      </c>
      <c r="AG85" s="75" t="s">
        <v>117</v>
      </c>
      <c r="AH85" s="75" t="s">
        <v>41</v>
      </c>
      <c r="AI85" s="75" t="s">
        <v>120</v>
      </c>
      <c r="AJ85" s="75" t="s">
        <v>46</v>
      </c>
      <c r="AK85" s="75" t="s">
        <v>116</v>
      </c>
      <c r="AL85" s="75" t="s">
        <v>65</v>
      </c>
      <c r="AM85" s="75" t="s">
        <v>117</v>
      </c>
      <c r="AN85" s="75" t="s">
        <v>41</v>
      </c>
      <c r="AO85" s="75" t="s">
        <v>120</v>
      </c>
      <c r="AP85" s="75" t="s">
        <v>46</v>
      </c>
      <c r="AQ85" s="75" t="s">
        <v>116</v>
      </c>
      <c r="AR85" s="75" t="s">
        <v>65</v>
      </c>
      <c r="AS85" s="75" t="s">
        <v>117</v>
      </c>
      <c r="AT85" s="47"/>
    </row>
    <row r="86" spans="1:46" x14ac:dyDescent="0.2">
      <c r="C86" s="39" t="s">
        <v>250</v>
      </c>
      <c r="D86" s="39">
        <v>1</v>
      </c>
      <c r="E86" s="39">
        <v>2</v>
      </c>
      <c r="F86" s="39">
        <v>3</v>
      </c>
      <c r="G86" s="39">
        <v>4</v>
      </c>
      <c r="H86" s="39">
        <v>5</v>
      </c>
      <c r="I86" s="39">
        <v>6</v>
      </c>
      <c r="J86" s="39">
        <v>7</v>
      </c>
      <c r="K86" s="39">
        <v>8</v>
      </c>
      <c r="L86" s="39">
        <v>9</v>
      </c>
      <c r="M86" s="39">
        <v>10</v>
      </c>
      <c r="N86" s="39">
        <v>11</v>
      </c>
      <c r="O86" s="39">
        <v>12</v>
      </c>
      <c r="P86" s="39">
        <v>13</v>
      </c>
      <c r="Q86" s="39">
        <v>14</v>
      </c>
      <c r="R86" s="39">
        <v>15</v>
      </c>
      <c r="S86" s="39">
        <v>16</v>
      </c>
      <c r="T86" s="39">
        <v>17</v>
      </c>
      <c r="U86" s="39">
        <v>18</v>
      </c>
      <c r="V86" s="39">
        <v>19</v>
      </c>
      <c r="W86" s="39">
        <v>20</v>
      </c>
      <c r="X86" s="39">
        <v>21</v>
      </c>
      <c r="Y86" s="39">
        <v>22</v>
      </c>
      <c r="Z86" s="39">
        <v>23</v>
      </c>
      <c r="AA86" s="39">
        <v>24</v>
      </c>
      <c r="AB86" s="39">
        <v>25</v>
      </c>
      <c r="AC86" s="39">
        <v>26</v>
      </c>
      <c r="AD86" s="39">
        <v>27</v>
      </c>
      <c r="AE86" s="39">
        <v>28</v>
      </c>
      <c r="AF86" s="39">
        <v>29</v>
      </c>
      <c r="AG86" s="39">
        <v>30</v>
      </c>
      <c r="AH86" s="39">
        <v>31</v>
      </c>
      <c r="AI86" s="39">
        <v>32</v>
      </c>
      <c r="AJ86" s="39">
        <v>33</v>
      </c>
      <c r="AK86" s="39">
        <v>34</v>
      </c>
      <c r="AL86" s="39">
        <v>35</v>
      </c>
      <c r="AM86" s="39">
        <v>36</v>
      </c>
      <c r="AN86" s="39">
        <v>37</v>
      </c>
      <c r="AO86" s="39">
        <v>38</v>
      </c>
      <c r="AP86" s="39">
        <v>39</v>
      </c>
      <c r="AQ86" s="39">
        <v>40</v>
      </c>
      <c r="AR86" s="39">
        <v>41</v>
      </c>
      <c r="AS86" s="39">
        <v>42</v>
      </c>
    </row>
    <row r="88" spans="1:46" x14ac:dyDescent="0.2">
      <c r="C88" s="3" t="s">
        <v>251</v>
      </c>
    </row>
    <row r="89" spans="1:46" x14ac:dyDescent="0.2">
      <c r="C89" s="3" t="s">
        <v>8</v>
      </c>
    </row>
    <row r="90" spans="1:46" x14ac:dyDescent="0.2">
      <c r="C90" s="3" t="s">
        <v>252</v>
      </c>
    </row>
    <row r="92" spans="1:46" ht="15.75" x14ac:dyDescent="0.25">
      <c r="A92" s="63" t="s">
        <v>281</v>
      </c>
      <c r="B92" s="64" t="s">
        <v>520</v>
      </c>
      <c r="E92" s="3" t="s">
        <v>244</v>
      </c>
      <c r="H92" s="3" t="s">
        <v>169</v>
      </c>
      <c r="J92" s="3" t="s">
        <v>176</v>
      </c>
      <c r="P92" s="3" t="s">
        <v>175</v>
      </c>
      <c r="R92" s="3" t="s">
        <v>173</v>
      </c>
      <c r="V92" s="3" t="s">
        <v>178</v>
      </c>
      <c r="AF92" s="3" t="s">
        <v>182</v>
      </c>
    </row>
    <row r="93" spans="1:46" x14ac:dyDescent="0.2">
      <c r="C93" s="47" t="s">
        <v>83</v>
      </c>
      <c r="E93" s="3">
        <v>3</v>
      </c>
      <c r="H93" s="3">
        <v>3</v>
      </c>
      <c r="J93" s="3">
        <v>3</v>
      </c>
      <c r="K93" s="3">
        <v>3</v>
      </c>
      <c r="L93" s="3">
        <v>3</v>
      </c>
      <c r="M93" s="3">
        <v>3</v>
      </c>
      <c r="N93" s="3">
        <v>3</v>
      </c>
      <c r="P93" s="3">
        <v>3</v>
      </c>
      <c r="R93" s="3">
        <v>3</v>
      </c>
      <c r="S93" s="3">
        <v>3</v>
      </c>
      <c r="T93" s="3">
        <v>3</v>
      </c>
      <c r="V93" s="3">
        <v>3</v>
      </c>
      <c r="W93" s="3">
        <v>3</v>
      </c>
      <c r="X93" s="3">
        <v>3</v>
      </c>
      <c r="Y93" s="3">
        <v>3</v>
      </c>
      <c r="Z93" s="3">
        <v>3</v>
      </c>
      <c r="AA93" s="3">
        <v>3</v>
      </c>
      <c r="AB93" s="3">
        <v>3</v>
      </c>
      <c r="AC93" s="3">
        <v>3</v>
      </c>
      <c r="AD93" s="3">
        <v>3</v>
      </c>
      <c r="AF93" s="3">
        <v>3</v>
      </c>
      <c r="AG93" s="3">
        <v>3</v>
      </c>
      <c r="AH93" s="3">
        <v>5</v>
      </c>
      <c r="AI93" s="3">
        <v>2</v>
      </c>
    </row>
    <row r="94" spans="1:46" x14ac:dyDescent="0.2">
      <c r="C94" s="47" t="s">
        <v>84</v>
      </c>
      <c r="E94" s="3">
        <v>108</v>
      </c>
      <c r="H94" s="3">
        <v>36</v>
      </c>
      <c r="J94" s="3">
        <v>48</v>
      </c>
      <c r="K94" s="3">
        <v>33</v>
      </c>
      <c r="L94" s="3">
        <v>12</v>
      </c>
      <c r="M94" s="3">
        <v>12</v>
      </c>
      <c r="N94" s="3">
        <v>63</v>
      </c>
      <c r="P94" s="3">
        <v>36</v>
      </c>
      <c r="R94" s="3">
        <v>30</v>
      </c>
      <c r="S94" s="3">
        <v>24</v>
      </c>
      <c r="T94" s="3">
        <v>24</v>
      </c>
      <c r="V94" s="3">
        <v>30</v>
      </c>
      <c r="W94" s="3">
        <v>9</v>
      </c>
      <c r="X94" s="3">
        <v>18</v>
      </c>
      <c r="Y94" s="3">
        <v>72</v>
      </c>
      <c r="Z94" s="3">
        <v>144</v>
      </c>
      <c r="AA94" s="3">
        <v>108</v>
      </c>
      <c r="AB94" s="3">
        <v>180</v>
      </c>
      <c r="AC94" s="3">
        <v>120</v>
      </c>
      <c r="AD94" s="3">
        <v>216</v>
      </c>
      <c r="AF94" s="3">
        <v>48</v>
      </c>
      <c r="AG94" s="3">
        <v>60</v>
      </c>
      <c r="AH94" s="3">
        <v>80</v>
      </c>
      <c r="AI94" s="3">
        <v>18</v>
      </c>
    </row>
    <row r="95" spans="1:46" x14ac:dyDescent="0.2">
      <c r="C95" s="47" t="s">
        <v>85</v>
      </c>
      <c r="E95" s="3">
        <v>14</v>
      </c>
      <c r="H95" s="3">
        <v>8</v>
      </c>
      <c r="J95" s="3">
        <v>44</v>
      </c>
      <c r="K95" s="3">
        <v>26</v>
      </c>
      <c r="L95" s="3">
        <v>10</v>
      </c>
      <c r="M95" s="3">
        <v>14</v>
      </c>
      <c r="N95" s="3">
        <v>14</v>
      </c>
      <c r="P95" s="3">
        <v>4</v>
      </c>
      <c r="R95" s="3">
        <v>8</v>
      </c>
      <c r="S95" s="3">
        <v>10</v>
      </c>
      <c r="T95" s="3">
        <v>4</v>
      </c>
      <c r="V95" s="3">
        <v>10</v>
      </c>
      <c r="W95" s="3">
        <v>8</v>
      </c>
      <c r="X95" s="3">
        <v>16</v>
      </c>
      <c r="Y95" s="3">
        <v>12</v>
      </c>
      <c r="Z95" s="3">
        <v>12</v>
      </c>
      <c r="AA95" s="3">
        <v>24</v>
      </c>
      <c r="AB95" s="3">
        <v>24</v>
      </c>
      <c r="AC95" s="3">
        <v>32</v>
      </c>
      <c r="AD95" s="3">
        <v>28</v>
      </c>
      <c r="AF95" s="3">
        <v>6</v>
      </c>
      <c r="AG95" s="3">
        <v>6</v>
      </c>
      <c r="AH95" s="3">
        <v>10</v>
      </c>
      <c r="AI95" s="3">
        <v>4</v>
      </c>
    </row>
    <row r="96" spans="1:46" x14ac:dyDescent="0.2">
      <c r="C96" s="47" t="s">
        <v>80</v>
      </c>
      <c r="E96" s="3">
        <f>E94/E93/E95</f>
        <v>2.5714285714285716</v>
      </c>
      <c r="H96" s="3">
        <f>H94/H93/H95</f>
        <v>1.5</v>
      </c>
      <c r="J96" s="3">
        <f>J94/J93/J95</f>
        <v>0.36363636363636365</v>
      </c>
      <c r="K96" s="3">
        <f>K94/K93/K95</f>
        <v>0.42307692307692307</v>
      </c>
      <c r="L96" s="3">
        <f>L94/L93/L95</f>
        <v>0.4</v>
      </c>
      <c r="M96" s="3">
        <f>M94/M93/M95</f>
        <v>0.2857142857142857</v>
      </c>
      <c r="N96" s="3">
        <f>N94/N93/N95</f>
        <v>1.5</v>
      </c>
      <c r="P96" s="3">
        <f>P94/P93/P95</f>
        <v>3</v>
      </c>
      <c r="R96" s="3">
        <f>R94/R93/R95</f>
        <v>1.25</v>
      </c>
      <c r="S96" s="3">
        <f>S94/S93/S95</f>
        <v>0.8</v>
      </c>
      <c r="T96" s="3">
        <f>T94/T93/T95</f>
        <v>2</v>
      </c>
      <c r="V96" s="3">
        <f t="shared" ref="V96:AD96" si="3">V94/V93/V95</f>
        <v>1</v>
      </c>
      <c r="W96" s="3">
        <f t="shared" si="3"/>
        <v>0.375</v>
      </c>
      <c r="X96" s="3">
        <f t="shared" si="3"/>
        <v>0.375</v>
      </c>
      <c r="Y96" s="3">
        <f t="shared" si="3"/>
        <v>2</v>
      </c>
      <c r="Z96" s="3">
        <f t="shared" si="3"/>
        <v>4</v>
      </c>
      <c r="AA96" s="3">
        <f t="shared" si="3"/>
        <v>1.5</v>
      </c>
      <c r="AB96" s="3">
        <f t="shared" si="3"/>
        <v>2.5</v>
      </c>
      <c r="AC96" s="3">
        <f t="shared" si="3"/>
        <v>1.25</v>
      </c>
      <c r="AD96" s="3">
        <f t="shared" si="3"/>
        <v>2.5714285714285716</v>
      </c>
      <c r="AF96" s="3">
        <f>AF94/AF93/AF95</f>
        <v>2.6666666666666665</v>
      </c>
      <c r="AG96" s="3">
        <f>AG94/AG93/AG95</f>
        <v>3.3333333333333335</v>
      </c>
      <c r="AH96" s="3">
        <f>AH94/AH93/AH95</f>
        <v>1.6</v>
      </c>
      <c r="AI96" s="3">
        <f>AI94/AI93/AI95</f>
        <v>2.25</v>
      </c>
    </row>
    <row r="97" spans="1:35" x14ac:dyDescent="0.2">
      <c r="C97" s="47" t="s">
        <v>156</v>
      </c>
      <c r="E97" s="3">
        <v>1</v>
      </c>
      <c r="H97" s="3">
        <v>1</v>
      </c>
      <c r="J97" s="3">
        <v>1</v>
      </c>
      <c r="K97" s="3">
        <v>1</v>
      </c>
      <c r="L97" s="3">
        <v>1</v>
      </c>
      <c r="M97" s="3">
        <v>1</v>
      </c>
      <c r="N97" s="3">
        <v>1</v>
      </c>
      <c r="P97" s="3">
        <v>1</v>
      </c>
      <c r="R97" s="3">
        <v>1</v>
      </c>
      <c r="S97" s="3">
        <v>1</v>
      </c>
      <c r="T97" s="3">
        <v>1</v>
      </c>
      <c r="V97" s="3">
        <v>1</v>
      </c>
      <c r="W97" s="3">
        <v>1</v>
      </c>
      <c r="X97" s="3">
        <v>1</v>
      </c>
      <c r="Y97" s="3">
        <v>1</v>
      </c>
      <c r="Z97" s="3">
        <v>1</v>
      </c>
      <c r="AA97" s="3">
        <v>1</v>
      </c>
      <c r="AB97" s="3">
        <v>1</v>
      </c>
      <c r="AC97" s="3">
        <v>1</v>
      </c>
      <c r="AD97" s="3">
        <v>1</v>
      </c>
      <c r="AF97" s="3" t="s">
        <v>301</v>
      </c>
      <c r="AG97" s="3" t="s">
        <v>301</v>
      </c>
      <c r="AH97" s="3">
        <v>2</v>
      </c>
      <c r="AI97" s="3">
        <v>2</v>
      </c>
    </row>
    <row r="98" spans="1:35" x14ac:dyDescent="0.2">
      <c r="C98" s="47"/>
    </row>
    <row r="99" spans="1:35" ht="15.75" x14ac:dyDescent="0.25">
      <c r="A99" s="63" t="s">
        <v>515</v>
      </c>
      <c r="B99" s="64" t="s">
        <v>523</v>
      </c>
      <c r="C99" s="47"/>
    </row>
    <row r="100" spans="1:35" ht="12.75" customHeight="1" x14ac:dyDescent="0.25">
      <c r="A100" s="63"/>
      <c r="B100" s="2" t="s">
        <v>529</v>
      </c>
      <c r="C100" s="47"/>
    </row>
    <row r="101" spans="1:35" ht="12.75" customHeight="1" x14ac:dyDescent="0.25">
      <c r="A101" s="63"/>
      <c r="B101" s="2" t="s">
        <v>524</v>
      </c>
      <c r="C101" s="47"/>
    </row>
    <row r="102" spans="1:35" x14ac:dyDescent="0.2">
      <c r="B102" s="2" t="s">
        <v>525</v>
      </c>
      <c r="C102" s="47"/>
    </row>
    <row r="103" spans="1:35" x14ac:dyDescent="0.2">
      <c r="B103" s="2" t="s">
        <v>526</v>
      </c>
      <c r="C103" s="47"/>
    </row>
    <row r="104" spans="1:35" x14ac:dyDescent="0.2">
      <c r="B104" s="2" t="s">
        <v>527</v>
      </c>
      <c r="C104" s="47"/>
    </row>
    <row r="105" spans="1:35" x14ac:dyDescent="0.2">
      <c r="B105" s="2" t="s">
        <v>528</v>
      </c>
    </row>
    <row r="106" spans="1:35" x14ac:dyDescent="0.2">
      <c r="B106" s="2" t="s">
        <v>530</v>
      </c>
    </row>
    <row r="107" spans="1:35" x14ac:dyDescent="0.2">
      <c r="B107" s="2"/>
    </row>
    <row r="108" spans="1:35" ht="15.75" x14ac:dyDescent="0.25">
      <c r="A108" s="63" t="s">
        <v>518</v>
      </c>
      <c r="B108" s="64" t="s">
        <v>662</v>
      </c>
    </row>
    <row r="109" spans="1:35" x14ac:dyDescent="0.2">
      <c r="A109" s="76" t="s">
        <v>905</v>
      </c>
      <c r="B109" s="1" t="s">
        <v>9</v>
      </c>
    </row>
    <row r="110" spans="1:35" x14ac:dyDescent="0.2">
      <c r="A110" s="4"/>
      <c r="B110" s="42" t="s">
        <v>83</v>
      </c>
      <c r="C110" s="77">
        <v>3</v>
      </c>
      <c r="D110" s="3" t="s">
        <v>541</v>
      </c>
      <c r="F110" s="3" t="s">
        <v>542</v>
      </c>
    </row>
    <row r="111" spans="1:35" x14ac:dyDescent="0.2">
      <c r="A111" s="4"/>
      <c r="B111" s="42" t="s">
        <v>84</v>
      </c>
      <c r="C111" s="77">
        <v>24</v>
      </c>
      <c r="D111" s="3" t="s">
        <v>543</v>
      </c>
      <c r="F111" s="3" t="s">
        <v>544</v>
      </c>
    </row>
    <row r="112" spans="1:35" x14ac:dyDescent="0.2">
      <c r="A112" s="4"/>
      <c r="B112" s="42" t="s">
        <v>85</v>
      </c>
      <c r="C112" s="77">
        <v>4</v>
      </c>
      <c r="D112" s="3" t="s">
        <v>545</v>
      </c>
      <c r="F112" s="3" t="s">
        <v>546</v>
      </c>
    </row>
    <row r="113" spans="1:6" x14ac:dyDescent="0.2">
      <c r="A113" s="4"/>
      <c r="B113" s="42" t="s">
        <v>86</v>
      </c>
      <c r="C113" s="77">
        <v>5</v>
      </c>
      <c r="D113" s="3" t="s">
        <v>547</v>
      </c>
      <c r="F113" s="3" t="s">
        <v>548</v>
      </c>
    </row>
    <row r="114" spans="1:6" x14ac:dyDescent="0.2">
      <c r="A114" s="4"/>
      <c r="B114" s="42" t="s">
        <v>549</v>
      </c>
      <c r="C114" s="3">
        <f>C111/C112</f>
        <v>6</v>
      </c>
      <c r="D114" s="3" t="s">
        <v>550</v>
      </c>
      <c r="F114" s="3" t="s">
        <v>551</v>
      </c>
    </row>
    <row r="115" spans="1:6" x14ac:dyDescent="0.2">
      <c r="A115" s="4"/>
      <c r="B115" s="42" t="s">
        <v>80</v>
      </c>
      <c r="C115" s="3">
        <f>C111/C110/C112</f>
        <v>2</v>
      </c>
      <c r="D115" s="3" t="s">
        <v>552</v>
      </c>
      <c r="F115" s="3" t="s">
        <v>553</v>
      </c>
    </row>
    <row r="116" spans="1:6" x14ac:dyDescent="0.2">
      <c r="A116" s="4"/>
      <c r="B116" s="78" t="s">
        <v>10</v>
      </c>
      <c r="C116" s="3">
        <f>180*C112/C111</f>
        <v>30</v>
      </c>
      <c r="D116" s="79" t="s">
        <v>11</v>
      </c>
      <c r="F116" s="3" t="s">
        <v>554</v>
      </c>
    </row>
    <row r="117" spans="1:6" x14ac:dyDescent="0.2">
      <c r="A117" s="4"/>
      <c r="F117" s="3" t="s">
        <v>555</v>
      </c>
    </row>
    <row r="118" spans="1:6" x14ac:dyDescent="0.2">
      <c r="A118" s="4"/>
      <c r="B118" s="42" t="s">
        <v>12</v>
      </c>
      <c r="C118" s="3">
        <f>C115*C116</f>
        <v>60</v>
      </c>
      <c r="D118" s="3" t="s">
        <v>556</v>
      </c>
      <c r="F118" s="3" t="s">
        <v>558</v>
      </c>
    </row>
    <row r="119" spans="1:6" x14ac:dyDescent="0.2">
      <c r="A119" s="4"/>
      <c r="B119" s="42" t="s">
        <v>13</v>
      </c>
      <c r="C119" s="3">
        <f>2*C115*C116</f>
        <v>120</v>
      </c>
      <c r="D119" s="3" t="s">
        <v>559</v>
      </c>
      <c r="F119" s="3" t="s">
        <v>560</v>
      </c>
    </row>
    <row r="120" spans="1:6" x14ac:dyDescent="0.2">
      <c r="A120" s="4"/>
      <c r="B120" s="42"/>
    </row>
    <row r="121" spans="1:6" x14ac:dyDescent="0.2">
      <c r="A121" s="76" t="s">
        <v>906</v>
      </c>
      <c r="B121" s="1" t="s">
        <v>561</v>
      </c>
    </row>
    <row r="122" spans="1:6" x14ac:dyDescent="0.2">
      <c r="A122" s="4"/>
      <c r="B122" s="3" t="s">
        <v>562</v>
      </c>
    </row>
    <row r="123" spans="1:6" x14ac:dyDescent="0.2">
      <c r="A123" s="4"/>
      <c r="B123" s="3" t="s">
        <v>563</v>
      </c>
    </row>
    <row r="124" spans="1:6" x14ac:dyDescent="0.2">
      <c r="A124" s="4"/>
      <c r="B124" s="3" t="s">
        <v>564</v>
      </c>
    </row>
    <row r="125" spans="1:6" x14ac:dyDescent="0.2">
      <c r="A125" s="4"/>
      <c r="B125" s="3" t="s">
        <v>565</v>
      </c>
    </row>
    <row r="126" spans="1:6" x14ac:dyDescent="0.2">
      <c r="A126" s="4"/>
    </row>
    <row r="127" spans="1:6" x14ac:dyDescent="0.2">
      <c r="A127" s="76" t="s">
        <v>907</v>
      </c>
      <c r="B127" s="1" t="s">
        <v>566</v>
      </c>
    </row>
    <row r="128" spans="1:6" x14ac:dyDescent="0.2">
      <c r="A128" s="80"/>
      <c r="B128" s="3" t="s">
        <v>567</v>
      </c>
    </row>
    <row r="129" spans="1:2" x14ac:dyDescent="0.2">
      <c r="A129" s="4"/>
      <c r="B129" s="3" t="s">
        <v>568</v>
      </c>
    </row>
    <row r="130" spans="1:2" x14ac:dyDescent="0.2">
      <c r="A130" s="4"/>
      <c r="B130" s="3" t="s">
        <v>569</v>
      </c>
    </row>
    <row r="131" spans="1:2" x14ac:dyDescent="0.2">
      <c r="A131" s="4"/>
      <c r="B131" s="3" t="s">
        <v>570</v>
      </c>
    </row>
    <row r="132" spans="1:2" x14ac:dyDescent="0.2">
      <c r="A132" s="4"/>
      <c r="B132" s="3" t="s">
        <v>571</v>
      </c>
    </row>
    <row r="133" spans="1:2" x14ac:dyDescent="0.2">
      <c r="A133" s="4"/>
      <c r="B133" s="3" t="s">
        <v>572</v>
      </c>
    </row>
    <row r="134" spans="1:2" x14ac:dyDescent="0.2">
      <c r="A134" s="4"/>
      <c r="B134" s="3" t="s">
        <v>573</v>
      </c>
    </row>
    <row r="135" spans="1:2" x14ac:dyDescent="0.2">
      <c r="A135" s="4"/>
      <c r="B135" s="3" t="s">
        <v>574</v>
      </c>
    </row>
    <row r="136" spans="1:2" ht="14.25" x14ac:dyDescent="0.2">
      <c r="A136" s="80"/>
      <c r="B136" s="81" t="s">
        <v>575</v>
      </c>
    </row>
    <row r="137" spans="1:2" ht="14.25" x14ac:dyDescent="0.2">
      <c r="A137" s="4"/>
      <c r="B137" s="81" t="s">
        <v>576</v>
      </c>
    </row>
    <row r="139" spans="1:2" ht="15.75" x14ac:dyDescent="0.25">
      <c r="A139" s="63" t="s">
        <v>519</v>
      </c>
      <c r="B139" s="66" t="s">
        <v>908</v>
      </c>
    </row>
    <row r="140" spans="1:2" x14ac:dyDescent="0.2">
      <c r="A140" s="76" t="s">
        <v>929</v>
      </c>
      <c r="B140" s="1" t="s">
        <v>909</v>
      </c>
    </row>
    <row r="141" spans="1:2" ht="15" x14ac:dyDescent="0.2">
      <c r="A141" s="67"/>
      <c r="B141" s="3" t="s">
        <v>910</v>
      </c>
    </row>
    <row r="142" spans="1:2" x14ac:dyDescent="0.2">
      <c r="B142" s="3" t="s">
        <v>911</v>
      </c>
    </row>
    <row r="143" spans="1:2" x14ac:dyDescent="0.2">
      <c r="B143" s="3" t="s">
        <v>912</v>
      </c>
    </row>
    <row r="144" spans="1:2" x14ac:dyDescent="0.2">
      <c r="B144" s="3" t="s">
        <v>913</v>
      </c>
    </row>
    <row r="145" spans="1:3" x14ac:dyDescent="0.2">
      <c r="B145" s="3" t="s">
        <v>914</v>
      </c>
    </row>
    <row r="146" spans="1:3" x14ac:dyDescent="0.2">
      <c r="B146" s="3" t="s">
        <v>915</v>
      </c>
    </row>
    <row r="147" spans="1:3" x14ac:dyDescent="0.2">
      <c r="B147" s="3" t="s">
        <v>918</v>
      </c>
    </row>
    <row r="148" spans="1:3" x14ac:dyDescent="0.2">
      <c r="B148" s="3" t="s">
        <v>919</v>
      </c>
    </row>
    <row r="149" spans="1:3" x14ac:dyDescent="0.2">
      <c r="B149" s="3" t="s">
        <v>921</v>
      </c>
    </row>
    <row r="150" spans="1:3" x14ac:dyDescent="0.2">
      <c r="B150" s="3" t="s">
        <v>922</v>
      </c>
    </row>
    <row r="152" spans="1:3" x14ac:dyDescent="0.2">
      <c r="A152" s="76" t="s">
        <v>930</v>
      </c>
      <c r="B152" s="1" t="s">
        <v>920</v>
      </c>
    </row>
    <row r="153" spans="1:3" x14ac:dyDescent="0.2">
      <c r="B153" s="3" t="s">
        <v>923</v>
      </c>
    </row>
    <row r="154" spans="1:3" x14ac:dyDescent="0.2">
      <c r="B154" s="3" t="s">
        <v>925</v>
      </c>
    </row>
    <row r="155" spans="1:3" x14ac:dyDescent="0.2">
      <c r="B155" s="3" t="s">
        <v>926</v>
      </c>
    </row>
    <row r="156" spans="1:3" x14ac:dyDescent="0.2">
      <c r="B156" s="3" t="s">
        <v>927</v>
      </c>
    </row>
    <row r="159" spans="1:3" ht="15.75" x14ac:dyDescent="0.25">
      <c r="A159" s="63" t="s">
        <v>661</v>
      </c>
      <c r="B159" s="64" t="s">
        <v>253</v>
      </c>
    </row>
    <row r="160" spans="1:3" x14ac:dyDescent="0.2">
      <c r="B160" s="82" t="s">
        <v>277</v>
      </c>
      <c r="C160" s="3" t="s">
        <v>118</v>
      </c>
    </row>
    <row r="161" spans="2:3" x14ac:dyDescent="0.2">
      <c r="B161" s="82" t="s">
        <v>278</v>
      </c>
      <c r="C161" s="3" t="s">
        <v>254</v>
      </c>
    </row>
    <row r="162" spans="2:3" x14ac:dyDescent="0.2">
      <c r="B162" s="82" t="s">
        <v>279</v>
      </c>
      <c r="C162" s="3" t="s">
        <v>931</v>
      </c>
    </row>
    <row r="163" spans="2:3" x14ac:dyDescent="0.2">
      <c r="B163" s="82" t="s">
        <v>280</v>
      </c>
      <c r="C163" s="3" t="s">
        <v>932</v>
      </c>
    </row>
    <row r="164" spans="2:3" x14ac:dyDescent="0.2">
      <c r="B164" s="82" t="s">
        <v>281</v>
      </c>
      <c r="C164" s="3" t="s">
        <v>933</v>
      </c>
    </row>
    <row r="166" spans="2:3" x14ac:dyDescent="0.2">
      <c r="B166" s="3" t="s">
        <v>267</v>
      </c>
    </row>
    <row r="167" spans="2:3" x14ac:dyDescent="0.2">
      <c r="B167" s="3" t="s">
        <v>663</v>
      </c>
    </row>
  </sheetData>
  <sheetProtection sheet="1" objects="1" scenarios="1"/>
  <phoneticPr fontId="6" type="noConversion"/>
  <conditionalFormatting sqref="AU82">
    <cfRule type="expression" dxfId="12" priority="1" stopIfTrue="1">
      <formula>(AU81&gt;$C$69)</formula>
    </cfRule>
  </conditionalFormatting>
  <conditionalFormatting sqref="AU83">
    <cfRule type="expression" dxfId="11" priority="2" stopIfTrue="1">
      <formula>(AU81&gt;$C$69)</formula>
    </cfRule>
  </conditionalFormatting>
  <conditionalFormatting sqref="AT84">
    <cfRule type="expression" dxfId="10" priority="3" stopIfTrue="1">
      <formula>(AU81&gt;$C$69)</formula>
    </cfRule>
  </conditionalFormatting>
  <conditionalFormatting sqref="AT85">
    <cfRule type="expression" dxfId="9" priority="4" stopIfTrue="1">
      <formula>(AU81&gt;$C$69)</formula>
    </cfRule>
  </conditionalFormatting>
  <conditionalFormatting sqref="E82:AT82">
    <cfRule type="expression" dxfId="8" priority="5" stopIfTrue="1">
      <formula>(E81&gt;$C$69)</formula>
    </cfRule>
  </conditionalFormatting>
  <conditionalFormatting sqref="E83:AT83">
    <cfRule type="expression" dxfId="7" priority="6" stopIfTrue="1">
      <formula>(E81&gt;$C$69)</formula>
    </cfRule>
  </conditionalFormatting>
  <conditionalFormatting sqref="E84:AS84">
    <cfRule type="expression" dxfId="6" priority="7" stopIfTrue="1">
      <formula>(F81&gt;$C$69)</formula>
    </cfRule>
  </conditionalFormatting>
  <conditionalFormatting sqref="E85:AS85">
    <cfRule type="expression" dxfId="5" priority="8" stopIfTrue="1">
      <formula>(F81&gt;$C$69)</formula>
    </cfRule>
  </conditionalFormatting>
  <conditionalFormatting sqref="AU81 AT86">
    <cfRule type="cellIs" dxfId="4" priority="9" stopIfTrue="1" operator="greaterThan">
      <formula>$C$69</formula>
    </cfRule>
  </conditionalFormatting>
  <conditionalFormatting sqref="E81:AT81 E86:AS86">
    <cfRule type="cellIs" dxfId="3" priority="10" stopIfTrue="1" operator="greaterThan">
      <formula>$C$69</formula>
    </cfRule>
  </conditionalFormatting>
  <conditionalFormatting sqref="A60:A62">
    <cfRule type="cellIs" dxfId="2" priority="11" stopIfTrue="1" operator="equal">
      <formula>"N"</formula>
    </cfRule>
  </conditionalFormatting>
  <pageMargins left="0.42" right="0.27" top="0.8" bottom="0.55000000000000004" header="0.5" footer="0.28000000000000003"/>
  <pageSetup paperSize="9" scale="63" orientation="landscape" r:id="rId1"/>
  <headerFooter alignWithMargins="0">
    <oddHeader>&amp;ROldal: &amp;P/&amp;N</oddHeader>
    <oddFooter>&amp;LLaczkó István&amp;R&amp;F.xls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7">
    <pageSetUpPr fitToPage="1"/>
  </sheetPr>
  <dimension ref="A1:IV55"/>
  <sheetViews>
    <sheetView showGridLines="0" tabSelected="1" topLeftCell="B4" zoomScale="145" zoomScaleNormal="145" workbookViewId="0">
      <selection activeCell="X16" sqref="X16"/>
    </sheetView>
  </sheetViews>
  <sheetFormatPr defaultColWidth="9.140625" defaultRowHeight="12.75" x14ac:dyDescent="0.2"/>
  <cols>
    <col min="1" max="1" width="7" style="3" customWidth="1"/>
    <col min="2" max="2" width="3" style="3" customWidth="1"/>
    <col min="3" max="235" width="3.7109375" style="4" customWidth="1"/>
    <col min="236" max="16384" width="9.140625" style="3"/>
  </cols>
  <sheetData>
    <row r="1" spans="1:235" x14ac:dyDescent="0.2">
      <c r="A1" s="97"/>
      <c r="D1" s="84" t="s">
        <v>255</v>
      </c>
    </row>
    <row r="2" spans="1:235" x14ac:dyDescent="0.2">
      <c r="D2" s="74" t="s">
        <v>947</v>
      </c>
    </row>
    <row r="3" spans="1:235" s="4" customFormat="1" x14ac:dyDescent="0.2">
      <c r="A3" s="85"/>
      <c r="B3" s="3"/>
    </row>
    <row r="4" spans="1:235" s="47" customFormat="1" x14ac:dyDescent="0.2">
      <c r="A4" s="85"/>
      <c r="B4" s="3"/>
      <c r="C4" s="4"/>
      <c r="D4" s="4"/>
      <c r="E4" s="4">
        <v>1</v>
      </c>
      <c r="F4" s="4"/>
      <c r="G4" s="4"/>
      <c r="H4" s="4">
        <v>4</v>
      </c>
      <c r="I4" s="4"/>
      <c r="J4" s="4"/>
      <c r="K4" s="4">
        <v>7</v>
      </c>
      <c r="L4" s="4"/>
      <c r="M4" s="4"/>
      <c r="N4" s="4">
        <v>10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</row>
    <row r="5" spans="1:235" s="4" customFormat="1" x14ac:dyDescent="0.2">
      <c r="A5" s="85"/>
      <c r="B5" s="3"/>
      <c r="E5" s="4" t="s">
        <v>168</v>
      </c>
      <c r="H5" s="4" t="s">
        <v>168</v>
      </c>
      <c r="K5" s="4" t="s">
        <v>168</v>
      </c>
      <c r="N5" s="4" t="s">
        <v>168</v>
      </c>
    </row>
    <row r="6" spans="1:235" s="47" customFormat="1" x14ac:dyDescent="0.2">
      <c r="A6" s="85"/>
      <c r="B6" s="3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</row>
    <row r="7" spans="1:235" s="47" customFormat="1" x14ac:dyDescent="0.2">
      <c r="A7" s="85"/>
      <c r="B7" s="3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</row>
    <row r="8" spans="1:235" s="47" customFormat="1" x14ac:dyDescent="0.2">
      <c r="A8" s="85"/>
      <c r="B8" s="3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</row>
    <row r="9" spans="1:235" s="47" customFormat="1" x14ac:dyDescent="0.2">
      <c r="A9" s="85"/>
      <c r="B9" s="3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</row>
    <row r="10" spans="1:235" s="47" customFormat="1" x14ac:dyDescent="0.2">
      <c r="A10" s="85"/>
      <c r="B10" s="3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</row>
    <row r="11" spans="1:235" s="47" customFormat="1" x14ac:dyDescent="0.2">
      <c r="A11" s="85"/>
      <c r="B11" s="3"/>
      <c r="C11" s="4"/>
      <c r="D11" s="47">
        <v>1</v>
      </c>
      <c r="E11" s="47">
        <v>2</v>
      </c>
      <c r="F11" s="47">
        <v>3</v>
      </c>
      <c r="G11" s="47">
        <v>4</v>
      </c>
      <c r="H11" s="47">
        <v>5</v>
      </c>
      <c r="I11" s="47">
        <v>6</v>
      </c>
      <c r="J11" s="47">
        <v>7</v>
      </c>
      <c r="K11" s="47">
        <v>8</v>
      </c>
      <c r="L11" s="47">
        <v>9</v>
      </c>
      <c r="M11" s="47">
        <v>10</v>
      </c>
      <c r="N11" s="47">
        <v>11</v>
      </c>
      <c r="O11" s="47">
        <v>12</v>
      </c>
    </row>
    <row r="12" spans="1:235" s="47" customFormat="1" x14ac:dyDescent="0.2">
      <c r="A12" s="85"/>
      <c r="B12" s="3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</row>
    <row r="13" spans="1:235" s="47" customFormat="1" x14ac:dyDescent="0.2">
      <c r="A13" s="85"/>
      <c r="B13" s="3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</row>
    <row r="14" spans="1:235" x14ac:dyDescent="0.2">
      <c r="A14" s="85"/>
    </row>
    <row r="15" spans="1:235" x14ac:dyDescent="0.2">
      <c r="A15" s="85"/>
    </row>
    <row r="16" spans="1:235" x14ac:dyDescent="0.2">
      <c r="A16" s="85"/>
    </row>
    <row r="17" spans="1:256" x14ac:dyDescent="0.2">
      <c r="A17" s="85"/>
    </row>
    <row r="18" spans="1:256" x14ac:dyDescent="0.2">
      <c r="A18" s="85"/>
    </row>
    <row r="19" spans="1:256" x14ac:dyDescent="0.2">
      <c r="A19" s="85"/>
    </row>
    <row r="20" spans="1:256" x14ac:dyDescent="0.2">
      <c r="A20" s="85"/>
    </row>
    <row r="21" spans="1:256" x14ac:dyDescent="0.2">
      <c r="A21" s="85"/>
    </row>
    <row r="22" spans="1:256" x14ac:dyDescent="0.2">
      <c r="A22" s="85"/>
    </row>
    <row r="23" spans="1:256" x14ac:dyDescent="0.2">
      <c r="A23" s="85"/>
    </row>
    <row r="25" spans="1:256" x14ac:dyDescent="0.2">
      <c r="D25" s="4" t="s">
        <v>42</v>
      </c>
      <c r="E25" s="4" t="s">
        <v>131</v>
      </c>
      <c r="F25" s="4" t="s">
        <v>132</v>
      </c>
      <c r="N25" s="4" t="s">
        <v>3</v>
      </c>
      <c r="O25" s="4" t="s">
        <v>211</v>
      </c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</row>
    <row r="26" spans="1:256" x14ac:dyDescent="0.2">
      <c r="D26" s="4" t="s">
        <v>4</v>
      </c>
    </row>
    <row r="27" spans="1:256" x14ac:dyDescent="0.2">
      <c r="E27" s="86"/>
    </row>
    <row r="28" spans="1:256" x14ac:dyDescent="0.2">
      <c r="E28" s="86"/>
      <c r="Y28" s="80"/>
    </row>
    <row r="29" spans="1:256" x14ac:dyDescent="0.2">
      <c r="E29" s="86"/>
      <c r="Y29" s="80"/>
    </row>
    <row r="30" spans="1:256" x14ac:dyDescent="0.2">
      <c r="C30" s="4" t="s">
        <v>292</v>
      </c>
      <c r="D30" s="4" t="s">
        <v>293</v>
      </c>
      <c r="E30" s="87" t="s">
        <v>294</v>
      </c>
      <c r="Y30" s="80"/>
    </row>
    <row r="31" spans="1:256" x14ac:dyDescent="0.2">
      <c r="C31" s="4">
        <v>1</v>
      </c>
      <c r="D31" s="4">
        <v>1</v>
      </c>
      <c r="E31" s="87" t="s">
        <v>295</v>
      </c>
      <c r="Y31" s="80"/>
    </row>
    <row r="32" spans="1:256" x14ac:dyDescent="0.2">
      <c r="C32" s="4">
        <v>2</v>
      </c>
      <c r="D32" s="4">
        <v>2</v>
      </c>
      <c r="E32" s="87" t="s">
        <v>537</v>
      </c>
    </row>
    <row r="33" spans="3:255" x14ac:dyDescent="0.2">
      <c r="C33" s="4">
        <v>3</v>
      </c>
      <c r="D33" s="4">
        <v>2</v>
      </c>
      <c r="E33" s="87" t="s">
        <v>538</v>
      </c>
    </row>
    <row r="34" spans="3:255" x14ac:dyDescent="0.2">
      <c r="C34" s="4">
        <v>4</v>
      </c>
      <c r="D34" s="4">
        <v>4</v>
      </c>
      <c r="E34" s="87" t="s">
        <v>539</v>
      </c>
      <c r="IC34" s="4"/>
      <c r="IF34" s="4"/>
      <c r="II34" s="4"/>
      <c r="IL34" s="4"/>
      <c r="IO34" s="4"/>
      <c r="IR34" s="4"/>
      <c r="IU34" s="4"/>
    </row>
    <row r="35" spans="3:255" x14ac:dyDescent="0.2">
      <c r="E35" s="87"/>
    </row>
    <row r="36" spans="3:255" x14ac:dyDescent="0.2">
      <c r="E36" s="87"/>
    </row>
    <row r="37" spans="3:255" x14ac:dyDescent="0.2">
      <c r="E37" s="87"/>
    </row>
    <row r="38" spans="3:255" x14ac:dyDescent="0.2">
      <c r="E38" s="87"/>
    </row>
    <row r="39" spans="3:255" x14ac:dyDescent="0.2">
      <c r="E39" s="87"/>
    </row>
    <row r="40" spans="3:255" x14ac:dyDescent="0.2">
      <c r="E40" s="86"/>
    </row>
    <row r="41" spans="3:255" x14ac:dyDescent="0.2">
      <c r="E41" s="86"/>
    </row>
    <row r="42" spans="3:255" x14ac:dyDescent="0.2">
      <c r="E42" s="86"/>
    </row>
    <row r="43" spans="3:255" x14ac:dyDescent="0.2">
      <c r="E43" s="86"/>
    </row>
    <row r="44" spans="3:255" x14ac:dyDescent="0.2">
      <c r="E44" s="86"/>
    </row>
    <row r="45" spans="3:255" x14ac:dyDescent="0.2">
      <c r="E45" s="86"/>
    </row>
    <row r="46" spans="3:255" x14ac:dyDescent="0.2">
      <c r="E46" s="86"/>
    </row>
    <row r="47" spans="3:255" x14ac:dyDescent="0.2">
      <c r="E47" s="86"/>
    </row>
    <row r="48" spans="3:255" x14ac:dyDescent="0.2">
      <c r="E48" s="86"/>
    </row>
    <row r="49" spans="5:5" x14ac:dyDescent="0.2">
      <c r="E49" s="86"/>
    </row>
    <row r="50" spans="5:5" x14ac:dyDescent="0.2">
      <c r="E50" s="86"/>
    </row>
    <row r="51" spans="5:5" x14ac:dyDescent="0.2">
      <c r="E51" s="86"/>
    </row>
    <row r="52" spans="5:5" x14ac:dyDescent="0.2">
      <c r="E52" s="86"/>
    </row>
    <row r="53" spans="5:5" x14ac:dyDescent="0.2">
      <c r="E53" s="86"/>
    </row>
    <row r="54" spans="5:5" x14ac:dyDescent="0.2">
      <c r="E54" s="86"/>
    </row>
    <row r="55" spans="5:5" x14ac:dyDescent="0.2">
      <c r="E55" s="86"/>
    </row>
  </sheetData>
  <sheetProtection sheet="1" objects="1" scenarios="1"/>
  <phoneticPr fontId="18" type="noConversion"/>
  <pageMargins left="0.37" right="0.36" top="1" bottom="0.56999999999999995" header="0.5" footer="0.3"/>
  <pageSetup paperSize="9" scale="89" orientation="landscape" r:id="rId1"/>
  <headerFooter alignWithMargins="0">
    <oddFooter>&amp;L&amp;"Arial,Dőlt"Laczkó István&amp;R&amp;F.xls/&amp;A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8"/>
  <dimension ref="A1:Y58"/>
  <sheetViews>
    <sheetView workbookViewId="0"/>
  </sheetViews>
  <sheetFormatPr defaultColWidth="9.140625" defaultRowHeight="12.75" x14ac:dyDescent="0.2"/>
  <cols>
    <col min="1" max="1" width="9.140625" style="3"/>
    <col min="2" max="2" width="13.42578125" style="3" customWidth="1"/>
    <col min="3" max="3" width="6.7109375" style="3" bestFit="1" customWidth="1"/>
    <col min="4" max="4" width="8.140625" style="3" bestFit="1" customWidth="1"/>
    <col min="5" max="13" width="9.140625" style="3"/>
    <col min="14" max="14" width="4.5703125" style="3" bestFit="1" customWidth="1"/>
    <col min="15" max="15" width="6.5703125" style="3" bestFit="1" customWidth="1"/>
    <col min="16" max="16" width="5.140625" style="3" bestFit="1" customWidth="1"/>
    <col min="17" max="21" width="9.140625" style="3"/>
    <col min="22" max="22" width="10.28515625" style="3" customWidth="1"/>
    <col min="23" max="16384" width="9.140625" style="3"/>
  </cols>
  <sheetData>
    <row r="1" spans="1:25" x14ac:dyDescent="0.2">
      <c r="A1" s="88" t="s">
        <v>328</v>
      </c>
      <c r="L1" s="38" t="s">
        <v>327</v>
      </c>
      <c r="N1" s="3">
        <v>14</v>
      </c>
      <c r="O1" s="3">
        <v>15</v>
      </c>
      <c r="P1" s="3">
        <v>16</v>
      </c>
      <c r="T1" s="89" t="s">
        <v>467</v>
      </c>
      <c r="X1" s="3" t="s">
        <v>492</v>
      </c>
    </row>
    <row r="2" spans="1:25" x14ac:dyDescent="0.2">
      <c r="A2" s="3" t="s">
        <v>256</v>
      </c>
      <c r="C2" s="3" t="s">
        <v>328</v>
      </c>
      <c r="D2" s="90" t="s">
        <v>329</v>
      </c>
      <c r="L2" s="1" t="s">
        <v>330</v>
      </c>
      <c r="M2" s="1" t="s">
        <v>331</v>
      </c>
      <c r="N2" s="1" t="s">
        <v>388</v>
      </c>
      <c r="O2" s="1" t="s">
        <v>389</v>
      </c>
      <c r="P2" s="1" t="s">
        <v>390</v>
      </c>
      <c r="Q2" s="1" t="s">
        <v>391</v>
      </c>
      <c r="R2" s="1" t="s">
        <v>392</v>
      </c>
      <c r="S2" s="1"/>
      <c r="T2" s="91" t="s">
        <v>328</v>
      </c>
      <c r="V2" s="1" t="s">
        <v>494</v>
      </c>
      <c r="W2" s="1" t="s">
        <v>493</v>
      </c>
      <c r="X2" s="1" t="s">
        <v>329</v>
      </c>
      <c r="Y2" s="1" t="s">
        <v>495</v>
      </c>
    </row>
    <row r="3" spans="1:25" x14ac:dyDescent="0.2">
      <c r="A3" s="85">
        <v>63</v>
      </c>
      <c r="B3" s="3" t="s">
        <v>468</v>
      </c>
      <c r="C3" s="3">
        <v>63</v>
      </c>
      <c r="D3" s="3">
        <v>63</v>
      </c>
      <c r="L3" s="92" t="s">
        <v>332</v>
      </c>
      <c r="M3" s="93" t="s">
        <v>332</v>
      </c>
      <c r="N3" s="3">
        <v>0</v>
      </c>
      <c r="O3" s="3">
        <v>0</v>
      </c>
      <c r="P3" s="3">
        <v>0</v>
      </c>
      <c r="Q3" s="3" t="s">
        <v>393</v>
      </c>
      <c r="R3" s="3" t="s">
        <v>394</v>
      </c>
      <c r="S3" s="4"/>
      <c r="T3" s="94" t="s">
        <v>466</v>
      </c>
      <c r="V3" s="3" t="s">
        <v>394</v>
      </c>
      <c r="W3" s="4">
        <v>1</v>
      </c>
      <c r="X3" s="4">
        <v>0</v>
      </c>
    </row>
    <row r="4" spans="1:25" x14ac:dyDescent="0.2">
      <c r="A4" s="85">
        <v>70</v>
      </c>
      <c r="B4" s="3" t="s">
        <v>469</v>
      </c>
      <c r="C4" s="3">
        <v>70</v>
      </c>
      <c r="D4" s="3">
        <v>70</v>
      </c>
      <c r="L4" s="95" t="s">
        <v>333</v>
      </c>
      <c r="M4" s="96" t="s">
        <v>333</v>
      </c>
      <c r="N4" s="3">
        <v>255</v>
      </c>
      <c r="O4" s="3">
        <v>255</v>
      </c>
      <c r="P4" s="3">
        <v>255</v>
      </c>
      <c r="Q4" s="3" t="s">
        <v>395</v>
      </c>
      <c r="R4" s="3" t="s">
        <v>396</v>
      </c>
      <c r="S4" s="4"/>
      <c r="V4" s="3" t="s">
        <v>396</v>
      </c>
      <c r="W4" s="4">
        <v>2</v>
      </c>
      <c r="X4" s="4">
        <v>7</v>
      </c>
    </row>
    <row r="5" spans="1:25" x14ac:dyDescent="0.2">
      <c r="A5" s="85">
        <v>50</v>
      </c>
      <c r="B5" s="3" t="s">
        <v>73</v>
      </c>
      <c r="C5" s="3">
        <v>50</v>
      </c>
      <c r="D5" s="3">
        <v>50</v>
      </c>
      <c r="L5" s="83" t="s">
        <v>334</v>
      </c>
      <c r="M5" s="68" t="s">
        <v>334</v>
      </c>
      <c r="N5" s="3">
        <v>255</v>
      </c>
      <c r="O5" s="3">
        <v>0</v>
      </c>
      <c r="P5" s="3">
        <v>0</v>
      </c>
      <c r="Q5" s="3" t="s">
        <v>397</v>
      </c>
      <c r="R5" s="3" t="s">
        <v>398</v>
      </c>
      <c r="S5" s="4"/>
      <c r="V5" s="3" t="s">
        <v>398</v>
      </c>
      <c r="W5" s="4">
        <v>3</v>
      </c>
      <c r="X5" s="4">
        <v>1</v>
      </c>
      <c r="Y5" s="3" t="s">
        <v>496</v>
      </c>
    </row>
    <row r="6" spans="1:25" x14ac:dyDescent="0.2">
      <c r="A6" s="85">
        <v>40</v>
      </c>
      <c r="B6" s="3" t="s">
        <v>67</v>
      </c>
      <c r="C6" s="3">
        <v>40</v>
      </c>
      <c r="D6" s="3">
        <v>40</v>
      </c>
      <c r="L6" s="97" t="s">
        <v>335</v>
      </c>
      <c r="M6" s="98" t="s">
        <v>335</v>
      </c>
      <c r="N6" s="3">
        <v>0</v>
      </c>
      <c r="O6" s="3">
        <v>255</v>
      </c>
      <c r="P6" s="3">
        <v>0</v>
      </c>
      <c r="Q6" s="3" t="s">
        <v>399</v>
      </c>
      <c r="R6" s="3" t="s">
        <v>400</v>
      </c>
      <c r="S6" s="4"/>
      <c r="V6" s="3" t="s">
        <v>400</v>
      </c>
      <c r="W6" s="4">
        <v>4</v>
      </c>
      <c r="X6" s="4">
        <v>3</v>
      </c>
      <c r="Y6" s="3" t="s">
        <v>123</v>
      </c>
    </row>
    <row r="7" spans="1:25" x14ac:dyDescent="0.2">
      <c r="A7" s="85">
        <v>23</v>
      </c>
      <c r="B7" s="3" t="s">
        <v>72</v>
      </c>
      <c r="C7" s="3">
        <v>23</v>
      </c>
      <c r="D7" s="3">
        <v>23</v>
      </c>
      <c r="L7" s="99" t="s">
        <v>336</v>
      </c>
      <c r="M7" s="90" t="s">
        <v>336</v>
      </c>
      <c r="N7" s="3">
        <v>0</v>
      </c>
      <c r="O7" s="3">
        <v>0</v>
      </c>
      <c r="P7" s="3">
        <v>255</v>
      </c>
      <c r="Q7" s="3" t="s">
        <v>401</v>
      </c>
      <c r="R7" s="3" t="s">
        <v>402</v>
      </c>
      <c r="S7" s="4"/>
      <c r="V7" s="3" t="s">
        <v>402</v>
      </c>
      <c r="W7" s="4">
        <v>5</v>
      </c>
      <c r="X7" s="4">
        <v>5</v>
      </c>
    </row>
    <row r="8" spans="1:25" x14ac:dyDescent="0.2">
      <c r="A8" s="85">
        <v>21</v>
      </c>
      <c r="B8" s="3" t="s">
        <v>71</v>
      </c>
      <c r="C8" s="3">
        <v>21</v>
      </c>
      <c r="D8" s="3">
        <v>21</v>
      </c>
      <c r="L8" s="100" t="s">
        <v>337</v>
      </c>
      <c r="M8" s="101" t="s">
        <v>337</v>
      </c>
      <c r="N8" s="3">
        <v>255</v>
      </c>
      <c r="O8" s="3">
        <v>255</v>
      </c>
      <c r="P8" s="3">
        <v>0</v>
      </c>
      <c r="Q8" s="3" t="s">
        <v>403</v>
      </c>
      <c r="R8" s="3" t="s">
        <v>404</v>
      </c>
      <c r="S8" s="4"/>
      <c r="V8" s="3" t="s">
        <v>404</v>
      </c>
      <c r="W8" s="4">
        <v>6</v>
      </c>
      <c r="X8" s="4">
        <v>2</v>
      </c>
      <c r="Y8" s="3" t="s">
        <v>204</v>
      </c>
    </row>
    <row r="9" spans="1:25" x14ac:dyDescent="0.2">
      <c r="A9" s="85">
        <v>2</v>
      </c>
      <c r="B9" s="3" t="s">
        <v>470</v>
      </c>
      <c r="C9" s="3">
        <v>2</v>
      </c>
      <c r="D9" s="3">
        <v>2</v>
      </c>
      <c r="L9" s="102" t="s">
        <v>338</v>
      </c>
      <c r="M9" s="103" t="s">
        <v>338</v>
      </c>
      <c r="N9" s="3">
        <v>255</v>
      </c>
      <c r="O9" s="3">
        <v>0</v>
      </c>
      <c r="P9" s="3">
        <v>255</v>
      </c>
      <c r="Q9" s="3" t="s">
        <v>405</v>
      </c>
      <c r="R9" s="3" t="s">
        <v>406</v>
      </c>
      <c r="S9" s="4"/>
      <c r="V9" s="3" t="s">
        <v>406</v>
      </c>
      <c r="W9" s="4">
        <v>7</v>
      </c>
      <c r="X9" s="4">
        <v>6</v>
      </c>
      <c r="Y9" s="3" t="s">
        <v>497</v>
      </c>
    </row>
    <row r="10" spans="1:25" x14ac:dyDescent="0.2">
      <c r="A10" s="85">
        <v>1.5</v>
      </c>
      <c r="B10" s="90" t="s">
        <v>471</v>
      </c>
      <c r="C10" s="3">
        <v>1.5</v>
      </c>
      <c r="D10" s="3">
        <v>0</v>
      </c>
      <c r="L10" s="104" t="s">
        <v>339</v>
      </c>
      <c r="M10" s="105" t="s">
        <v>339</v>
      </c>
      <c r="N10" s="3">
        <v>0</v>
      </c>
      <c r="O10" s="3">
        <v>255</v>
      </c>
      <c r="P10" s="3">
        <v>255</v>
      </c>
      <c r="Q10" s="3" t="s">
        <v>407</v>
      </c>
      <c r="R10" s="3" t="s">
        <v>408</v>
      </c>
      <c r="S10" s="4"/>
      <c r="V10" s="3" t="s">
        <v>408</v>
      </c>
      <c r="W10" s="4">
        <v>8</v>
      </c>
      <c r="X10" s="4">
        <v>4</v>
      </c>
    </row>
    <row r="11" spans="1:25" x14ac:dyDescent="0.2">
      <c r="A11" s="85">
        <v>1</v>
      </c>
      <c r="B11" s="90" t="s">
        <v>472</v>
      </c>
      <c r="C11" s="3">
        <v>1</v>
      </c>
      <c r="D11" s="3">
        <v>0</v>
      </c>
      <c r="L11" s="106" t="s">
        <v>340</v>
      </c>
      <c r="M11" s="107" t="s">
        <v>340</v>
      </c>
      <c r="N11" s="3">
        <v>128</v>
      </c>
      <c r="O11" s="3">
        <v>0</v>
      </c>
      <c r="P11" s="3">
        <v>0</v>
      </c>
      <c r="Q11" s="3" t="s">
        <v>409</v>
      </c>
    </row>
    <row r="12" spans="1:25" x14ac:dyDescent="0.2">
      <c r="A12" s="85">
        <v>1</v>
      </c>
      <c r="B12" s="90" t="s">
        <v>473</v>
      </c>
      <c r="C12" s="3">
        <v>1</v>
      </c>
      <c r="D12" s="3">
        <v>0</v>
      </c>
      <c r="L12" s="108" t="s">
        <v>341</v>
      </c>
      <c r="M12" s="109" t="s">
        <v>341</v>
      </c>
      <c r="N12" s="3">
        <v>0</v>
      </c>
      <c r="O12" s="3">
        <v>128</v>
      </c>
      <c r="P12" s="3">
        <v>0</v>
      </c>
      <c r="Q12" s="3" t="s">
        <v>410</v>
      </c>
      <c r="V12" s="1" t="s">
        <v>14</v>
      </c>
    </row>
    <row r="13" spans="1:25" x14ac:dyDescent="0.2">
      <c r="A13" s="85">
        <v>3</v>
      </c>
      <c r="B13" s="90" t="s">
        <v>474</v>
      </c>
      <c r="C13" s="3">
        <v>3</v>
      </c>
      <c r="D13" s="3">
        <v>4</v>
      </c>
      <c r="L13" s="110" t="s">
        <v>342</v>
      </c>
      <c r="M13" s="111" t="s">
        <v>342</v>
      </c>
      <c r="N13" s="3">
        <v>0</v>
      </c>
      <c r="O13" s="3">
        <v>0</v>
      </c>
      <c r="P13" s="3">
        <v>128</v>
      </c>
      <c r="Q13" s="3" t="s">
        <v>411</v>
      </c>
      <c r="V13" s="3" t="s">
        <v>498</v>
      </c>
    </row>
    <row r="14" spans="1:25" x14ac:dyDescent="0.2">
      <c r="A14" s="85">
        <v>5</v>
      </c>
      <c r="B14" s="90" t="s">
        <v>475</v>
      </c>
      <c r="C14" s="3">
        <v>5</v>
      </c>
      <c r="D14" s="3">
        <v>6</v>
      </c>
      <c r="L14" s="112" t="s">
        <v>343</v>
      </c>
      <c r="M14" s="113" t="s">
        <v>343</v>
      </c>
      <c r="N14" s="3">
        <v>128</v>
      </c>
      <c r="O14" s="3">
        <v>128</v>
      </c>
      <c r="P14" s="3">
        <v>0</v>
      </c>
      <c r="Q14" s="3" t="s">
        <v>412</v>
      </c>
      <c r="V14" s="3" t="s">
        <v>499</v>
      </c>
    </row>
    <row r="15" spans="1:25" x14ac:dyDescent="0.2">
      <c r="A15" s="85">
        <v>10</v>
      </c>
      <c r="B15" s="90" t="s">
        <v>476</v>
      </c>
      <c r="C15" s="3">
        <v>10</v>
      </c>
      <c r="D15" s="3">
        <v>3</v>
      </c>
      <c r="L15" s="114" t="s">
        <v>344</v>
      </c>
      <c r="M15" s="115" t="s">
        <v>344</v>
      </c>
      <c r="N15" s="3">
        <v>128</v>
      </c>
      <c r="O15" s="3">
        <v>0</v>
      </c>
      <c r="P15" s="3">
        <v>128</v>
      </c>
      <c r="Q15" s="3" t="s">
        <v>421</v>
      </c>
      <c r="V15" s="3" t="s">
        <v>500</v>
      </c>
    </row>
    <row r="16" spans="1:25" x14ac:dyDescent="0.2">
      <c r="A16" s="85">
        <v>1</v>
      </c>
      <c r="B16" s="3" t="s">
        <v>477</v>
      </c>
      <c r="C16" s="3">
        <v>1</v>
      </c>
      <c r="D16" s="3">
        <v>1</v>
      </c>
      <c r="L16" s="116" t="s">
        <v>345</v>
      </c>
      <c r="M16" s="117" t="s">
        <v>345</v>
      </c>
      <c r="N16" s="3">
        <v>0</v>
      </c>
      <c r="O16" s="3">
        <v>128</v>
      </c>
      <c r="P16" s="3">
        <v>128</v>
      </c>
      <c r="Q16" s="3" t="s">
        <v>422</v>
      </c>
      <c r="V16" s="3" t="s">
        <v>501</v>
      </c>
    </row>
    <row r="17" spans="1:22" x14ac:dyDescent="0.2">
      <c r="A17" s="85">
        <v>2</v>
      </c>
      <c r="B17" s="90" t="s">
        <v>478</v>
      </c>
      <c r="C17" s="3">
        <v>2</v>
      </c>
      <c r="D17" s="3">
        <v>1</v>
      </c>
      <c r="L17" s="118" t="s">
        <v>346</v>
      </c>
      <c r="M17" s="119" t="s">
        <v>346</v>
      </c>
      <c r="N17" s="3">
        <v>192</v>
      </c>
      <c r="O17" s="3">
        <v>192</v>
      </c>
      <c r="P17" s="3">
        <v>192</v>
      </c>
      <c r="Q17" s="3" t="s">
        <v>423</v>
      </c>
      <c r="V17" s="3" t="s">
        <v>502</v>
      </c>
    </row>
    <row r="18" spans="1:22" x14ac:dyDescent="0.2">
      <c r="A18" s="85">
        <v>1</v>
      </c>
      <c r="B18" s="3" t="s">
        <v>479</v>
      </c>
      <c r="C18" s="3">
        <v>1</v>
      </c>
      <c r="D18" s="3">
        <v>1</v>
      </c>
      <c r="L18" s="120" t="s">
        <v>347</v>
      </c>
      <c r="M18" s="121" t="s">
        <v>347</v>
      </c>
      <c r="N18" s="3">
        <v>128</v>
      </c>
      <c r="O18" s="3">
        <v>128</v>
      </c>
      <c r="P18" s="3">
        <v>128</v>
      </c>
      <c r="Q18" s="3" t="s">
        <v>424</v>
      </c>
      <c r="V18" s="3" t="s">
        <v>503</v>
      </c>
    </row>
    <row r="19" spans="1:22" x14ac:dyDescent="0.2">
      <c r="A19" s="85">
        <v>3.07</v>
      </c>
      <c r="B19" s="3" t="s">
        <v>480</v>
      </c>
      <c r="C19" s="3">
        <v>3.07</v>
      </c>
      <c r="D19" s="3">
        <v>3.07</v>
      </c>
      <c r="L19" s="122" t="s">
        <v>348</v>
      </c>
      <c r="M19" s="123" t="s">
        <v>348</v>
      </c>
      <c r="N19" s="3">
        <v>153</v>
      </c>
      <c r="O19" s="3">
        <v>153</v>
      </c>
      <c r="P19" s="3">
        <v>255</v>
      </c>
      <c r="Q19" s="3" t="s">
        <v>425</v>
      </c>
      <c r="V19" s="3" t="s">
        <v>501</v>
      </c>
    </row>
    <row r="20" spans="1:22" x14ac:dyDescent="0.2">
      <c r="A20" s="85">
        <v>25</v>
      </c>
      <c r="B20" s="3" t="s">
        <v>481</v>
      </c>
      <c r="C20" s="3">
        <v>25</v>
      </c>
      <c r="D20" s="3">
        <v>25</v>
      </c>
      <c r="L20" s="124" t="s">
        <v>349</v>
      </c>
      <c r="M20" s="125" t="s">
        <v>349</v>
      </c>
      <c r="N20" s="3">
        <v>153</v>
      </c>
      <c r="O20" s="3">
        <v>51</v>
      </c>
      <c r="P20" s="3">
        <v>102</v>
      </c>
      <c r="Q20" s="3" t="s">
        <v>426</v>
      </c>
      <c r="V20" s="3" t="s">
        <v>504</v>
      </c>
    </row>
    <row r="21" spans="1:22" x14ac:dyDescent="0.2">
      <c r="A21" s="85">
        <v>5</v>
      </c>
      <c r="B21" s="3" t="s">
        <v>482</v>
      </c>
      <c r="C21" s="3">
        <v>5</v>
      </c>
      <c r="D21" s="3">
        <v>5</v>
      </c>
      <c r="L21" s="126" t="s">
        <v>350</v>
      </c>
      <c r="M21" s="127" t="s">
        <v>350</v>
      </c>
      <c r="N21" s="3">
        <v>255</v>
      </c>
      <c r="O21" s="3">
        <v>255</v>
      </c>
      <c r="P21" s="3">
        <v>204</v>
      </c>
      <c r="Q21" s="3" t="s">
        <v>427</v>
      </c>
      <c r="V21" s="3" t="s">
        <v>505</v>
      </c>
    </row>
    <row r="22" spans="1:22" x14ac:dyDescent="0.2">
      <c r="A22" s="85">
        <v>11</v>
      </c>
      <c r="B22" s="3" t="s">
        <v>483</v>
      </c>
      <c r="C22" s="3">
        <v>11</v>
      </c>
      <c r="D22" s="3">
        <v>11</v>
      </c>
      <c r="L22" s="128" t="s">
        <v>351</v>
      </c>
      <c r="M22" s="129" t="s">
        <v>351</v>
      </c>
      <c r="N22" s="3">
        <v>204</v>
      </c>
      <c r="O22" s="3">
        <v>255</v>
      </c>
      <c r="P22" s="3">
        <v>255</v>
      </c>
      <c r="Q22" s="3" t="s">
        <v>428</v>
      </c>
      <c r="V22" s="3" t="s">
        <v>501</v>
      </c>
    </row>
    <row r="23" spans="1:22" x14ac:dyDescent="0.2">
      <c r="A23" s="85">
        <v>0</v>
      </c>
      <c r="B23" s="3" t="s">
        <v>484</v>
      </c>
      <c r="C23" s="3">
        <v>0</v>
      </c>
      <c r="D23" s="3">
        <v>0</v>
      </c>
      <c r="L23" s="130" t="s">
        <v>352</v>
      </c>
      <c r="M23" s="131" t="s">
        <v>352</v>
      </c>
      <c r="N23" s="3">
        <v>102</v>
      </c>
      <c r="O23" s="3">
        <v>0</v>
      </c>
      <c r="P23" s="3">
        <v>102</v>
      </c>
      <c r="Q23" s="3" t="s">
        <v>429</v>
      </c>
      <c r="V23" s="3" t="s">
        <v>506</v>
      </c>
    </row>
    <row r="24" spans="1:22" x14ac:dyDescent="0.2">
      <c r="A24" s="85">
        <v>1</v>
      </c>
      <c r="B24" s="90" t="s">
        <v>485</v>
      </c>
      <c r="C24" s="3">
        <v>1</v>
      </c>
      <c r="D24" s="3">
        <v>0</v>
      </c>
      <c r="L24" s="132" t="s">
        <v>353</v>
      </c>
      <c r="M24" s="133" t="s">
        <v>353</v>
      </c>
      <c r="N24" s="3">
        <v>255</v>
      </c>
      <c r="O24" s="3">
        <v>128</v>
      </c>
      <c r="P24" s="3">
        <v>128</v>
      </c>
      <c r="Q24" s="3" t="s">
        <v>430</v>
      </c>
      <c r="V24" s="3" t="s">
        <v>507</v>
      </c>
    </row>
    <row r="25" spans="1:22" x14ac:dyDescent="0.2">
      <c r="A25" s="85">
        <v>0</v>
      </c>
      <c r="B25" s="3" t="s">
        <v>486</v>
      </c>
      <c r="C25" s="3">
        <v>0</v>
      </c>
      <c r="D25" s="3">
        <v>0</v>
      </c>
      <c r="L25" s="134" t="s">
        <v>354</v>
      </c>
      <c r="M25" s="135" t="s">
        <v>354</v>
      </c>
      <c r="N25" s="3">
        <v>0</v>
      </c>
      <c r="O25" s="3">
        <v>102</v>
      </c>
      <c r="P25" s="3">
        <v>204</v>
      </c>
      <c r="Q25" s="3" t="s">
        <v>431</v>
      </c>
      <c r="V25" s="3" t="s">
        <v>501</v>
      </c>
    </row>
    <row r="26" spans="1:22" x14ac:dyDescent="0.2">
      <c r="A26" s="85">
        <v>1.5</v>
      </c>
      <c r="B26" s="90" t="s">
        <v>487</v>
      </c>
      <c r="C26" s="3">
        <v>1.5</v>
      </c>
      <c r="D26" s="3">
        <v>0</v>
      </c>
      <c r="L26" s="136" t="s">
        <v>355</v>
      </c>
      <c r="M26" s="137" t="s">
        <v>355</v>
      </c>
      <c r="N26" s="3">
        <v>204</v>
      </c>
      <c r="O26" s="3">
        <v>204</v>
      </c>
      <c r="P26" s="3">
        <v>255</v>
      </c>
      <c r="Q26" s="3" t="s">
        <v>432</v>
      </c>
      <c r="V26" s="3" t="s">
        <v>508</v>
      </c>
    </row>
    <row r="27" spans="1:22" x14ac:dyDescent="0.2">
      <c r="A27" s="85">
        <v>13</v>
      </c>
      <c r="B27" s="3" t="s">
        <v>488</v>
      </c>
      <c r="C27" s="3">
        <v>13</v>
      </c>
      <c r="D27" s="3">
        <v>7</v>
      </c>
      <c r="L27" s="138" t="s">
        <v>356</v>
      </c>
      <c r="M27" s="139" t="s">
        <v>356</v>
      </c>
      <c r="N27" s="3">
        <v>0</v>
      </c>
      <c r="O27" s="3">
        <v>0</v>
      </c>
      <c r="P27" s="3">
        <v>128</v>
      </c>
      <c r="Q27" s="3" t="s">
        <v>433</v>
      </c>
      <c r="V27" s="3" t="s">
        <v>509</v>
      </c>
    </row>
    <row r="28" spans="1:22" x14ac:dyDescent="0.2">
      <c r="A28" s="85">
        <v>1</v>
      </c>
      <c r="B28" s="3" t="s">
        <v>489</v>
      </c>
      <c r="C28" s="3">
        <v>1</v>
      </c>
      <c r="D28" s="3">
        <v>1</v>
      </c>
      <c r="L28" s="140" t="s">
        <v>357</v>
      </c>
      <c r="M28" s="141" t="s">
        <v>357</v>
      </c>
      <c r="N28" s="3">
        <v>255</v>
      </c>
      <c r="O28" s="3">
        <v>0</v>
      </c>
      <c r="P28" s="3">
        <v>255</v>
      </c>
      <c r="Q28" s="3" t="s">
        <v>434</v>
      </c>
    </row>
    <row r="29" spans="1:22" x14ac:dyDescent="0.2">
      <c r="L29" s="142" t="s">
        <v>358</v>
      </c>
      <c r="M29" s="143" t="s">
        <v>358</v>
      </c>
      <c r="N29" s="3">
        <v>255</v>
      </c>
      <c r="O29" s="3">
        <v>255</v>
      </c>
      <c r="P29" s="3">
        <v>0</v>
      </c>
      <c r="Q29" s="3" t="s">
        <v>435</v>
      </c>
      <c r="V29" s="1" t="s">
        <v>510</v>
      </c>
    </row>
    <row r="30" spans="1:22" x14ac:dyDescent="0.2">
      <c r="L30" s="144" t="s">
        <v>359</v>
      </c>
      <c r="M30" s="145" t="s">
        <v>359</v>
      </c>
      <c r="N30" s="3">
        <v>0</v>
      </c>
      <c r="O30" s="3">
        <v>255</v>
      </c>
      <c r="P30" s="3">
        <v>255</v>
      </c>
      <c r="Q30" s="3" t="s">
        <v>436</v>
      </c>
      <c r="V30" s="3" t="s">
        <v>15</v>
      </c>
    </row>
    <row r="31" spans="1:22" x14ac:dyDescent="0.2">
      <c r="L31" s="146" t="s">
        <v>360</v>
      </c>
      <c r="M31" s="147" t="s">
        <v>360</v>
      </c>
      <c r="N31" s="3">
        <v>128</v>
      </c>
      <c r="O31" s="3">
        <v>0</v>
      </c>
      <c r="P31" s="3">
        <v>128</v>
      </c>
      <c r="Q31" s="3" t="s">
        <v>437</v>
      </c>
      <c r="V31" s="3" t="s">
        <v>16</v>
      </c>
    </row>
    <row r="32" spans="1:22" x14ac:dyDescent="0.2">
      <c r="L32" s="148" t="s">
        <v>361</v>
      </c>
      <c r="M32" s="149" t="s">
        <v>361</v>
      </c>
      <c r="N32" s="3">
        <v>128</v>
      </c>
      <c r="O32" s="3">
        <v>0</v>
      </c>
      <c r="P32" s="3">
        <v>0</v>
      </c>
      <c r="Q32" s="3" t="s">
        <v>438</v>
      </c>
      <c r="V32" s="3" t="s">
        <v>17</v>
      </c>
    </row>
    <row r="33" spans="12:22" x14ac:dyDescent="0.2">
      <c r="L33" s="150" t="s">
        <v>362</v>
      </c>
      <c r="M33" s="151" t="s">
        <v>362</v>
      </c>
      <c r="N33" s="3">
        <v>0</v>
      </c>
      <c r="O33" s="3">
        <v>128</v>
      </c>
      <c r="P33" s="3">
        <v>128</v>
      </c>
      <c r="Q33" s="3" t="s">
        <v>439</v>
      </c>
      <c r="V33" s="3" t="s">
        <v>18</v>
      </c>
    </row>
    <row r="34" spans="12:22" x14ac:dyDescent="0.2">
      <c r="L34" s="152" t="s">
        <v>363</v>
      </c>
      <c r="M34" s="153" t="s">
        <v>363</v>
      </c>
      <c r="N34" s="3">
        <v>0</v>
      </c>
      <c r="O34" s="3">
        <v>0</v>
      </c>
      <c r="P34" s="3">
        <v>255</v>
      </c>
      <c r="Q34" s="3" t="s">
        <v>440</v>
      </c>
      <c r="V34" s="3" t="s">
        <v>683</v>
      </c>
    </row>
    <row r="35" spans="12:22" x14ac:dyDescent="0.2">
      <c r="L35" s="154" t="s">
        <v>364</v>
      </c>
      <c r="M35" s="155" t="s">
        <v>364</v>
      </c>
      <c r="N35" s="3">
        <v>0</v>
      </c>
      <c r="O35" s="3">
        <v>204</v>
      </c>
      <c r="P35" s="3">
        <v>255</v>
      </c>
      <c r="Q35" s="3" t="s">
        <v>441</v>
      </c>
      <c r="V35" s="85" t="s">
        <v>533</v>
      </c>
    </row>
    <row r="36" spans="12:22" x14ac:dyDescent="0.2">
      <c r="L36" s="156" t="s">
        <v>365</v>
      </c>
      <c r="M36" s="157" t="s">
        <v>365</v>
      </c>
      <c r="N36" s="3">
        <v>204</v>
      </c>
      <c r="O36" s="3">
        <v>255</v>
      </c>
      <c r="P36" s="3">
        <v>255</v>
      </c>
      <c r="Q36" s="3" t="s">
        <v>442</v>
      </c>
      <c r="V36" s="3" t="s">
        <v>514</v>
      </c>
    </row>
    <row r="37" spans="12:22" x14ac:dyDescent="0.2">
      <c r="L37" s="158" t="s">
        <v>366</v>
      </c>
      <c r="M37" s="159" t="s">
        <v>366</v>
      </c>
      <c r="N37" s="3">
        <v>204</v>
      </c>
      <c r="O37" s="3">
        <v>255</v>
      </c>
      <c r="P37" s="3">
        <v>204</v>
      </c>
      <c r="Q37" s="3" t="s">
        <v>443</v>
      </c>
      <c r="V37" s="85" t="s">
        <v>513</v>
      </c>
    </row>
    <row r="38" spans="12:22" x14ac:dyDescent="0.2">
      <c r="L38" s="160" t="s">
        <v>367</v>
      </c>
      <c r="M38" s="161" t="s">
        <v>367</v>
      </c>
      <c r="N38" s="3">
        <v>255</v>
      </c>
      <c r="O38" s="3">
        <v>255</v>
      </c>
      <c r="P38" s="3">
        <v>153</v>
      </c>
      <c r="Q38" s="3" t="s">
        <v>444</v>
      </c>
      <c r="V38" s="3" t="s">
        <v>511</v>
      </c>
    </row>
    <row r="39" spans="12:22" x14ac:dyDescent="0.2">
      <c r="L39" s="162" t="s">
        <v>368</v>
      </c>
      <c r="M39" s="163" t="s">
        <v>368</v>
      </c>
      <c r="N39" s="3">
        <v>153</v>
      </c>
      <c r="O39" s="3">
        <v>204</v>
      </c>
      <c r="P39" s="3">
        <v>255</v>
      </c>
      <c r="Q39" s="3" t="s">
        <v>445</v>
      </c>
      <c r="V39" s="3" t="s">
        <v>512</v>
      </c>
    </row>
    <row r="40" spans="12:22" x14ac:dyDescent="0.2">
      <c r="L40" s="164" t="s">
        <v>369</v>
      </c>
      <c r="M40" s="165" t="s">
        <v>369</v>
      </c>
      <c r="N40" s="3">
        <v>255</v>
      </c>
      <c r="O40" s="3">
        <v>153</v>
      </c>
      <c r="P40" s="3">
        <v>204</v>
      </c>
      <c r="Q40" s="3" t="s">
        <v>446</v>
      </c>
    </row>
    <row r="41" spans="12:22" x14ac:dyDescent="0.2">
      <c r="L41" s="166" t="s">
        <v>370</v>
      </c>
      <c r="M41" s="167" t="s">
        <v>370</v>
      </c>
      <c r="N41" s="3">
        <v>204</v>
      </c>
      <c r="O41" s="3">
        <v>153</v>
      </c>
      <c r="P41" s="3">
        <v>255</v>
      </c>
      <c r="Q41" s="3" t="s">
        <v>447</v>
      </c>
    </row>
    <row r="42" spans="12:22" x14ac:dyDescent="0.2">
      <c r="L42" s="168" t="s">
        <v>371</v>
      </c>
      <c r="M42" s="169" t="s">
        <v>371</v>
      </c>
      <c r="N42" s="3">
        <v>255</v>
      </c>
      <c r="O42" s="3">
        <v>204</v>
      </c>
      <c r="P42" s="3">
        <v>153</v>
      </c>
      <c r="Q42" s="3" t="s">
        <v>448</v>
      </c>
    </row>
    <row r="43" spans="12:22" x14ac:dyDescent="0.2">
      <c r="L43" s="170" t="s">
        <v>372</v>
      </c>
      <c r="M43" s="171" t="s">
        <v>372</v>
      </c>
      <c r="N43" s="3">
        <v>51</v>
      </c>
      <c r="O43" s="3">
        <v>102</v>
      </c>
      <c r="P43" s="3">
        <v>255</v>
      </c>
      <c r="Q43" s="3" t="s">
        <v>449</v>
      </c>
    </row>
    <row r="44" spans="12:22" x14ac:dyDescent="0.2">
      <c r="L44" s="172" t="s">
        <v>373</v>
      </c>
      <c r="M44" s="173" t="s">
        <v>373</v>
      </c>
      <c r="N44" s="3">
        <v>51</v>
      </c>
      <c r="O44" s="3">
        <v>204</v>
      </c>
      <c r="P44" s="3">
        <v>204</v>
      </c>
      <c r="Q44" s="3" t="s">
        <v>450</v>
      </c>
    </row>
    <row r="45" spans="12:22" x14ac:dyDescent="0.2">
      <c r="L45" s="174" t="s">
        <v>374</v>
      </c>
      <c r="M45" s="175" t="s">
        <v>374</v>
      </c>
      <c r="N45" s="3">
        <v>153</v>
      </c>
      <c r="O45" s="3">
        <v>204</v>
      </c>
      <c r="P45" s="3">
        <v>0</v>
      </c>
      <c r="Q45" s="3" t="s">
        <v>451</v>
      </c>
    </row>
    <row r="46" spans="12:22" x14ac:dyDescent="0.2">
      <c r="L46" s="176" t="s">
        <v>375</v>
      </c>
      <c r="M46" s="177" t="s">
        <v>375</v>
      </c>
      <c r="N46" s="3">
        <v>255</v>
      </c>
      <c r="O46" s="3">
        <v>204</v>
      </c>
      <c r="P46" s="3">
        <v>0</v>
      </c>
      <c r="Q46" s="3" t="s">
        <v>452</v>
      </c>
    </row>
    <row r="47" spans="12:22" x14ac:dyDescent="0.2">
      <c r="L47" s="178" t="s">
        <v>376</v>
      </c>
      <c r="M47" s="179" t="s">
        <v>376</v>
      </c>
      <c r="N47" s="3">
        <v>255</v>
      </c>
      <c r="O47" s="3">
        <v>153</v>
      </c>
      <c r="P47" s="3">
        <v>0</v>
      </c>
      <c r="Q47" s="3" t="s">
        <v>453</v>
      </c>
    </row>
    <row r="48" spans="12:22" x14ac:dyDescent="0.2">
      <c r="L48" s="180" t="s">
        <v>377</v>
      </c>
      <c r="M48" s="77" t="s">
        <v>377</v>
      </c>
      <c r="N48" s="3">
        <v>255</v>
      </c>
      <c r="O48" s="3">
        <v>102</v>
      </c>
      <c r="P48" s="3">
        <v>0</v>
      </c>
      <c r="Q48" s="3" t="s">
        <v>454</v>
      </c>
    </row>
    <row r="49" spans="12:17" x14ac:dyDescent="0.2">
      <c r="L49" s="181" t="s">
        <v>378</v>
      </c>
      <c r="M49" s="182" t="s">
        <v>378</v>
      </c>
      <c r="N49" s="3">
        <v>102</v>
      </c>
      <c r="O49" s="3">
        <v>102</v>
      </c>
      <c r="P49" s="3">
        <v>153</v>
      </c>
      <c r="Q49" s="3" t="s">
        <v>455</v>
      </c>
    </row>
    <row r="50" spans="12:17" x14ac:dyDescent="0.2">
      <c r="L50" s="183" t="s">
        <v>379</v>
      </c>
      <c r="M50" s="184" t="s">
        <v>379</v>
      </c>
      <c r="N50" s="3">
        <v>150</v>
      </c>
      <c r="O50" s="3">
        <v>150</v>
      </c>
      <c r="P50" s="3">
        <v>150</v>
      </c>
      <c r="Q50" s="3" t="s">
        <v>456</v>
      </c>
    </row>
    <row r="51" spans="12:17" x14ac:dyDescent="0.2">
      <c r="L51" s="185" t="s">
        <v>380</v>
      </c>
      <c r="M51" s="186" t="s">
        <v>380</v>
      </c>
      <c r="N51" s="3">
        <v>0</v>
      </c>
      <c r="O51" s="3">
        <v>51</v>
      </c>
      <c r="P51" s="3">
        <v>102</v>
      </c>
      <c r="Q51" s="3" t="s">
        <v>457</v>
      </c>
    </row>
    <row r="52" spans="12:17" x14ac:dyDescent="0.2">
      <c r="L52" s="187" t="s">
        <v>381</v>
      </c>
      <c r="M52" s="188" t="s">
        <v>381</v>
      </c>
      <c r="N52" s="3">
        <v>51</v>
      </c>
      <c r="O52" s="3">
        <v>153</v>
      </c>
      <c r="P52" s="3">
        <v>102</v>
      </c>
      <c r="Q52" s="3" t="s">
        <v>458</v>
      </c>
    </row>
    <row r="53" spans="12:17" x14ac:dyDescent="0.2">
      <c r="L53" s="189" t="s">
        <v>382</v>
      </c>
      <c r="M53" s="190" t="s">
        <v>382</v>
      </c>
      <c r="N53" s="3">
        <v>0</v>
      </c>
      <c r="O53" s="3">
        <v>51</v>
      </c>
      <c r="P53" s="3">
        <v>0</v>
      </c>
      <c r="Q53" s="3" t="s">
        <v>459</v>
      </c>
    </row>
    <row r="54" spans="12:17" x14ac:dyDescent="0.2">
      <c r="L54" s="191" t="s">
        <v>383</v>
      </c>
      <c r="M54" s="192" t="s">
        <v>383</v>
      </c>
      <c r="N54" s="3">
        <v>51</v>
      </c>
      <c r="O54" s="3">
        <v>51</v>
      </c>
      <c r="P54" s="3">
        <v>0</v>
      </c>
      <c r="Q54" s="3" t="s">
        <v>460</v>
      </c>
    </row>
    <row r="55" spans="12:17" x14ac:dyDescent="0.2">
      <c r="L55" s="193" t="s">
        <v>384</v>
      </c>
      <c r="M55" s="194" t="s">
        <v>384</v>
      </c>
      <c r="N55" s="3">
        <v>153</v>
      </c>
      <c r="O55" s="3">
        <v>51</v>
      </c>
      <c r="P55" s="3">
        <v>0</v>
      </c>
      <c r="Q55" s="3" t="s">
        <v>461</v>
      </c>
    </row>
    <row r="56" spans="12:17" x14ac:dyDescent="0.2">
      <c r="L56" s="195" t="s">
        <v>385</v>
      </c>
      <c r="M56" s="196" t="s">
        <v>385</v>
      </c>
      <c r="N56" s="3">
        <v>153</v>
      </c>
      <c r="O56" s="3">
        <v>51</v>
      </c>
      <c r="P56" s="3">
        <v>102</v>
      </c>
      <c r="Q56" s="3" t="s">
        <v>462</v>
      </c>
    </row>
    <row r="57" spans="12:17" x14ac:dyDescent="0.2">
      <c r="L57" s="197" t="s">
        <v>386</v>
      </c>
      <c r="M57" s="198" t="s">
        <v>386</v>
      </c>
      <c r="N57" s="3">
        <v>51</v>
      </c>
      <c r="O57" s="3">
        <v>51</v>
      </c>
      <c r="P57" s="3">
        <v>153</v>
      </c>
      <c r="Q57" s="3" t="s">
        <v>463</v>
      </c>
    </row>
    <row r="58" spans="12:17" x14ac:dyDescent="0.2">
      <c r="L58" s="199" t="s">
        <v>387</v>
      </c>
      <c r="M58" s="200" t="s">
        <v>387</v>
      </c>
      <c r="N58" s="3">
        <v>51</v>
      </c>
      <c r="O58" s="3">
        <v>51</v>
      </c>
      <c r="P58" s="3">
        <v>51</v>
      </c>
      <c r="Q58" s="3" t="s">
        <v>464</v>
      </c>
    </row>
  </sheetData>
  <sheetProtection sheet="1" objects="1" scenarios="1"/>
  <phoneticPr fontId="18" type="noConversion"/>
  <dataValidations count="1">
    <dataValidation type="list" allowBlank="1" showInputMessage="1" showErrorMessage="1" sqref="A1" xr:uid="{00000000-0002-0000-0300-000000000000}">
      <formula1>$T$2:$T$3</formula1>
    </dataValidation>
  </dataValidations>
  <hyperlinks>
    <hyperlink ref="L1" r:id="rId1" xr:uid="{00000000-0004-0000-0300-000000000000}"/>
  </hyperlinks>
  <pageMargins left="0.7" right="0.7" top="0.75" bottom="0.75" header="0.3" footer="0.3"/>
  <pageSetup paperSize="9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9">
    <pageSetUpPr fitToPage="1"/>
  </sheetPr>
  <dimension ref="B1:BG1007"/>
  <sheetViews>
    <sheetView workbookViewId="0">
      <pane ySplit="4" topLeftCell="A5" activePane="bottomLeft" state="frozen"/>
      <selection activeCell="Q1" sqref="Q1"/>
      <selection pane="bottomLeft"/>
    </sheetView>
  </sheetViews>
  <sheetFormatPr defaultColWidth="9.140625" defaultRowHeight="12.75" x14ac:dyDescent="0.2"/>
  <cols>
    <col min="1" max="1" width="3.140625" style="3" customWidth="1"/>
    <col min="2" max="2" width="5.7109375" style="4" customWidth="1"/>
    <col min="3" max="3" width="7.28515625" style="3" customWidth="1"/>
    <col min="4" max="4" width="7.85546875" style="3" customWidth="1"/>
    <col min="5" max="5" width="7.28515625" style="3" customWidth="1"/>
    <col min="6" max="6" width="8.28515625" style="209" customWidth="1"/>
    <col min="7" max="17" width="7.28515625" style="3" customWidth="1"/>
    <col min="18" max="18" width="7.28515625" style="4" customWidth="1"/>
    <col min="19" max="19" width="8.28515625" style="4" customWidth="1"/>
    <col min="20" max="20" width="6.42578125" style="4" customWidth="1"/>
    <col min="21" max="22" width="9.140625" style="3"/>
    <col min="23" max="23" width="5.5703125" style="3" customWidth="1"/>
    <col min="24" max="24" width="6.5703125" style="3" customWidth="1"/>
    <col min="25" max="25" width="6.28515625" style="3" customWidth="1"/>
    <col min="26" max="26" width="8.85546875" style="3" customWidth="1"/>
    <col min="27" max="44" width="9.140625" style="3"/>
    <col min="45" max="45" width="13.140625" style="3" bestFit="1" customWidth="1"/>
    <col min="46" max="16384" width="9.140625" style="3"/>
  </cols>
  <sheetData>
    <row r="1" spans="2:59" x14ac:dyDescent="0.2">
      <c r="B1" s="84" t="s">
        <v>726</v>
      </c>
      <c r="F1" s="3"/>
      <c r="R1" s="3" t="s">
        <v>946</v>
      </c>
      <c r="S1" s="3"/>
      <c r="T1" s="3"/>
      <c r="U1" s="47" t="s">
        <v>718</v>
      </c>
      <c r="V1" s="3">
        <f>IMABS(AE2)/IMABS(AF2)</f>
        <v>0.97513651518627387</v>
      </c>
      <c r="X1" s="253"/>
      <c r="Y1" s="28">
        <v>1</v>
      </c>
      <c r="Z1" s="3" t="s">
        <v>125</v>
      </c>
      <c r="AA1" s="47" t="s">
        <v>715</v>
      </c>
      <c r="AB1" s="252">
        <f>IF($AL$3="Y",AL6,#REF!)</f>
        <v>3</v>
      </c>
      <c r="AC1" s="1" t="s">
        <v>723</v>
      </c>
      <c r="AD1" s="41" t="s">
        <v>722</v>
      </c>
      <c r="AE1" s="41" t="s">
        <v>724</v>
      </c>
      <c r="AF1" s="41" t="s">
        <v>725</v>
      </c>
      <c r="AG1" s="3" t="s">
        <v>321</v>
      </c>
      <c r="AH1" s="41"/>
      <c r="AK1" s="47"/>
      <c r="AL1" s="5"/>
      <c r="AM1" s="1" t="s">
        <v>63</v>
      </c>
      <c r="AT1" s="65"/>
      <c r="AU1" s="47" t="s">
        <v>60</v>
      </c>
      <c r="AV1" s="3" t="e">
        <f>IF(#REF!&gt;0,AV2,SQRT(3)*AV2)</f>
        <v>#REF!</v>
      </c>
      <c r="AX1" s="3" t="e">
        <f>#REF!</f>
        <v>#REF!</v>
      </c>
      <c r="AY1" s="3" t="e">
        <f>#REF!</f>
        <v>#REF!</v>
      </c>
      <c r="BG1" s="47"/>
    </row>
    <row r="2" spans="2:59" x14ac:dyDescent="0.2">
      <c r="D2" s="47" t="s">
        <v>608</v>
      </c>
      <c r="E2" s="41">
        <v>4</v>
      </c>
      <c r="F2" s="47" t="s">
        <v>84</v>
      </c>
      <c r="G2" s="41">
        <v>48</v>
      </c>
      <c r="H2" s="47" t="s">
        <v>86</v>
      </c>
      <c r="I2" s="41">
        <v>12</v>
      </c>
      <c r="J2" s="47" t="s">
        <v>941</v>
      </c>
      <c r="K2" s="261">
        <v>1</v>
      </c>
      <c r="L2" s="47" t="s">
        <v>727</v>
      </c>
      <c r="M2" s="207" t="s">
        <v>937</v>
      </c>
      <c r="R2" s="4" t="s">
        <v>924</v>
      </c>
      <c r="S2" s="4" t="str">
        <f>IF(S3="+","Nincs","Van")</f>
        <v>Nincs</v>
      </c>
      <c r="T2" s="201"/>
      <c r="U2" s="41" t="s">
        <v>319</v>
      </c>
      <c r="V2" s="41" t="s">
        <v>320</v>
      </c>
      <c r="W2" s="74" t="s">
        <v>766</v>
      </c>
      <c r="X2" s="85"/>
      <c r="Y2" s="28">
        <v>50</v>
      </c>
      <c r="Z2" s="3" t="s">
        <v>916</v>
      </c>
      <c r="AA2" s="47" t="s">
        <v>716</v>
      </c>
      <c r="AB2" s="252">
        <f>IF($AL$3="Y",AL8,#REF!)</f>
        <v>1.5</v>
      </c>
      <c r="AC2" s="3" t="str">
        <f>COMPLEX(0,AB3)</f>
        <v>15i</v>
      </c>
      <c r="AD2" s="3" t="str">
        <f>IMDIV(IMPRODUCT(COMPLEX(AB1,AB2),COMPLEX(0,AB3)),COMPLEX(AB1,AB2+AB3))</f>
        <v>2.4+1.8i</v>
      </c>
      <c r="AE2" s="3" t="str">
        <f>IMSUB(AD3,AD2)</f>
        <v>0.00487201477315002+0.12350932505198i</v>
      </c>
      <c r="AF2" s="3" t="str">
        <f>IMSUB(AC3,AC2)</f>
        <v>0.126757000505499i</v>
      </c>
      <c r="AH2" s="3" t="s">
        <v>56</v>
      </c>
      <c r="AJ2" s="4" t="s">
        <v>119</v>
      </c>
      <c r="AK2" s="47" t="s">
        <v>40</v>
      </c>
      <c r="AL2" s="3" t="e">
        <f>IMREAL(AT2)/AV2</f>
        <v>#REF!</v>
      </c>
      <c r="AM2" s="47" t="s">
        <v>285</v>
      </c>
      <c r="AN2" s="90">
        <f>IF($AL$3="Y",AL5,#REF!)</f>
        <v>1.2</v>
      </c>
      <c r="AO2" s="47" t="s">
        <v>284</v>
      </c>
      <c r="AP2" s="3" t="str">
        <f>COMPLEX(AN2,AN3)</f>
        <v>1.2+i</v>
      </c>
      <c r="AQ2" s="47" t="s">
        <v>61</v>
      </c>
      <c r="AR2" s="3" t="str">
        <f>COMPLEX(SUM(AP5:AP404),SUM(AQ5:AQ404))</f>
        <v>2.40487201477315+1.92350932505198i</v>
      </c>
      <c r="AS2" s="47" t="s">
        <v>59</v>
      </c>
      <c r="AT2" s="3" t="e">
        <f>IMDIV(AP3,AR3)</f>
        <v>#REF!</v>
      </c>
      <c r="AU2" s="47" t="s">
        <v>58</v>
      </c>
      <c r="AV2" s="3" t="e">
        <f>IMABS(AT2)</f>
        <v>#REF!</v>
      </c>
      <c r="AX2" s="3" t="e">
        <f>#REF!</f>
        <v>#REF!</v>
      </c>
      <c r="AY2" s="3" t="e">
        <f>#REF!</f>
        <v>#REF!</v>
      </c>
      <c r="BC2" s="47"/>
      <c r="BE2" s="47"/>
      <c r="BG2" s="47"/>
    </row>
    <row r="3" spans="2:59" x14ac:dyDescent="0.2">
      <c r="B3" s="202" t="str">
        <f>E2&amp;"pólus-&gt;"</f>
        <v>4pólus-&gt;</v>
      </c>
      <c r="C3" s="4">
        <v>0.9576621969425485</v>
      </c>
      <c r="D3" s="47" t="s">
        <v>708</v>
      </c>
      <c r="E3" s="59">
        <v>800</v>
      </c>
      <c r="F3" s="3">
        <v>8.8958444626856537E-3</v>
      </c>
      <c r="G3" s="203" t="str">
        <f>"&lt;-"&amp;E2&amp;"pólus"</f>
        <v>&lt;-4pólus</v>
      </c>
      <c r="H3" s="47" t="s">
        <v>83</v>
      </c>
      <c r="I3" s="41">
        <v>3</v>
      </c>
      <c r="M3" s="47" t="s">
        <v>794</v>
      </c>
      <c r="N3" s="59">
        <v>5</v>
      </c>
      <c r="O3" s="59">
        <v>0</v>
      </c>
      <c r="Q3" s="47" t="s">
        <v>709</v>
      </c>
      <c r="R3" s="4" t="s">
        <v>168</v>
      </c>
      <c r="S3" s="4" t="s">
        <v>168</v>
      </c>
      <c r="T3" s="4">
        <v>1</v>
      </c>
      <c r="V3" s="3">
        <v>7.3160002778712343</v>
      </c>
      <c r="W3" s="74" t="s">
        <v>767</v>
      </c>
      <c r="X3" s="85"/>
      <c r="Y3" s="28">
        <f>120*Y2/E2</f>
        <v>1500</v>
      </c>
      <c r="Z3" s="3" t="s">
        <v>917</v>
      </c>
      <c r="AA3" s="47" t="s">
        <v>717</v>
      </c>
      <c r="AB3" s="252">
        <f>IF($AL$3="Y",AL9,#REF!)</f>
        <v>15</v>
      </c>
      <c r="AC3" s="3" t="str">
        <f>COMPLEX(0,SUM(AC5:AC6000))</f>
        <v>15.1267570005055i</v>
      </c>
      <c r="AD3" s="3" t="str">
        <f>COMPLEX(SUM(AE5:AE404),SUM(AF5:AF404))</f>
        <v>2.40487201477315+1.92350932505198i</v>
      </c>
      <c r="AH3" s="3" t="s">
        <v>55</v>
      </c>
      <c r="AJ3" s="4" t="s">
        <v>121</v>
      </c>
      <c r="AK3" s="47" t="s">
        <v>51</v>
      </c>
      <c r="AL3" s="59" t="s">
        <v>119</v>
      </c>
      <c r="AM3" s="47" t="s">
        <v>286</v>
      </c>
      <c r="AN3" s="90">
        <f>IF($AL$3="Y",AL7,#REF!)</f>
        <v>1</v>
      </c>
      <c r="AO3" s="47" t="s">
        <v>287</v>
      </c>
      <c r="AP3" s="3" t="e">
        <f>COMPLEX(IF(#REF!&gt;0,#REF!/SQRT(3),#REF!),0)</f>
        <v>#REF!</v>
      </c>
      <c r="AQ3" s="47" t="s">
        <v>84</v>
      </c>
      <c r="AR3" s="3" t="str">
        <f>IMSUM(AP2,AR2)</f>
        <v>3.60487201477315+2.92350932505198i</v>
      </c>
      <c r="AU3" s="47" t="s">
        <v>289</v>
      </c>
      <c r="AV3" s="3" t="e">
        <f>SUM(AS5:AS404)</f>
        <v>#REF!</v>
      </c>
      <c r="AX3" s="3" t="e">
        <f>#REF!</f>
        <v>#REF!</v>
      </c>
      <c r="AY3" s="3" t="e">
        <f>#REF!</f>
        <v>#REF!</v>
      </c>
      <c r="BC3" s="47"/>
      <c r="BG3" s="47"/>
    </row>
    <row r="4" spans="2:59" ht="14.25" x14ac:dyDescent="0.25">
      <c r="B4" s="204" t="s">
        <v>69</v>
      </c>
      <c r="C4" s="201" t="s">
        <v>19</v>
      </c>
      <c r="D4" s="201" t="s">
        <v>20</v>
      </c>
      <c r="E4" s="201" t="s">
        <v>21</v>
      </c>
      <c r="F4" s="201" t="s">
        <v>22</v>
      </c>
      <c r="G4" s="204" t="s">
        <v>490</v>
      </c>
      <c r="H4" s="204" t="s">
        <v>491</v>
      </c>
      <c r="I4" s="204" t="s">
        <v>701</v>
      </c>
      <c r="J4" s="204" t="s">
        <v>702</v>
      </c>
      <c r="K4" s="204" t="s">
        <v>703</v>
      </c>
      <c r="L4" s="204" t="s">
        <v>704</v>
      </c>
      <c r="M4" s="204" t="s">
        <v>705</v>
      </c>
      <c r="N4" s="204" t="s">
        <v>706</v>
      </c>
      <c r="O4" s="201" t="s">
        <v>23</v>
      </c>
      <c r="P4" s="201" t="s">
        <v>24</v>
      </c>
      <c r="Q4" s="201" t="s">
        <v>25</v>
      </c>
      <c r="R4" s="205" t="s">
        <v>770</v>
      </c>
      <c r="S4" s="204"/>
      <c r="T4" s="41" t="s">
        <v>588</v>
      </c>
      <c r="U4" s="41" t="s">
        <v>317</v>
      </c>
      <c r="V4" s="41" t="s">
        <v>318</v>
      </c>
      <c r="W4" s="206" t="s">
        <v>771</v>
      </c>
      <c r="X4" s="207" t="s">
        <v>772</v>
      </c>
      <c r="Y4" s="4" t="s">
        <v>270</v>
      </c>
      <c r="Z4" s="4" t="s">
        <v>271</v>
      </c>
      <c r="AA4" s="41" t="s">
        <v>719</v>
      </c>
      <c r="AB4" s="41" t="s">
        <v>720</v>
      </c>
      <c r="AC4" s="41" t="s">
        <v>721</v>
      </c>
      <c r="AD4" s="41" t="s">
        <v>45</v>
      </c>
      <c r="AE4" s="41" t="s">
        <v>728</v>
      </c>
      <c r="AF4" s="41" t="s">
        <v>729</v>
      </c>
      <c r="AG4" s="41"/>
      <c r="AH4" s="3" t="s">
        <v>322</v>
      </c>
      <c r="AI4" s="3" t="s">
        <v>52</v>
      </c>
      <c r="AJ4" s="255" t="s">
        <v>323</v>
      </c>
      <c r="AK4" s="3" t="s">
        <v>53</v>
      </c>
      <c r="AM4" s="3" t="s">
        <v>82</v>
      </c>
      <c r="AN4" s="3" t="s">
        <v>288</v>
      </c>
      <c r="AO4" s="4" t="s">
        <v>283</v>
      </c>
      <c r="AP4" s="4" t="s">
        <v>62</v>
      </c>
      <c r="AQ4" s="4" t="s">
        <v>81</v>
      </c>
      <c r="AR4" s="237" t="s">
        <v>496</v>
      </c>
      <c r="AS4" s="4" t="s">
        <v>64</v>
      </c>
      <c r="AT4" s="4" t="s">
        <v>675</v>
      </c>
      <c r="AU4" s="4" t="s">
        <v>521</v>
      </c>
      <c r="AV4" s="4" t="s">
        <v>522</v>
      </c>
      <c r="AW4" s="4" t="s">
        <v>69</v>
      </c>
      <c r="AX4" s="3" t="e">
        <f>#REF!</f>
        <v>#REF!</v>
      </c>
      <c r="AY4" s="3" t="e">
        <f>#REF!</f>
        <v>#REF!</v>
      </c>
      <c r="BA4" s="4"/>
      <c r="BB4" s="4"/>
      <c r="BC4" s="4"/>
      <c r="BD4" s="4"/>
      <c r="BE4" s="237"/>
      <c r="BF4" s="4"/>
    </row>
    <row r="5" spans="2:59" x14ac:dyDescent="0.2">
      <c r="B5" s="4">
        <v>2</v>
      </c>
      <c r="C5" s="208">
        <v>4.4194173824159217E-8</v>
      </c>
      <c r="D5" s="208">
        <v>4.4194173824159217E-8</v>
      </c>
      <c r="E5" s="208">
        <v>4.4194173824159217E-8</v>
      </c>
      <c r="F5" s="209" t="s">
        <v>714</v>
      </c>
      <c r="G5" s="208">
        <v>1.6290702935891063E-15</v>
      </c>
      <c r="H5" s="210">
        <v>2.2267225693205188E-14</v>
      </c>
      <c r="I5" s="208">
        <v>9.8408164286729426E-24</v>
      </c>
      <c r="J5" s="208">
        <v>9.8408164286729426E-24</v>
      </c>
      <c r="K5" s="208">
        <v>9.8408164286729426E-24</v>
      </c>
      <c r="L5" s="208">
        <v>0</v>
      </c>
      <c r="M5" s="208">
        <v>0</v>
      </c>
      <c r="N5" s="208">
        <v>0</v>
      </c>
      <c r="O5" s="3">
        <v>360</v>
      </c>
      <c r="P5" s="3">
        <v>360</v>
      </c>
      <c r="Q5" s="3">
        <v>360</v>
      </c>
      <c r="S5" s="4">
        <v>0</v>
      </c>
      <c r="T5" s="4">
        <v>0.5</v>
      </c>
      <c r="U5" s="210"/>
      <c r="V5" s="210">
        <v>2.2267225693205185E-14</v>
      </c>
      <c r="W5" s="3">
        <v>0</v>
      </c>
      <c r="X5" s="3">
        <v>0</v>
      </c>
      <c r="Y5" s="3">
        <f>IF($S$3="+",IF(X5&gt;W5,1-B5/$E$2*(1-$Y$1),1+B5/$E$2*(1-$Y$1)),IF(W5&gt;X5,1-B5/$E$2*(1-$Y$1),1+B5/$E$2*(1-$Y$1)))</f>
        <v>1</v>
      </c>
      <c r="Z5" s="3">
        <f>2-Y5</f>
        <v>1</v>
      </c>
      <c r="AA5" s="3" t="str">
        <f>IF(R5="","",$AB$1*(C5/$C$3)^2)</f>
        <v/>
      </c>
      <c r="AB5" s="3" t="str">
        <f>IF(R5="","",$AB$2*(C5/$C$3)^2)</f>
        <v/>
      </c>
      <c r="AC5" s="3" t="str">
        <f>IF(R5="","",$AB$3*(C5/$C$3/T5)^2)</f>
        <v/>
      </c>
      <c r="AD5" s="3" t="str">
        <f t="shared" ref="AD5:AD68" si="0">IF(R5="",COMPLEX(0,0),IMDIV(IMPRODUCT(COMPLEX(AA5,AB5),COMPLEX(0,AC5)),COMPLEX(AA5,AB5+AC5)))</f>
        <v>0</v>
      </c>
      <c r="AE5" s="3">
        <f t="shared" ref="AE5:AE68" si="1">IMREAL(AD5)</f>
        <v>0</v>
      </c>
      <c r="AF5" s="3">
        <f t="shared" ref="AF5:AF68" si="2">IMAGINARY(AD5)</f>
        <v>0</v>
      </c>
      <c r="AH5" s="3">
        <f>C5*$E$2/($C$3*B5)*100</f>
        <v>9.2295955641257269E-6</v>
      </c>
      <c r="AI5" s="3">
        <f>INDEX(C5:E404,E2*5/2,1)</f>
        <v>0.20533495396307255</v>
      </c>
      <c r="AJ5" s="254">
        <v>1.2</v>
      </c>
      <c r="AK5" s="47" t="s">
        <v>285</v>
      </c>
      <c r="AL5" s="54">
        <v>1.2</v>
      </c>
      <c r="AM5" s="3" t="str">
        <f t="shared" ref="AM5:AM68" si="3">IF(R5="","",IMPRODUCT(COMPLEX(AA5,Y5*AB5),COMPLEX(0,AC5)))</f>
        <v/>
      </c>
      <c r="AN5" s="3" t="str">
        <f t="shared" ref="AN5:AN68" si="4">IF(R5="","",COMPLEX(AA5,Y5*(AB5+AC5)))</f>
        <v/>
      </c>
      <c r="AO5" s="3" t="str">
        <f t="shared" ref="AO5:AO68" si="5">IF(R5="","",IMDIV(AM5,AN5))</f>
        <v/>
      </c>
      <c r="AP5" s="3">
        <f t="shared" ref="AP5:AP68" si="6">IF(R5="",0,IMREAL(AO5))</f>
        <v>0</v>
      </c>
      <c r="AQ5" s="3">
        <f t="shared" ref="AQ5:AQ68" si="7">IF(R5="",0,IMAGINARY(AO5))</f>
        <v>0</v>
      </c>
      <c r="AR5" s="3">
        <f>IF(R5="",0,IF(X5&gt;W5,1,-1)*2*PI()*$Y$2/(B5/2))</f>
        <v>0</v>
      </c>
      <c r="AS5" s="3" t="e">
        <f>IF(OR(R5="",S5=0),0,3*$AV$2^2*AP5/AR5)*AX5</f>
        <v>#REF!</v>
      </c>
      <c r="AT5" s="3" t="str">
        <f t="shared" ref="AT5:AT68" si="8">IF(R5="","",IMDIV($AP$3,IMSUM(AO5,$AP$2)))</f>
        <v/>
      </c>
      <c r="AU5" s="3">
        <f t="shared" ref="AU5:AU68" si="9">IF(R5="",0,IMREAL(AT5))</f>
        <v>0</v>
      </c>
      <c r="AV5" s="3">
        <f t="shared" ref="AV5:AV68" si="10">IF(R5="",0,IMAGINARY(AT5))</f>
        <v>0</v>
      </c>
      <c r="AW5" s="3">
        <v>2</v>
      </c>
      <c r="AX5" s="3" t="e">
        <f>IF(AND(#REF!="N",OR(AW5=$AX$1,AW5=$AX$2,AW5=$AX$3,AW5=$AX$4,AW5=$AY$1,AW5=$AY$2,AW5=$AY$3,AW5=$AY$4)),0,1)</f>
        <v>#REF!</v>
      </c>
    </row>
    <row r="6" spans="2:59" x14ac:dyDescent="0.2">
      <c r="B6" s="4">
        <v>4</v>
      </c>
      <c r="C6" s="208">
        <v>0.9576621969425485</v>
      </c>
      <c r="D6" s="208">
        <v>0.95766219694254862</v>
      </c>
      <c r="E6" s="208">
        <v>0.95766219694254839</v>
      </c>
      <c r="F6" s="209">
        <v>8.8958444626856537E-3</v>
      </c>
      <c r="G6" s="208">
        <v>7.3160002778712343</v>
      </c>
      <c r="H6" s="210">
        <v>100</v>
      </c>
      <c r="I6" s="208">
        <v>0.9576621969425485</v>
      </c>
      <c r="J6" s="208">
        <v>0.95766219694254862</v>
      </c>
      <c r="K6" s="208">
        <v>0.95766219694254839</v>
      </c>
      <c r="L6" s="208">
        <v>1.6587195815925264</v>
      </c>
      <c r="M6" s="208">
        <v>1.6587195815925262</v>
      </c>
      <c r="N6" s="208">
        <v>1.6587195815925264</v>
      </c>
      <c r="O6" s="3">
        <v>240</v>
      </c>
      <c r="P6" s="3">
        <v>240</v>
      </c>
      <c r="Q6" s="3">
        <v>240</v>
      </c>
      <c r="R6" s="4" t="s">
        <v>168</v>
      </c>
      <c r="S6" s="4" t="s">
        <v>168</v>
      </c>
      <c r="T6" s="4">
        <v>1</v>
      </c>
      <c r="U6" s="210"/>
      <c r="V6" s="210">
        <v>100</v>
      </c>
      <c r="W6" s="3">
        <v>0</v>
      </c>
      <c r="X6" s="3">
        <v>99.999999999999915</v>
      </c>
      <c r="Y6" s="3">
        <f t="shared" ref="Y6:Y69" si="11">IF($S$3="+",IF(X6&gt;W6,1-B6/$E$2*(1-$Y$1),1+B6/$E$2*(1-$Y$1)),IF(W6&gt;X6,1-B6/$E$2*(1-$Y$1),1+B6/$E$2*(1-$Y$1)))</f>
        <v>1</v>
      </c>
      <c r="Z6" s="3">
        <f t="shared" ref="Z6:Z69" si="12">2-Y6</f>
        <v>1</v>
      </c>
      <c r="AA6" s="3">
        <f t="shared" ref="AA6:AA68" si="13">IF(R6="","",$AB$1*(C6/$C$3)^2)</f>
        <v>3</v>
      </c>
      <c r="AB6" s="3">
        <f t="shared" ref="AB6:AB68" si="14">IF(R6="","",$AB$2*(C6/$C$3)^2)</f>
        <v>1.5</v>
      </c>
      <c r="AC6" s="3">
        <f t="shared" ref="AC6:AC68" si="15">IF(R6="","",$AB$3*(C6/$C$3/T6)^2)</f>
        <v>15</v>
      </c>
      <c r="AD6" s="3" t="str">
        <f t="shared" si="0"/>
        <v>2.4+1.8i</v>
      </c>
      <c r="AE6" s="3">
        <f t="shared" si="1"/>
        <v>2.4</v>
      </c>
      <c r="AF6" s="3">
        <f t="shared" si="2"/>
        <v>1.8</v>
      </c>
      <c r="AH6" s="3">
        <f t="shared" ref="AH6:AH15" si="16">C6*$E$2/($C$3*B6)*100</f>
        <v>100</v>
      </c>
      <c r="AI6" s="3">
        <f>INDEX(C5:E404,E2*5/2,2)</f>
        <v>0.2053349539630725</v>
      </c>
      <c r="AJ6" s="254">
        <v>3</v>
      </c>
      <c r="AK6" s="47" t="s">
        <v>715</v>
      </c>
      <c r="AL6" s="54">
        <v>3</v>
      </c>
      <c r="AM6" s="3" t="str">
        <f t="shared" si="3"/>
        <v>-22.5+45i</v>
      </c>
      <c r="AN6" s="3" t="str">
        <f t="shared" si="4"/>
        <v>3+16.5i</v>
      </c>
      <c r="AO6" s="3" t="str">
        <f t="shared" si="5"/>
        <v>2.4+1.8i</v>
      </c>
      <c r="AP6" s="3">
        <f t="shared" si="6"/>
        <v>2.4</v>
      </c>
      <c r="AQ6" s="3">
        <f t="shared" si="7"/>
        <v>1.8</v>
      </c>
      <c r="AR6" s="3">
        <f t="shared" ref="AR6:AR69" si="17">IF(R6="",0,IF(X6&gt;W6,1,-1)*2*PI()*$Y$2/(B6/2))</f>
        <v>157.07963267948966</v>
      </c>
      <c r="AS6" s="3" t="e">
        <f t="shared" ref="AS6:AS69" si="18">IF(OR(R6="",S6=0),0,3*$AV$2^2*AP6/AR6)*AX6</f>
        <v>#REF!</v>
      </c>
      <c r="AT6" s="3" t="e">
        <f t="shared" si="8"/>
        <v>#REF!</v>
      </c>
      <c r="AU6" s="3" t="e">
        <f t="shared" si="9"/>
        <v>#REF!</v>
      </c>
      <c r="AV6" s="3" t="e">
        <f t="shared" si="10"/>
        <v>#REF!</v>
      </c>
      <c r="AW6" s="3">
        <v>4</v>
      </c>
      <c r="AX6" s="3" t="e">
        <f>IF(AND(#REF!="N",OR(AW6=$AX$1,AW6=$AX$2,AW6=$AX$3,AW6=$AX$4,AW6=$AY$1,AW6=$AY$2,AW6=$AY$3,AW6=$AY$4)),0,1)</f>
        <v>#REF!</v>
      </c>
    </row>
    <row r="7" spans="2:59" x14ac:dyDescent="0.2">
      <c r="B7" s="4">
        <v>6</v>
      </c>
      <c r="C7" s="208">
        <v>4.4194173824159217E-8</v>
      </c>
      <c r="D7" s="208">
        <v>4.4194173824159217E-8</v>
      </c>
      <c r="E7" s="208">
        <v>4.4194173824159217E-8</v>
      </c>
      <c r="F7" s="209" t="s">
        <v>714</v>
      </c>
      <c r="G7" s="208">
        <v>7.061024379787466E-16</v>
      </c>
      <c r="H7" s="210">
        <v>9.6514818365234396E-15</v>
      </c>
      <c r="I7" s="208">
        <v>4.265392659440323E-24</v>
      </c>
      <c r="J7" s="208">
        <v>4.265392659440323E-24</v>
      </c>
      <c r="K7" s="208">
        <v>4.265392659440323E-24</v>
      </c>
      <c r="L7" s="208">
        <v>0</v>
      </c>
      <c r="M7" s="208">
        <v>0</v>
      </c>
      <c r="N7" s="208">
        <v>0</v>
      </c>
      <c r="O7" s="3">
        <v>360</v>
      </c>
      <c r="P7" s="3">
        <v>360</v>
      </c>
      <c r="Q7" s="3">
        <v>360</v>
      </c>
      <c r="S7" s="4">
        <v>0</v>
      </c>
      <c r="T7" s="4">
        <v>1.5</v>
      </c>
      <c r="U7" s="210"/>
      <c r="V7" s="210">
        <v>9.6514818365234396E-15</v>
      </c>
      <c r="W7" s="3">
        <v>0</v>
      </c>
      <c r="X7" s="3">
        <v>0</v>
      </c>
      <c r="Y7" s="3">
        <f t="shared" si="11"/>
        <v>1</v>
      </c>
      <c r="Z7" s="3">
        <f t="shared" si="12"/>
        <v>1</v>
      </c>
      <c r="AA7" s="3" t="str">
        <f t="shared" si="13"/>
        <v/>
      </c>
      <c r="AB7" s="3" t="str">
        <f t="shared" si="14"/>
        <v/>
      </c>
      <c r="AC7" s="3" t="str">
        <f t="shared" si="15"/>
        <v/>
      </c>
      <c r="AD7" s="3" t="str">
        <f t="shared" si="0"/>
        <v>0</v>
      </c>
      <c r="AE7" s="3">
        <f t="shared" si="1"/>
        <v>0</v>
      </c>
      <c r="AF7" s="3">
        <f t="shared" si="2"/>
        <v>0</v>
      </c>
      <c r="AH7" s="3">
        <f t="shared" si="16"/>
        <v>3.0765318547085755E-6</v>
      </c>
      <c r="AI7" s="3">
        <f>INDEX(C5:E404,E2*5/2,3)</f>
        <v>0.20533495396307258</v>
      </c>
      <c r="AJ7" s="254">
        <v>1</v>
      </c>
      <c r="AK7" s="47" t="s">
        <v>286</v>
      </c>
      <c r="AL7" s="54">
        <v>1</v>
      </c>
      <c r="AM7" s="3" t="str">
        <f t="shared" si="3"/>
        <v/>
      </c>
      <c r="AN7" s="3" t="str">
        <f t="shared" si="4"/>
        <v/>
      </c>
      <c r="AO7" s="3" t="str">
        <f t="shared" si="5"/>
        <v/>
      </c>
      <c r="AP7" s="3">
        <f t="shared" si="6"/>
        <v>0</v>
      </c>
      <c r="AQ7" s="3">
        <f t="shared" si="7"/>
        <v>0</v>
      </c>
      <c r="AR7" s="3">
        <f t="shared" si="17"/>
        <v>0</v>
      </c>
      <c r="AS7" s="3" t="e">
        <f t="shared" si="18"/>
        <v>#REF!</v>
      </c>
      <c r="AT7" s="3" t="str">
        <f t="shared" si="8"/>
        <v/>
      </c>
      <c r="AU7" s="3">
        <f t="shared" si="9"/>
        <v>0</v>
      </c>
      <c r="AV7" s="3">
        <f t="shared" si="10"/>
        <v>0</v>
      </c>
      <c r="AW7" s="3">
        <v>6</v>
      </c>
      <c r="AX7" s="3" t="e">
        <f>IF(AND(#REF!="N",OR(AW7=$AX$1,AW7=$AX$2,AW7=$AX$3,AW7=$AX$4,AW7=$AY$1,AW7=$AY$2,AW7=$AY$3,AW7=$AY$4)),0,1)</f>
        <v>#REF!</v>
      </c>
    </row>
    <row r="8" spans="2:59" x14ac:dyDescent="0.2">
      <c r="B8" s="4">
        <v>8</v>
      </c>
      <c r="C8" s="208">
        <v>4.4194173824159217E-8</v>
      </c>
      <c r="D8" s="208">
        <v>4.4194173824159217E-8</v>
      </c>
      <c r="E8" s="208">
        <v>4.4194173824159217E-8</v>
      </c>
      <c r="F8" s="209" t="s">
        <v>714</v>
      </c>
      <c r="G8" s="208">
        <v>1.033680271475643E-15</v>
      </c>
      <c r="H8" s="210">
        <v>1.4129035432136659E-14</v>
      </c>
      <c r="I8" s="208">
        <v>6.2442104785555201E-24</v>
      </c>
      <c r="J8" s="208">
        <v>6.2442104785555201E-24</v>
      </c>
      <c r="K8" s="208">
        <v>6.2442104785555201E-24</v>
      </c>
      <c r="L8" s="208">
        <v>0</v>
      </c>
      <c r="M8" s="208">
        <v>0</v>
      </c>
      <c r="N8" s="208">
        <v>0</v>
      </c>
      <c r="O8" s="3">
        <v>360</v>
      </c>
      <c r="P8" s="3">
        <v>360</v>
      </c>
      <c r="Q8" s="3">
        <v>360</v>
      </c>
      <c r="S8" s="4">
        <v>0</v>
      </c>
      <c r="T8" s="4">
        <v>2</v>
      </c>
      <c r="U8" s="210"/>
      <c r="V8" s="210">
        <v>1.4129035432136657E-14</v>
      </c>
      <c r="W8" s="3">
        <v>0</v>
      </c>
      <c r="X8" s="3">
        <v>0</v>
      </c>
      <c r="Y8" s="3">
        <f t="shared" si="11"/>
        <v>1</v>
      </c>
      <c r="Z8" s="3">
        <f t="shared" si="12"/>
        <v>1</v>
      </c>
      <c r="AA8" s="3" t="str">
        <f>IF(R8="","",$AB$1*(C8/$C$3)^2)</f>
        <v/>
      </c>
      <c r="AB8" s="3" t="str">
        <f t="shared" si="14"/>
        <v/>
      </c>
      <c r="AC8" s="3" t="str">
        <f t="shared" si="15"/>
        <v/>
      </c>
      <c r="AD8" s="3" t="str">
        <f t="shared" si="0"/>
        <v>0</v>
      </c>
      <c r="AE8" s="3">
        <f t="shared" si="1"/>
        <v>0</v>
      </c>
      <c r="AF8" s="3">
        <f t="shared" si="2"/>
        <v>0</v>
      </c>
      <c r="AH8" s="3">
        <f t="shared" si="16"/>
        <v>2.3073988910314317E-6</v>
      </c>
      <c r="AI8" s="4">
        <f>SUM(AI5:AI7)/3/AI5</f>
        <v>1</v>
      </c>
      <c r="AJ8" s="254">
        <v>1.5</v>
      </c>
      <c r="AK8" s="47" t="s">
        <v>716</v>
      </c>
      <c r="AL8" s="54">
        <v>1.5</v>
      </c>
      <c r="AM8" s="3" t="str">
        <f t="shared" si="3"/>
        <v/>
      </c>
      <c r="AN8" s="3" t="str">
        <f t="shared" si="4"/>
        <v/>
      </c>
      <c r="AO8" s="3" t="str">
        <f t="shared" si="5"/>
        <v/>
      </c>
      <c r="AP8" s="3">
        <f t="shared" si="6"/>
        <v>0</v>
      </c>
      <c r="AQ8" s="3">
        <f t="shared" si="7"/>
        <v>0</v>
      </c>
      <c r="AR8" s="3">
        <f t="shared" si="17"/>
        <v>0</v>
      </c>
      <c r="AS8" s="3" t="e">
        <f t="shared" si="18"/>
        <v>#REF!</v>
      </c>
      <c r="AT8" s="3" t="str">
        <f t="shared" si="8"/>
        <v/>
      </c>
      <c r="AU8" s="3">
        <f t="shared" si="9"/>
        <v>0</v>
      </c>
      <c r="AV8" s="3">
        <f t="shared" si="10"/>
        <v>0</v>
      </c>
      <c r="AW8" s="3">
        <v>8</v>
      </c>
      <c r="AX8" s="3" t="e">
        <f>IF(AND(#REF!="N",OR(AW8=$AX$1,AW8=$AX$2,AW8=$AX$3,AW8=$AX$4,AW8=$AY$1,AW8=$AY$2,AW8=$AY$3,AW8=$AY$4)),0,1)</f>
        <v>#REF!</v>
      </c>
    </row>
    <row r="9" spans="2:59" x14ac:dyDescent="0.2">
      <c r="B9" s="4">
        <v>10</v>
      </c>
      <c r="C9" s="208">
        <v>4.4194173824159217E-8</v>
      </c>
      <c r="D9" s="208">
        <v>4.4194173824159217E-8</v>
      </c>
      <c r="E9" s="208">
        <v>4.4194173824159217E-8</v>
      </c>
      <c r="F9" s="209">
        <v>0</v>
      </c>
      <c r="G9" s="208">
        <v>0</v>
      </c>
      <c r="H9" s="210">
        <v>0</v>
      </c>
      <c r="I9" s="208">
        <v>0</v>
      </c>
      <c r="J9" s="208">
        <v>0</v>
      </c>
      <c r="K9" s="208">
        <v>0</v>
      </c>
      <c r="L9" s="208">
        <v>0</v>
      </c>
      <c r="M9" s="208">
        <v>0</v>
      </c>
      <c r="N9" s="208">
        <v>0</v>
      </c>
      <c r="O9" s="3">
        <v>360</v>
      </c>
      <c r="P9" s="3">
        <v>360</v>
      </c>
      <c r="Q9" s="3">
        <v>360</v>
      </c>
      <c r="S9" s="4">
        <v>0</v>
      </c>
      <c r="T9" s="4">
        <v>2.5</v>
      </c>
      <c r="U9" s="210"/>
      <c r="V9" s="210">
        <v>0</v>
      </c>
      <c r="W9" s="3">
        <v>0</v>
      </c>
      <c r="X9" s="3">
        <v>0</v>
      </c>
      <c r="Y9" s="3">
        <f t="shared" si="11"/>
        <v>1</v>
      </c>
      <c r="Z9" s="3">
        <f t="shared" si="12"/>
        <v>1</v>
      </c>
      <c r="AA9" s="3" t="str">
        <f t="shared" si="13"/>
        <v/>
      </c>
      <c r="AB9" s="3" t="str">
        <f t="shared" si="14"/>
        <v/>
      </c>
      <c r="AC9" s="3" t="str">
        <f t="shared" si="15"/>
        <v/>
      </c>
      <c r="AD9" s="3" t="str">
        <f t="shared" si="0"/>
        <v>0</v>
      </c>
      <c r="AE9" s="3">
        <f t="shared" si="1"/>
        <v>0</v>
      </c>
      <c r="AF9" s="3">
        <f t="shared" si="2"/>
        <v>0</v>
      </c>
      <c r="AH9" s="3">
        <f t="shared" si="16"/>
        <v>1.8459191128251455E-6</v>
      </c>
      <c r="AI9" s="4" t="str">
        <f>IF(AND(AI8&gt;0.99,AI8&lt;1.01),"Y","N")</f>
        <v>Y</v>
      </c>
      <c r="AJ9" s="254">
        <v>15</v>
      </c>
      <c r="AK9" s="47" t="s">
        <v>54</v>
      </c>
      <c r="AL9" s="54">
        <v>15</v>
      </c>
      <c r="AM9" s="3" t="str">
        <f t="shared" si="3"/>
        <v/>
      </c>
      <c r="AN9" s="3" t="str">
        <f t="shared" si="4"/>
        <v/>
      </c>
      <c r="AO9" s="3" t="str">
        <f t="shared" si="5"/>
        <v/>
      </c>
      <c r="AP9" s="3">
        <f t="shared" si="6"/>
        <v>0</v>
      </c>
      <c r="AQ9" s="3">
        <f t="shared" si="7"/>
        <v>0</v>
      </c>
      <c r="AR9" s="3">
        <f t="shared" si="17"/>
        <v>0</v>
      </c>
      <c r="AS9" s="3" t="e">
        <f t="shared" si="18"/>
        <v>#REF!</v>
      </c>
      <c r="AT9" s="3" t="str">
        <f t="shared" si="8"/>
        <v/>
      </c>
      <c r="AU9" s="3">
        <f t="shared" si="9"/>
        <v>0</v>
      </c>
      <c r="AV9" s="3">
        <f t="shared" si="10"/>
        <v>0</v>
      </c>
      <c r="AW9" s="3">
        <v>10</v>
      </c>
      <c r="AX9" s="3" t="e">
        <f>IF(AND(#REF!="N",OR(AW9=$AX$1,AW9=$AX$2,AW9=$AX$3,AW9=$AX$4,AW9=$AY$1,AW9=$AY$2,AW9=$AY$3,AW9=$AY$4)),0,1)</f>
        <v>#REF!</v>
      </c>
    </row>
    <row r="10" spans="2:59" x14ac:dyDescent="0.2">
      <c r="B10" s="4">
        <v>12</v>
      </c>
      <c r="C10" s="208">
        <v>0.65328148243818851</v>
      </c>
      <c r="D10" s="208">
        <v>0.65328148243818818</v>
      </c>
      <c r="E10" s="208">
        <v>0.65328148243818851</v>
      </c>
      <c r="F10" s="209" t="s">
        <v>714</v>
      </c>
      <c r="G10" s="208">
        <v>1.1494997789443924E-15</v>
      </c>
      <c r="H10" s="210">
        <v>1.5712134161903926E-14</v>
      </c>
      <c r="I10" s="208">
        <v>1.0264446297556302E-16</v>
      </c>
      <c r="J10" s="208">
        <v>1.0264446297556297E-16</v>
      </c>
      <c r="K10" s="208">
        <v>1.0264446297556302E-16</v>
      </c>
      <c r="L10" s="208">
        <v>4.3140830754274083E-32</v>
      </c>
      <c r="M10" s="208">
        <v>6.7792734042430702E-32</v>
      </c>
      <c r="N10" s="208">
        <v>2.4651903288156619E-32</v>
      </c>
      <c r="O10" s="3">
        <v>360</v>
      </c>
      <c r="P10" s="3">
        <v>0</v>
      </c>
      <c r="Q10" s="3">
        <v>360</v>
      </c>
      <c r="S10" s="4">
        <v>0</v>
      </c>
      <c r="T10" s="4">
        <v>3</v>
      </c>
      <c r="U10" s="210"/>
      <c r="V10" s="210">
        <v>1.5712134161903926E-14</v>
      </c>
      <c r="W10" s="3">
        <v>0</v>
      </c>
      <c r="X10" s="3">
        <v>0</v>
      </c>
      <c r="Y10" s="3">
        <f t="shared" si="11"/>
        <v>1</v>
      </c>
      <c r="Z10" s="3">
        <f t="shared" si="12"/>
        <v>1</v>
      </c>
      <c r="AA10" s="3" t="str">
        <f t="shared" si="13"/>
        <v/>
      </c>
      <c r="AB10" s="3" t="str">
        <f t="shared" si="14"/>
        <v/>
      </c>
      <c r="AC10" s="3" t="str">
        <f t="shared" si="15"/>
        <v/>
      </c>
      <c r="AD10" s="3" t="str">
        <f t="shared" si="0"/>
        <v>0</v>
      </c>
      <c r="AE10" s="3">
        <f t="shared" si="1"/>
        <v>0</v>
      </c>
      <c r="AF10" s="3">
        <f t="shared" si="2"/>
        <v>0</v>
      </c>
      <c r="AH10" s="3">
        <f t="shared" si="16"/>
        <v>22.738758493473934</v>
      </c>
      <c r="AI10" s="41" t="str">
        <f>IF(AND(AI9="Y",AI15="Y"),"Y","N")</f>
        <v>Y</v>
      </c>
      <c r="AM10" s="3" t="str">
        <f t="shared" si="3"/>
        <v/>
      </c>
      <c r="AN10" s="3" t="str">
        <f t="shared" si="4"/>
        <v/>
      </c>
      <c r="AO10" s="3" t="str">
        <f t="shared" si="5"/>
        <v/>
      </c>
      <c r="AP10" s="3">
        <f t="shared" si="6"/>
        <v>0</v>
      </c>
      <c r="AQ10" s="3">
        <f t="shared" si="7"/>
        <v>0</v>
      </c>
      <c r="AR10" s="3">
        <f t="shared" si="17"/>
        <v>0</v>
      </c>
      <c r="AS10" s="3" t="e">
        <f t="shared" si="18"/>
        <v>#REF!</v>
      </c>
      <c r="AT10" s="3" t="str">
        <f t="shared" si="8"/>
        <v/>
      </c>
      <c r="AU10" s="3">
        <f t="shared" si="9"/>
        <v>0</v>
      </c>
      <c r="AV10" s="3">
        <f t="shared" si="10"/>
        <v>0</v>
      </c>
      <c r="AW10" s="3">
        <v>12</v>
      </c>
      <c r="AX10" s="3" t="e">
        <f>IF(AND(#REF!="N",OR(AW10=$AX$1,AW10=$AX$2,AW10=$AX$3,AW10=$AX$4,AW10=$AY$1,AW10=$AY$2,AW10=$AY$3,AW10=$AY$4)),0,1)</f>
        <v>#REF!</v>
      </c>
    </row>
    <row r="11" spans="2:59" x14ac:dyDescent="0.2">
      <c r="B11" s="4">
        <v>14</v>
      </c>
      <c r="C11" s="208">
        <v>4.4194173824159217E-8</v>
      </c>
      <c r="D11" s="208">
        <v>4.4194173824159217E-8</v>
      </c>
      <c r="E11" s="208">
        <v>4.4194173824159217E-8</v>
      </c>
      <c r="F11" s="209" t="s">
        <v>714</v>
      </c>
      <c r="G11" s="208">
        <v>5.9263449414933205E-16</v>
      </c>
      <c r="H11" s="210">
        <v>8.1005258562096889E-15</v>
      </c>
      <c r="I11" s="208">
        <v>3.5799604775642722E-24</v>
      </c>
      <c r="J11" s="208">
        <v>3.5799604775642722E-24</v>
      </c>
      <c r="K11" s="208">
        <v>3.5799604775642722E-24</v>
      </c>
      <c r="L11" s="208">
        <v>0</v>
      </c>
      <c r="M11" s="208">
        <v>0</v>
      </c>
      <c r="N11" s="208">
        <v>0</v>
      </c>
      <c r="O11" s="3">
        <v>360</v>
      </c>
      <c r="P11" s="3">
        <v>360</v>
      </c>
      <c r="Q11" s="3">
        <v>360</v>
      </c>
      <c r="S11" s="4">
        <v>0</v>
      </c>
      <c r="T11" s="4">
        <v>3.5</v>
      </c>
      <c r="U11" s="210"/>
      <c r="V11" s="210">
        <v>8.1005258562096889E-15</v>
      </c>
      <c r="W11" s="3">
        <v>0</v>
      </c>
      <c r="X11" s="3">
        <v>0</v>
      </c>
      <c r="Y11" s="3">
        <f t="shared" si="11"/>
        <v>1</v>
      </c>
      <c r="Z11" s="3">
        <f t="shared" si="12"/>
        <v>1</v>
      </c>
      <c r="AA11" s="3" t="str">
        <f t="shared" si="13"/>
        <v/>
      </c>
      <c r="AB11" s="3" t="str">
        <f t="shared" si="14"/>
        <v/>
      </c>
      <c r="AC11" s="3" t="str">
        <f t="shared" si="15"/>
        <v/>
      </c>
      <c r="AD11" s="3" t="str">
        <f t="shared" si="0"/>
        <v>0</v>
      </c>
      <c r="AE11" s="3">
        <f t="shared" si="1"/>
        <v>0</v>
      </c>
      <c r="AF11" s="3">
        <f t="shared" si="2"/>
        <v>0</v>
      </c>
      <c r="AH11" s="3">
        <f t="shared" si="16"/>
        <v>1.318513652017961E-6</v>
      </c>
      <c r="AI11" s="3">
        <f>INDEX(I5:K404,E2*5/2,1)</f>
        <v>8.8052850898000974E-3</v>
      </c>
      <c r="AM11" s="3" t="str">
        <f t="shared" si="3"/>
        <v/>
      </c>
      <c r="AN11" s="3" t="str">
        <f t="shared" si="4"/>
        <v/>
      </c>
      <c r="AO11" s="3" t="str">
        <f t="shared" si="5"/>
        <v/>
      </c>
      <c r="AP11" s="3">
        <f t="shared" si="6"/>
        <v>0</v>
      </c>
      <c r="AQ11" s="3">
        <f t="shared" si="7"/>
        <v>0</v>
      </c>
      <c r="AR11" s="3">
        <f t="shared" si="17"/>
        <v>0</v>
      </c>
      <c r="AS11" s="3" t="e">
        <f t="shared" si="18"/>
        <v>#REF!</v>
      </c>
      <c r="AT11" s="3" t="str">
        <f t="shared" si="8"/>
        <v/>
      </c>
      <c r="AU11" s="3">
        <f t="shared" si="9"/>
        <v>0</v>
      </c>
      <c r="AV11" s="3">
        <f t="shared" si="10"/>
        <v>0</v>
      </c>
      <c r="AW11" s="3">
        <v>14</v>
      </c>
      <c r="AX11" s="3" t="e">
        <f>IF(AND(#REF!="N",OR(AW11=$AX$1,AW11=$AX$2,AW11=$AX$3,AW11=$AX$4,AW11=$AY$1,AW11=$AY$2,AW11=$AY$3,AW11=$AY$4)),0,1)</f>
        <v>#REF!</v>
      </c>
    </row>
    <row r="12" spans="2:59" x14ac:dyDescent="0.2">
      <c r="B12" s="4">
        <v>16</v>
      </c>
      <c r="C12" s="208">
        <v>4.4194173824159217E-8</v>
      </c>
      <c r="D12" s="208">
        <v>4.4194173824159217E-8</v>
      </c>
      <c r="E12" s="208">
        <v>4.4194173824159217E-8</v>
      </c>
      <c r="F12" s="209" t="s">
        <v>714</v>
      </c>
      <c r="G12" s="208">
        <v>1.3538201444678728E-16</v>
      </c>
      <c r="H12" s="210">
        <v>1.8504921993548627E-15</v>
      </c>
      <c r="I12" s="208">
        <v>8.1780973918539489E-25</v>
      </c>
      <c r="J12" s="208">
        <v>8.1780973918539489E-25</v>
      </c>
      <c r="K12" s="208">
        <v>8.1780973918539489E-25</v>
      </c>
      <c r="L12" s="208">
        <v>0</v>
      </c>
      <c r="M12" s="208">
        <v>0</v>
      </c>
      <c r="N12" s="208">
        <v>0</v>
      </c>
      <c r="O12" s="3">
        <v>360</v>
      </c>
      <c r="P12" s="3">
        <v>360</v>
      </c>
      <c r="Q12" s="3">
        <v>360</v>
      </c>
      <c r="S12" s="4">
        <v>0</v>
      </c>
      <c r="T12" s="4">
        <v>4</v>
      </c>
      <c r="U12" s="210"/>
      <c r="V12" s="210">
        <v>1.8504921993548627E-15</v>
      </c>
      <c r="W12" s="3">
        <v>0</v>
      </c>
      <c r="X12" s="3">
        <v>0</v>
      </c>
      <c r="Y12" s="3">
        <f t="shared" si="11"/>
        <v>1</v>
      </c>
      <c r="Z12" s="3">
        <f t="shared" si="12"/>
        <v>1</v>
      </c>
      <c r="AA12" s="3" t="str">
        <f t="shared" si="13"/>
        <v/>
      </c>
      <c r="AB12" s="3" t="str">
        <f t="shared" si="14"/>
        <v/>
      </c>
      <c r="AC12" s="3" t="str">
        <f t="shared" si="15"/>
        <v/>
      </c>
      <c r="AD12" s="3" t="str">
        <f t="shared" si="0"/>
        <v>0</v>
      </c>
      <c r="AE12" s="3">
        <f t="shared" si="1"/>
        <v>0</v>
      </c>
      <c r="AF12" s="3">
        <f t="shared" si="2"/>
        <v>0</v>
      </c>
      <c r="AH12" s="3">
        <f t="shared" si="16"/>
        <v>1.1536994455157159E-6</v>
      </c>
      <c r="AI12" s="3">
        <f>INDEX(I5:K404,E2*5/2,2)</f>
        <v>8.8052850898000957E-3</v>
      </c>
      <c r="AM12" s="3" t="str">
        <f t="shared" si="3"/>
        <v/>
      </c>
      <c r="AN12" s="3" t="str">
        <f t="shared" si="4"/>
        <v/>
      </c>
      <c r="AO12" s="3" t="str">
        <f t="shared" si="5"/>
        <v/>
      </c>
      <c r="AP12" s="3">
        <f t="shared" si="6"/>
        <v>0</v>
      </c>
      <c r="AQ12" s="3">
        <f t="shared" si="7"/>
        <v>0</v>
      </c>
      <c r="AR12" s="3">
        <f t="shared" si="17"/>
        <v>0</v>
      </c>
      <c r="AS12" s="3" t="e">
        <f t="shared" si="18"/>
        <v>#REF!</v>
      </c>
      <c r="AT12" s="3" t="str">
        <f t="shared" si="8"/>
        <v/>
      </c>
      <c r="AU12" s="3">
        <f t="shared" si="9"/>
        <v>0</v>
      </c>
      <c r="AV12" s="3">
        <f t="shared" si="10"/>
        <v>0</v>
      </c>
      <c r="AW12" s="3">
        <v>16</v>
      </c>
      <c r="AX12" s="3" t="e">
        <f>IF(AND(#REF!="N",OR(AW12=$AX$1,AW12=$AX$2,AW12=$AX$3,AW12=$AX$4,AW12=$AY$1,AW12=$AY$2,AW12=$AY$3,AW12=$AY$4)),0,1)</f>
        <v>#REF!</v>
      </c>
    </row>
    <row r="13" spans="2:59" x14ac:dyDescent="0.2">
      <c r="B13" s="4">
        <v>18</v>
      </c>
      <c r="C13" s="208">
        <v>4.4194173824159217E-8</v>
      </c>
      <c r="D13" s="208">
        <v>4.4194173824159217E-8</v>
      </c>
      <c r="E13" s="208">
        <v>4.4194173824159217E-8</v>
      </c>
      <c r="F13" s="209" t="s">
        <v>714</v>
      </c>
      <c r="G13" s="208">
        <v>6.0077143983199761E-16</v>
      </c>
      <c r="H13" s="210">
        <v>8.2117470887631859E-15</v>
      </c>
      <c r="I13" s="208">
        <v>3.6291137824083361E-24</v>
      </c>
      <c r="J13" s="208">
        <v>3.6291137824083361E-24</v>
      </c>
      <c r="K13" s="208">
        <v>3.6291137824083361E-24</v>
      </c>
      <c r="L13" s="208">
        <v>0</v>
      </c>
      <c r="M13" s="208">
        <v>0</v>
      </c>
      <c r="N13" s="208">
        <v>0</v>
      </c>
      <c r="O13" s="3">
        <v>360</v>
      </c>
      <c r="P13" s="3">
        <v>360</v>
      </c>
      <c r="Q13" s="3">
        <v>360</v>
      </c>
      <c r="S13" s="4">
        <v>0</v>
      </c>
      <c r="T13" s="4">
        <v>4.5</v>
      </c>
      <c r="U13" s="210"/>
      <c r="V13" s="210">
        <v>8.2117470887631843E-15</v>
      </c>
      <c r="W13" s="3">
        <v>0</v>
      </c>
      <c r="X13" s="3">
        <v>0</v>
      </c>
      <c r="Y13" s="3">
        <f t="shared" si="11"/>
        <v>1</v>
      </c>
      <c r="Z13" s="3">
        <f t="shared" si="12"/>
        <v>1</v>
      </c>
      <c r="AA13" s="3" t="str">
        <f t="shared" si="13"/>
        <v/>
      </c>
      <c r="AB13" s="3" t="str">
        <f t="shared" si="14"/>
        <v/>
      </c>
      <c r="AC13" s="3" t="str">
        <f t="shared" si="15"/>
        <v/>
      </c>
      <c r="AD13" s="3" t="str">
        <f t="shared" si="0"/>
        <v>0</v>
      </c>
      <c r="AE13" s="3">
        <f t="shared" si="1"/>
        <v>0</v>
      </c>
      <c r="AF13" s="3">
        <f t="shared" si="2"/>
        <v>0</v>
      </c>
      <c r="AH13" s="3">
        <f t="shared" si="16"/>
        <v>1.0255106182361917E-6</v>
      </c>
      <c r="AI13" s="3">
        <f>INDEX(I5:K404,E2*5/2,3)</f>
        <v>8.8052850898000991E-3</v>
      </c>
      <c r="AM13" s="3" t="str">
        <f t="shared" si="3"/>
        <v/>
      </c>
      <c r="AN13" s="3" t="str">
        <f t="shared" si="4"/>
        <v/>
      </c>
      <c r="AO13" s="3" t="str">
        <f t="shared" si="5"/>
        <v/>
      </c>
      <c r="AP13" s="3">
        <f t="shared" si="6"/>
        <v>0</v>
      </c>
      <c r="AQ13" s="3">
        <f t="shared" si="7"/>
        <v>0</v>
      </c>
      <c r="AR13" s="3">
        <f t="shared" si="17"/>
        <v>0</v>
      </c>
      <c r="AS13" s="3" t="e">
        <f t="shared" si="18"/>
        <v>#REF!</v>
      </c>
      <c r="AT13" s="3" t="str">
        <f t="shared" si="8"/>
        <v/>
      </c>
      <c r="AU13" s="3">
        <f t="shared" si="9"/>
        <v>0</v>
      </c>
      <c r="AV13" s="3">
        <f t="shared" si="10"/>
        <v>0</v>
      </c>
      <c r="AW13" s="3">
        <v>18</v>
      </c>
      <c r="AX13" s="3" t="e">
        <f>IF(AND(#REF!="N",OR(AW13=$AX$1,AW13=$AX$2,AW13=$AX$3,AW13=$AX$4,AW13=$AY$1,AW13=$AY$2,AW13=$AY$3,AW13=$AY$4)),0,1)</f>
        <v>#REF!</v>
      </c>
    </row>
    <row r="14" spans="2:59" x14ac:dyDescent="0.2">
      <c r="B14" s="4">
        <v>20</v>
      </c>
      <c r="C14" s="208">
        <v>0.20533495396307255</v>
      </c>
      <c r="D14" s="208">
        <v>0.2053349539630725</v>
      </c>
      <c r="E14" s="208">
        <v>0.20533495396307258</v>
      </c>
      <c r="F14" s="209" t="s">
        <v>714</v>
      </c>
      <c r="G14" s="208">
        <v>0.31372869996258967</v>
      </c>
      <c r="H14" s="210">
        <v>4.2882543472767143</v>
      </c>
      <c r="I14" s="208">
        <v>8.8052850898000974E-3</v>
      </c>
      <c r="J14" s="208">
        <v>8.8052850898000957E-3</v>
      </c>
      <c r="K14" s="208">
        <v>8.8052850898000991E-3</v>
      </c>
      <c r="L14" s="208">
        <v>1.5251201150662455E-2</v>
      </c>
      <c r="M14" s="208">
        <v>1.5251201150662443E-2</v>
      </c>
      <c r="N14" s="208">
        <v>1.5251201150662457E-2</v>
      </c>
      <c r="O14" s="3">
        <v>120</v>
      </c>
      <c r="P14" s="3">
        <v>120</v>
      </c>
      <c r="Q14" s="3">
        <v>120</v>
      </c>
      <c r="R14" s="4" t="s">
        <v>172</v>
      </c>
      <c r="S14" s="4" t="s">
        <v>172</v>
      </c>
      <c r="T14" s="4">
        <v>5</v>
      </c>
      <c r="U14" s="210"/>
      <c r="V14" s="210">
        <v>4.2882543472767143</v>
      </c>
      <c r="W14" s="3">
        <v>4.2882543472767276</v>
      </c>
      <c r="X14" s="3">
        <v>0</v>
      </c>
      <c r="Y14" s="3">
        <f t="shared" si="11"/>
        <v>1</v>
      </c>
      <c r="Z14" s="3">
        <f t="shared" si="12"/>
        <v>1</v>
      </c>
      <c r="AA14" s="3">
        <f t="shared" si="13"/>
        <v>0.13791844010203219</v>
      </c>
      <c r="AB14" s="3">
        <f t="shared" si="14"/>
        <v>6.8959220051016096E-2</v>
      </c>
      <c r="AC14" s="3">
        <f t="shared" si="15"/>
        <v>2.7583688020406436E-2</v>
      </c>
      <c r="AD14" s="3" t="str">
        <f t="shared" si="0"/>
        <v>0.00370250845911497+0.0249919320990259i</v>
      </c>
      <c r="AE14" s="3">
        <f t="shared" si="1"/>
        <v>3.7025084591149702E-3</v>
      </c>
      <c r="AF14" s="3">
        <f t="shared" si="2"/>
        <v>2.49919320990259E-2</v>
      </c>
      <c r="AH14" s="3">
        <f t="shared" si="16"/>
        <v>4.2882543472767125</v>
      </c>
      <c r="AI14" s="4">
        <f>SUM(AI11:AI13)/3/AI11</f>
        <v>1.0000000000000002</v>
      </c>
      <c r="AM14" s="3" t="str">
        <f t="shared" si="3"/>
        <v>-0.00190214961201778+0.00380429922403556i</v>
      </c>
      <c r="AN14" s="3" t="str">
        <f t="shared" si="4"/>
        <v>0.137918440102032+0.0965429080714225i</v>
      </c>
      <c r="AO14" s="3" t="str">
        <f t="shared" si="5"/>
        <v>0.00370250845911497+0.0249919320990259i</v>
      </c>
      <c r="AP14" s="3">
        <f t="shared" si="6"/>
        <v>3.7025084591149702E-3</v>
      </c>
      <c r="AQ14" s="3">
        <f t="shared" si="7"/>
        <v>2.49919320990259E-2</v>
      </c>
      <c r="AR14" s="3">
        <f t="shared" si="17"/>
        <v>-31.415926535897931</v>
      </c>
      <c r="AS14" s="3" t="e">
        <f t="shared" si="18"/>
        <v>#REF!</v>
      </c>
      <c r="AT14" s="3" t="e">
        <f t="shared" si="8"/>
        <v>#REF!</v>
      </c>
      <c r="AU14" s="3" t="e">
        <f t="shared" si="9"/>
        <v>#REF!</v>
      </c>
      <c r="AV14" s="3" t="e">
        <f t="shared" si="10"/>
        <v>#REF!</v>
      </c>
      <c r="AW14" s="3">
        <v>20</v>
      </c>
      <c r="AX14" s="3" t="e">
        <f>IF(AND(#REF!="N",OR(AW14=$AX$1,AW14=$AX$2,AW14=$AX$3,AW14=$AX$4,AW14=$AY$1,AW14=$AY$2,AW14=$AY$3,AW14=$AY$4)),0,1)</f>
        <v>#REF!</v>
      </c>
    </row>
    <row r="15" spans="2:59" x14ac:dyDescent="0.2">
      <c r="B15" s="4">
        <v>22</v>
      </c>
      <c r="C15" s="208">
        <v>4.4194173824159217E-8</v>
      </c>
      <c r="D15" s="208">
        <v>4.4194173824159217E-8</v>
      </c>
      <c r="E15" s="208">
        <v>4.4194173824159217E-8</v>
      </c>
      <c r="F15" s="209" t="s">
        <v>714</v>
      </c>
      <c r="G15" s="208">
        <v>4.0455557004815983E-16</v>
      </c>
      <c r="H15" s="210">
        <v>5.5297369420805295E-15</v>
      </c>
      <c r="I15" s="208">
        <v>2.4438215562018158E-24</v>
      </c>
      <c r="J15" s="208">
        <v>2.4438215562018158E-24</v>
      </c>
      <c r="K15" s="208">
        <v>2.4438215562018158E-24</v>
      </c>
      <c r="L15" s="208">
        <v>0</v>
      </c>
      <c r="M15" s="208">
        <v>0</v>
      </c>
      <c r="N15" s="208">
        <v>0</v>
      </c>
      <c r="O15" s="3">
        <v>360</v>
      </c>
      <c r="P15" s="3">
        <v>360</v>
      </c>
      <c r="Q15" s="3">
        <v>360</v>
      </c>
      <c r="S15" s="4">
        <v>0</v>
      </c>
      <c r="T15" s="4">
        <v>5.5</v>
      </c>
      <c r="U15" s="210"/>
      <c r="V15" s="210">
        <v>5.5297369420805295E-15</v>
      </c>
      <c r="W15" s="3">
        <v>0</v>
      </c>
      <c r="X15" s="3">
        <v>0</v>
      </c>
      <c r="Y15" s="3">
        <f t="shared" si="11"/>
        <v>1</v>
      </c>
      <c r="Z15" s="3">
        <f t="shared" si="12"/>
        <v>1</v>
      </c>
      <c r="AA15" s="3" t="str">
        <f t="shared" si="13"/>
        <v/>
      </c>
      <c r="AB15" s="3" t="str">
        <f t="shared" si="14"/>
        <v/>
      </c>
      <c r="AC15" s="3" t="str">
        <f t="shared" si="15"/>
        <v/>
      </c>
      <c r="AD15" s="3" t="str">
        <f t="shared" si="0"/>
        <v>0</v>
      </c>
      <c r="AE15" s="3">
        <f t="shared" si="1"/>
        <v>0</v>
      </c>
      <c r="AF15" s="3">
        <f t="shared" si="2"/>
        <v>0</v>
      </c>
      <c r="AH15" s="3">
        <f t="shared" si="16"/>
        <v>8.3905414219324784E-7</v>
      </c>
      <c r="AI15" s="4" t="str">
        <f>IF(AND(AI14&gt;0.99,AI14&lt;1.01),"Y","N")</f>
        <v>Y</v>
      </c>
      <c r="AM15" s="3" t="str">
        <f t="shared" si="3"/>
        <v/>
      </c>
      <c r="AN15" s="3" t="str">
        <f t="shared" si="4"/>
        <v/>
      </c>
      <c r="AO15" s="3" t="str">
        <f t="shared" si="5"/>
        <v/>
      </c>
      <c r="AP15" s="3">
        <f t="shared" si="6"/>
        <v>0</v>
      </c>
      <c r="AQ15" s="3">
        <f t="shared" si="7"/>
        <v>0</v>
      </c>
      <c r="AR15" s="3">
        <f t="shared" si="17"/>
        <v>0</v>
      </c>
      <c r="AS15" s="3" t="e">
        <f t="shared" si="18"/>
        <v>#REF!</v>
      </c>
      <c r="AT15" s="3" t="str">
        <f t="shared" si="8"/>
        <v/>
      </c>
      <c r="AU15" s="3">
        <f t="shared" si="9"/>
        <v>0</v>
      </c>
      <c r="AV15" s="3">
        <f t="shared" si="10"/>
        <v>0</v>
      </c>
      <c r="AW15" s="3">
        <v>22</v>
      </c>
      <c r="AX15" s="3" t="e">
        <f>IF(AND(#REF!="N",OR(AW15=$AX$1,AW15=$AX$2,AW15=$AX$3,AW15=$AX$4,AW15=$AY$1,AW15=$AY$2,AW15=$AY$3,AW15=$AY$4)),0,1)</f>
        <v>#REF!</v>
      </c>
    </row>
    <row r="16" spans="2:59" x14ac:dyDescent="0.2">
      <c r="B16" s="4">
        <v>24</v>
      </c>
      <c r="C16" s="208">
        <v>4.4194173824159217E-8</v>
      </c>
      <c r="D16" s="208">
        <v>4.4194173824159217E-8</v>
      </c>
      <c r="E16" s="208">
        <v>4.4194173824159217E-8</v>
      </c>
      <c r="F16" s="209" t="s">
        <v>714</v>
      </c>
      <c r="G16" s="208">
        <v>2.5815358523227024E-16</v>
      </c>
      <c r="H16" s="210">
        <v>3.5286163945770956E-15</v>
      </c>
      <c r="I16" s="208">
        <v>1.5594428630071815E-24</v>
      </c>
      <c r="J16" s="208">
        <v>1.5594428630071815E-24</v>
      </c>
      <c r="K16" s="208">
        <v>1.5594428630071815E-24</v>
      </c>
      <c r="L16" s="208">
        <v>0</v>
      </c>
      <c r="M16" s="208">
        <v>0</v>
      </c>
      <c r="N16" s="208">
        <v>0</v>
      </c>
      <c r="O16" s="3">
        <v>360</v>
      </c>
      <c r="P16" s="3">
        <v>360</v>
      </c>
      <c r="Q16" s="3">
        <v>360</v>
      </c>
      <c r="S16" s="4">
        <v>0</v>
      </c>
      <c r="T16" s="4">
        <v>6</v>
      </c>
      <c r="U16" s="210"/>
      <c r="V16" s="210">
        <v>3.5286163945770956E-15</v>
      </c>
      <c r="W16" s="3">
        <v>0</v>
      </c>
      <c r="X16" s="3">
        <v>0</v>
      </c>
      <c r="Y16" s="3">
        <f t="shared" si="11"/>
        <v>1</v>
      </c>
      <c r="Z16" s="3">
        <f t="shared" si="12"/>
        <v>1</v>
      </c>
      <c r="AA16" s="3" t="str">
        <f t="shared" si="13"/>
        <v/>
      </c>
      <c r="AB16" s="3" t="str">
        <f t="shared" si="14"/>
        <v/>
      </c>
      <c r="AC16" s="3" t="str">
        <f t="shared" si="15"/>
        <v/>
      </c>
      <c r="AD16" s="3" t="str">
        <f t="shared" si="0"/>
        <v>0</v>
      </c>
      <c r="AE16" s="3">
        <f t="shared" si="1"/>
        <v>0</v>
      </c>
      <c r="AF16" s="3">
        <f t="shared" si="2"/>
        <v>0</v>
      </c>
      <c r="AM16" s="3" t="str">
        <f t="shared" si="3"/>
        <v/>
      </c>
      <c r="AN16" s="3" t="str">
        <f t="shared" si="4"/>
        <v/>
      </c>
      <c r="AO16" s="3" t="str">
        <f t="shared" si="5"/>
        <v/>
      </c>
      <c r="AP16" s="3">
        <f t="shared" si="6"/>
        <v>0</v>
      </c>
      <c r="AQ16" s="3">
        <f t="shared" si="7"/>
        <v>0</v>
      </c>
      <c r="AR16" s="3">
        <f t="shared" si="17"/>
        <v>0</v>
      </c>
      <c r="AS16" s="3" t="e">
        <f t="shared" si="18"/>
        <v>#REF!</v>
      </c>
      <c r="AT16" s="3" t="str">
        <f t="shared" si="8"/>
        <v/>
      </c>
      <c r="AU16" s="3">
        <f t="shared" si="9"/>
        <v>0</v>
      </c>
      <c r="AV16" s="3">
        <f t="shared" si="10"/>
        <v>0</v>
      </c>
      <c r="AW16" s="3">
        <v>24</v>
      </c>
      <c r="AX16" s="3" t="e">
        <f>IF(AND(#REF!="N",OR(AW16=$AX$1,AW16=$AX$2,AW16=$AX$3,AW16=$AX$4,AW16=$AY$1,AW16=$AY$2,AW16=$AY$3,AW16=$AY$4)),0,1)</f>
        <v>#REF!</v>
      </c>
    </row>
    <row r="17" spans="2:50" x14ac:dyDescent="0.2">
      <c r="B17" s="4">
        <v>26</v>
      </c>
      <c r="C17" s="208">
        <v>4.4194173824159217E-8</v>
      </c>
      <c r="D17" s="208">
        <v>4.4194173824159217E-8</v>
      </c>
      <c r="E17" s="208">
        <v>4.4194173824159217E-8</v>
      </c>
      <c r="F17" s="209" t="s">
        <v>714</v>
      </c>
      <c r="G17" s="208">
        <v>7.3753502260909341E-16</v>
      </c>
      <c r="H17" s="210">
        <v>1.0081123490931535E-14</v>
      </c>
      <c r="I17" s="208">
        <v>4.4552692390104302E-24</v>
      </c>
      <c r="J17" s="208">
        <v>4.4552692390104302E-24</v>
      </c>
      <c r="K17" s="208">
        <v>4.4552692390104302E-24</v>
      </c>
      <c r="L17" s="208">
        <v>0</v>
      </c>
      <c r="M17" s="208">
        <v>0</v>
      </c>
      <c r="N17" s="208">
        <v>0</v>
      </c>
      <c r="O17" s="3">
        <v>360</v>
      </c>
      <c r="P17" s="3">
        <v>360</v>
      </c>
      <c r="Q17" s="3">
        <v>360</v>
      </c>
      <c r="S17" s="4">
        <v>0</v>
      </c>
      <c r="T17" s="4">
        <v>6.5</v>
      </c>
      <c r="U17" s="210"/>
      <c r="V17" s="210">
        <v>1.0081123490931535E-14</v>
      </c>
      <c r="W17" s="3">
        <v>0</v>
      </c>
      <c r="X17" s="3">
        <v>0</v>
      </c>
      <c r="Y17" s="3">
        <f t="shared" si="11"/>
        <v>1</v>
      </c>
      <c r="Z17" s="3">
        <f t="shared" si="12"/>
        <v>1</v>
      </c>
      <c r="AA17" s="3" t="str">
        <f t="shared" si="13"/>
        <v/>
      </c>
      <c r="AB17" s="3" t="str">
        <f t="shared" si="14"/>
        <v/>
      </c>
      <c r="AC17" s="3" t="str">
        <f t="shared" si="15"/>
        <v/>
      </c>
      <c r="AD17" s="3" t="str">
        <f t="shared" si="0"/>
        <v>0</v>
      </c>
      <c r="AE17" s="3">
        <f t="shared" si="1"/>
        <v>0</v>
      </c>
      <c r="AF17" s="3">
        <f t="shared" si="2"/>
        <v>0</v>
      </c>
      <c r="AM17" s="3" t="str">
        <f t="shared" si="3"/>
        <v/>
      </c>
      <c r="AN17" s="3" t="str">
        <f t="shared" si="4"/>
        <v/>
      </c>
      <c r="AO17" s="3" t="str">
        <f t="shared" si="5"/>
        <v/>
      </c>
      <c r="AP17" s="3">
        <f t="shared" si="6"/>
        <v>0</v>
      </c>
      <c r="AQ17" s="3">
        <f t="shared" si="7"/>
        <v>0</v>
      </c>
      <c r="AR17" s="3">
        <f t="shared" si="17"/>
        <v>0</v>
      </c>
      <c r="AS17" s="3" t="e">
        <f t="shared" si="18"/>
        <v>#REF!</v>
      </c>
      <c r="AT17" s="3" t="str">
        <f t="shared" si="8"/>
        <v/>
      </c>
      <c r="AU17" s="3">
        <f t="shared" si="9"/>
        <v>0</v>
      </c>
      <c r="AV17" s="3">
        <f t="shared" si="10"/>
        <v>0</v>
      </c>
      <c r="AW17" s="3">
        <v>26</v>
      </c>
      <c r="AX17" s="3" t="e">
        <f>IF(AND(#REF!="N",OR(AW17=$AX$1,AW17=$AX$2,AW17=$AX$3,AW17=$AX$4,AW17=$AY$1,AW17=$AY$2,AW17=$AY$3,AW17=$AY$4)),0,1)</f>
        <v>#REF!</v>
      </c>
    </row>
    <row r="18" spans="2:50" x14ac:dyDescent="0.2">
      <c r="B18" s="4">
        <v>28</v>
      </c>
      <c r="C18" s="208">
        <v>0.15755905175128315</v>
      </c>
      <c r="D18" s="208">
        <v>0.15755905175128296</v>
      </c>
      <c r="E18" s="208">
        <v>0.15755905175128357</v>
      </c>
      <c r="F18" s="209" t="s">
        <v>714</v>
      </c>
      <c r="G18" s="208">
        <v>0.17195178456060639</v>
      </c>
      <c r="H18" s="210">
        <v>2.3503523514168028</v>
      </c>
      <c r="I18" s="208">
        <v>3.703192877706301E-3</v>
      </c>
      <c r="J18" s="208">
        <v>3.7031928777062966E-3</v>
      </c>
      <c r="K18" s="208">
        <v>3.703192877706311E-3</v>
      </c>
      <c r="L18" s="208">
        <v>6.4141182144145121E-3</v>
      </c>
      <c r="M18" s="208">
        <v>6.414118214414513E-3</v>
      </c>
      <c r="N18" s="208">
        <v>6.4141182144145242E-3</v>
      </c>
      <c r="O18" s="3">
        <v>240</v>
      </c>
      <c r="P18" s="3">
        <v>240</v>
      </c>
      <c r="Q18" s="3">
        <v>240</v>
      </c>
      <c r="R18" s="4" t="s">
        <v>168</v>
      </c>
      <c r="S18" s="4" t="s">
        <v>168</v>
      </c>
      <c r="T18" s="4">
        <v>7</v>
      </c>
      <c r="U18" s="210"/>
      <c r="V18" s="210">
        <v>2.3503523514168028</v>
      </c>
      <c r="W18" s="3">
        <v>0</v>
      </c>
      <c r="X18" s="3">
        <v>2.350352351416809</v>
      </c>
      <c r="Y18" s="3">
        <f t="shared" si="11"/>
        <v>1</v>
      </c>
      <c r="Z18" s="3">
        <f t="shared" si="12"/>
        <v>1</v>
      </c>
      <c r="AA18" s="3">
        <f t="shared" si="13"/>
        <v>8.1205095784414399E-2</v>
      </c>
      <c r="AB18" s="3">
        <f t="shared" si="14"/>
        <v>4.06025478922072E-2</v>
      </c>
      <c r="AC18" s="3">
        <f t="shared" si="15"/>
        <v>8.2862342637157541E-3</v>
      </c>
      <c r="AD18" s="3" t="str">
        <f t="shared" si="0"/>
        <v>0.000620596834424262+0.00791260963890931i</v>
      </c>
      <c r="AE18" s="3">
        <f t="shared" si="1"/>
        <v>6.2059683442426195E-4</v>
      </c>
      <c r="AF18" s="3">
        <f t="shared" si="2"/>
        <v>7.9126096389093101E-3</v>
      </c>
      <c r="AM18" s="3" t="str">
        <f t="shared" si="3"/>
        <v>-0.000336442223538567+0.000672884447077134i</v>
      </c>
      <c r="AN18" s="3" t="str">
        <f t="shared" si="4"/>
        <v>0.0812050957844144+0.048888782155923i</v>
      </c>
      <c r="AO18" s="3" t="str">
        <f t="shared" si="5"/>
        <v>0.000620596834424262+0.00791260963890931i</v>
      </c>
      <c r="AP18" s="3">
        <f t="shared" si="6"/>
        <v>6.2059683442426195E-4</v>
      </c>
      <c r="AQ18" s="3">
        <f t="shared" si="7"/>
        <v>7.9126096389093101E-3</v>
      </c>
      <c r="AR18" s="3">
        <f t="shared" si="17"/>
        <v>22.439947525641379</v>
      </c>
      <c r="AS18" s="3" t="e">
        <f t="shared" si="18"/>
        <v>#REF!</v>
      </c>
      <c r="AT18" s="3" t="e">
        <f t="shared" si="8"/>
        <v>#REF!</v>
      </c>
      <c r="AU18" s="3" t="e">
        <f t="shared" si="9"/>
        <v>#REF!</v>
      </c>
      <c r="AV18" s="3" t="e">
        <f t="shared" si="10"/>
        <v>#REF!</v>
      </c>
      <c r="AW18" s="3">
        <v>28</v>
      </c>
      <c r="AX18" s="3" t="e">
        <f>IF(AND(#REF!="N",OR(AW18=$AX$1,AW18=$AX$2,AW18=$AX$3,AW18=$AX$4,AW18=$AY$1,AW18=$AY$2,AW18=$AY$3,AW18=$AY$4)),0,1)</f>
        <v>#REF!</v>
      </c>
    </row>
    <row r="19" spans="2:50" x14ac:dyDescent="0.2">
      <c r="B19" s="4">
        <v>30</v>
      </c>
      <c r="C19" s="208">
        <v>4.4194173824159217E-8</v>
      </c>
      <c r="D19" s="208">
        <v>4.4194173824159217E-8</v>
      </c>
      <c r="E19" s="208">
        <v>4.4194173824159217E-8</v>
      </c>
      <c r="F19" s="209" t="s">
        <v>714</v>
      </c>
      <c r="G19" s="208">
        <v>2.2543841329427068E-16</v>
      </c>
      <c r="H19" s="210">
        <v>3.081443476378153E-15</v>
      </c>
      <c r="I19" s="208">
        <v>1.3618184862437754E-24</v>
      </c>
      <c r="J19" s="208">
        <v>1.3618184862437754E-24</v>
      </c>
      <c r="K19" s="208">
        <v>1.3618184862437754E-24</v>
      </c>
      <c r="L19" s="208">
        <v>0</v>
      </c>
      <c r="M19" s="208">
        <v>0</v>
      </c>
      <c r="N19" s="208">
        <v>0</v>
      </c>
      <c r="O19" s="3">
        <v>360</v>
      </c>
      <c r="P19" s="3">
        <v>360</v>
      </c>
      <c r="Q19" s="3">
        <v>360</v>
      </c>
      <c r="S19" s="4">
        <v>0</v>
      </c>
      <c r="T19" s="4">
        <v>7.5</v>
      </c>
      <c r="U19" s="210"/>
      <c r="V19" s="210">
        <v>3.0814434763781526E-15</v>
      </c>
      <c r="W19" s="3">
        <v>0</v>
      </c>
      <c r="X19" s="3">
        <v>0</v>
      </c>
      <c r="Y19" s="3">
        <f t="shared" si="11"/>
        <v>1</v>
      </c>
      <c r="Z19" s="3">
        <f t="shared" si="12"/>
        <v>1</v>
      </c>
      <c r="AA19" s="3" t="str">
        <f t="shared" si="13"/>
        <v/>
      </c>
      <c r="AB19" s="3" t="str">
        <f t="shared" si="14"/>
        <v/>
      </c>
      <c r="AC19" s="3" t="str">
        <f t="shared" si="15"/>
        <v/>
      </c>
      <c r="AD19" s="3" t="str">
        <f t="shared" si="0"/>
        <v>0</v>
      </c>
      <c r="AE19" s="3">
        <f t="shared" si="1"/>
        <v>0</v>
      </c>
      <c r="AF19" s="3">
        <f t="shared" si="2"/>
        <v>0</v>
      </c>
      <c r="AM19" s="3" t="str">
        <f t="shared" si="3"/>
        <v/>
      </c>
      <c r="AN19" s="3" t="str">
        <f t="shared" si="4"/>
        <v/>
      </c>
      <c r="AO19" s="3" t="str">
        <f t="shared" si="5"/>
        <v/>
      </c>
      <c r="AP19" s="3">
        <f t="shared" si="6"/>
        <v>0</v>
      </c>
      <c r="AQ19" s="3">
        <f t="shared" si="7"/>
        <v>0</v>
      </c>
      <c r="AR19" s="3">
        <f t="shared" si="17"/>
        <v>0</v>
      </c>
      <c r="AS19" s="3" t="e">
        <f t="shared" si="18"/>
        <v>#REF!</v>
      </c>
      <c r="AT19" s="3" t="str">
        <f t="shared" si="8"/>
        <v/>
      </c>
      <c r="AU19" s="3">
        <f t="shared" si="9"/>
        <v>0</v>
      </c>
      <c r="AV19" s="3">
        <f t="shared" si="10"/>
        <v>0</v>
      </c>
      <c r="AW19" s="3">
        <v>30</v>
      </c>
      <c r="AX19" s="3" t="e">
        <f>IF(AND(#REF!="N",OR(AW19=$AX$1,AW19=$AX$2,AW19=$AX$3,AW19=$AX$4,AW19=$AY$1,AW19=$AY$2,AW19=$AY$3,AW19=$AY$4)),0,1)</f>
        <v>#REF!</v>
      </c>
    </row>
    <row r="20" spans="2:50" x14ac:dyDescent="0.2">
      <c r="B20" s="4">
        <v>32</v>
      </c>
      <c r="C20" s="208">
        <v>4.4194173824159217E-8</v>
      </c>
      <c r="D20" s="208">
        <v>4.4194173824159217E-8</v>
      </c>
      <c r="E20" s="208">
        <v>4.4194173824159217E-8</v>
      </c>
      <c r="F20" s="209" t="s">
        <v>714</v>
      </c>
      <c r="G20" s="208">
        <v>2.8453918781869027E-16</v>
      </c>
      <c r="H20" s="210">
        <v>3.8892725124592776E-15</v>
      </c>
      <c r="I20" s="208">
        <v>1.7188318546514977E-24</v>
      </c>
      <c r="J20" s="208">
        <v>1.7188318546514977E-24</v>
      </c>
      <c r="K20" s="208">
        <v>1.7188318546514977E-24</v>
      </c>
      <c r="L20" s="208">
        <v>0</v>
      </c>
      <c r="M20" s="208">
        <v>0</v>
      </c>
      <c r="N20" s="208">
        <v>0</v>
      </c>
      <c r="O20" s="3">
        <v>360</v>
      </c>
      <c r="P20" s="3">
        <v>360</v>
      </c>
      <c r="Q20" s="3">
        <v>360</v>
      </c>
      <c r="S20" s="4">
        <v>0</v>
      </c>
      <c r="T20" s="4">
        <v>8</v>
      </c>
      <c r="U20" s="210"/>
      <c r="V20" s="210">
        <v>3.8892725124592776E-15</v>
      </c>
      <c r="W20" s="3">
        <v>0</v>
      </c>
      <c r="X20" s="3">
        <v>0</v>
      </c>
      <c r="Y20" s="3">
        <f t="shared" si="11"/>
        <v>1</v>
      </c>
      <c r="Z20" s="3">
        <f t="shared" si="12"/>
        <v>1</v>
      </c>
      <c r="AA20" s="3" t="str">
        <f t="shared" si="13"/>
        <v/>
      </c>
      <c r="AB20" s="3" t="str">
        <f t="shared" si="14"/>
        <v/>
      </c>
      <c r="AC20" s="3" t="str">
        <f t="shared" si="15"/>
        <v/>
      </c>
      <c r="AD20" s="3" t="str">
        <f t="shared" si="0"/>
        <v>0</v>
      </c>
      <c r="AE20" s="3">
        <f t="shared" si="1"/>
        <v>0</v>
      </c>
      <c r="AF20" s="3">
        <f t="shared" si="2"/>
        <v>0</v>
      </c>
      <c r="AM20" s="3" t="str">
        <f t="shared" si="3"/>
        <v/>
      </c>
      <c r="AN20" s="3" t="str">
        <f t="shared" si="4"/>
        <v/>
      </c>
      <c r="AO20" s="3" t="str">
        <f t="shared" si="5"/>
        <v/>
      </c>
      <c r="AP20" s="3">
        <f t="shared" si="6"/>
        <v>0</v>
      </c>
      <c r="AQ20" s="3">
        <f t="shared" si="7"/>
        <v>0</v>
      </c>
      <c r="AR20" s="3">
        <f t="shared" si="17"/>
        <v>0</v>
      </c>
      <c r="AS20" s="3" t="e">
        <f t="shared" si="18"/>
        <v>#REF!</v>
      </c>
      <c r="AT20" s="3" t="str">
        <f t="shared" si="8"/>
        <v/>
      </c>
      <c r="AU20" s="3">
        <f t="shared" si="9"/>
        <v>0</v>
      </c>
      <c r="AV20" s="3">
        <f t="shared" si="10"/>
        <v>0</v>
      </c>
      <c r="AW20" s="3">
        <v>32</v>
      </c>
      <c r="AX20" s="3" t="e">
        <f>IF(AND(#REF!="N",OR(AW20=$AX$1,AW20=$AX$2,AW20=$AX$3,AW20=$AX$4,AW20=$AY$1,AW20=$AY$2,AW20=$AY$3,AW20=$AY$4)),0,1)</f>
        <v>#REF!</v>
      </c>
    </row>
    <row r="21" spans="2:50" x14ac:dyDescent="0.2">
      <c r="B21" s="4">
        <v>34</v>
      </c>
      <c r="C21" s="208">
        <v>4.4194173824159217E-8</v>
      </c>
      <c r="D21" s="208">
        <v>4.4194173824159217E-8</v>
      </c>
      <c r="E21" s="208">
        <v>4.4194173824159217E-8</v>
      </c>
      <c r="F21" s="209" t="s">
        <v>714</v>
      </c>
      <c r="G21" s="208">
        <v>6.236381728359837E-16</v>
      </c>
      <c r="H21" s="210">
        <v>8.5243049364323726E-15</v>
      </c>
      <c r="I21" s="208">
        <v>3.7672461409083078E-24</v>
      </c>
      <c r="J21" s="208">
        <v>3.7672461409083078E-24</v>
      </c>
      <c r="K21" s="208">
        <v>3.7672461409083078E-24</v>
      </c>
      <c r="L21" s="208">
        <v>0</v>
      </c>
      <c r="M21" s="208">
        <v>0</v>
      </c>
      <c r="N21" s="208">
        <v>0</v>
      </c>
      <c r="O21" s="3">
        <v>360</v>
      </c>
      <c r="P21" s="3">
        <v>360</v>
      </c>
      <c r="Q21" s="3">
        <v>360</v>
      </c>
      <c r="S21" s="4">
        <v>0</v>
      </c>
      <c r="T21" s="4">
        <v>8.5</v>
      </c>
      <c r="U21" s="210"/>
      <c r="V21" s="210">
        <v>8.5243049364323726E-15</v>
      </c>
      <c r="W21" s="3">
        <v>0</v>
      </c>
      <c r="X21" s="3">
        <v>0</v>
      </c>
      <c r="Y21" s="3">
        <f t="shared" si="11"/>
        <v>1</v>
      </c>
      <c r="Z21" s="3">
        <f t="shared" si="12"/>
        <v>1</v>
      </c>
      <c r="AA21" s="3" t="str">
        <f t="shared" si="13"/>
        <v/>
      </c>
      <c r="AB21" s="3" t="str">
        <f t="shared" si="14"/>
        <v/>
      </c>
      <c r="AC21" s="3" t="str">
        <f t="shared" si="15"/>
        <v/>
      </c>
      <c r="AD21" s="3" t="str">
        <f t="shared" si="0"/>
        <v>0</v>
      </c>
      <c r="AE21" s="3">
        <f t="shared" si="1"/>
        <v>0</v>
      </c>
      <c r="AF21" s="3">
        <f t="shared" si="2"/>
        <v>0</v>
      </c>
      <c r="AM21" s="3" t="str">
        <f t="shared" si="3"/>
        <v/>
      </c>
      <c r="AN21" s="3" t="str">
        <f t="shared" si="4"/>
        <v/>
      </c>
      <c r="AO21" s="3" t="str">
        <f t="shared" si="5"/>
        <v/>
      </c>
      <c r="AP21" s="3">
        <f t="shared" si="6"/>
        <v>0</v>
      </c>
      <c r="AQ21" s="3">
        <f t="shared" si="7"/>
        <v>0</v>
      </c>
      <c r="AR21" s="3">
        <f t="shared" si="17"/>
        <v>0</v>
      </c>
      <c r="AS21" s="3" t="e">
        <f t="shared" si="18"/>
        <v>#REF!</v>
      </c>
      <c r="AT21" s="3" t="str">
        <f t="shared" si="8"/>
        <v/>
      </c>
      <c r="AU21" s="3">
        <f t="shared" si="9"/>
        <v>0</v>
      </c>
      <c r="AV21" s="3">
        <f t="shared" si="10"/>
        <v>0</v>
      </c>
      <c r="AW21" s="3">
        <v>34</v>
      </c>
      <c r="AX21" s="3" t="e">
        <f>IF(AND(#REF!="N",OR(AW21=$AX$1,AW21=$AX$2,AW21=$AX$3,AW21=$AX$4,AW21=$AY$1,AW21=$AY$2,AW21=$AY$3,AW21=$AY$4)),0,1)</f>
        <v>#REF!</v>
      </c>
    </row>
    <row r="22" spans="2:50" x14ac:dyDescent="0.2">
      <c r="B22" s="4">
        <v>36</v>
      </c>
      <c r="C22" s="208">
        <v>0.27059805007309806</v>
      </c>
      <c r="D22" s="208">
        <v>0.27059805007309823</v>
      </c>
      <c r="E22" s="208">
        <v>0.27059805007309939</v>
      </c>
      <c r="F22" s="209" t="s">
        <v>714</v>
      </c>
      <c r="G22" s="208">
        <v>4.2572953708802267E-16</v>
      </c>
      <c r="H22" s="210">
        <v>5.819156928899118E-15</v>
      </c>
      <c r="I22" s="208">
        <v>1.5746525180294588E-17</v>
      </c>
      <c r="J22" s="208">
        <v>1.5746525180294601E-17</v>
      </c>
      <c r="K22" s="208">
        <v>1.5746525180294669E-17</v>
      </c>
      <c r="L22" s="208">
        <v>9.192962141620198E-32</v>
      </c>
      <c r="M22" s="208">
        <v>1.3866695599588098E-32</v>
      </c>
      <c r="N22" s="208">
        <v>7.7375418988859459E-32</v>
      </c>
      <c r="O22" s="3">
        <v>360</v>
      </c>
      <c r="P22" s="3">
        <v>360</v>
      </c>
      <c r="Q22" s="3">
        <v>0</v>
      </c>
      <c r="S22" s="4">
        <v>0</v>
      </c>
      <c r="T22" s="4">
        <v>9</v>
      </c>
      <c r="U22" s="210"/>
      <c r="V22" s="210">
        <v>5.819156928899118E-15</v>
      </c>
      <c r="W22" s="3">
        <v>0</v>
      </c>
      <c r="X22" s="3">
        <v>0</v>
      </c>
      <c r="Y22" s="3">
        <f t="shared" si="11"/>
        <v>1</v>
      </c>
      <c r="Z22" s="3">
        <f t="shared" si="12"/>
        <v>1</v>
      </c>
      <c r="AA22" s="3" t="str">
        <f t="shared" si="13"/>
        <v/>
      </c>
      <c r="AB22" s="3" t="str">
        <f t="shared" si="14"/>
        <v/>
      </c>
      <c r="AC22" s="3" t="str">
        <f t="shared" si="15"/>
        <v/>
      </c>
      <c r="AD22" s="3" t="str">
        <f t="shared" si="0"/>
        <v>0</v>
      </c>
      <c r="AE22" s="3">
        <f t="shared" si="1"/>
        <v>0</v>
      </c>
      <c r="AF22" s="3">
        <f t="shared" si="2"/>
        <v>0</v>
      </c>
      <c r="AM22" s="3" t="str">
        <f t="shared" si="3"/>
        <v/>
      </c>
      <c r="AN22" s="3" t="str">
        <f t="shared" si="4"/>
        <v/>
      </c>
      <c r="AO22" s="3" t="str">
        <f t="shared" si="5"/>
        <v/>
      </c>
      <c r="AP22" s="3">
        <f t="shared" si="6"/>
        <v>0</v>
      </c>
      <c r="AQ22" s="3">
        <f t="shared" si="7"/>
        <v>0</v>
      </c>
      <c r="AR22" s="3">
        <f t="shared" si="17"/>
        <v>0</v>
      </c>
      <c r="AS22" s="3" t="e">
        <f t="shared" si="18"/>
        <v>#REF!</v>
      </c>
      <c r="AT22" s="3" t="str">
        <f t="shared" si="8"/>
        <v/>
      </c>
      <c r="AU22" s="3">
        <f t="shared" si="9"/>
        <v>0</v>
      </c>
      <c r="AV22" s="3">
        <f t="shared" si="10"/>
        <v>0</v>
      </c>
      <c r="AW22" s="3">
        <v>36</v>
      </c>
      <c r="AX22" s="3" t="e">
        <f>IF(AND(#REF!="N",OR(AW22=$AX$1,AW22=$AX$2,AW22=$AX$3,AW22=$AX$4,AW22=$AY$1,AW22=$AY$2,AW22=$AY$3,AW22=$AY$4)),0,1)</f>
        <v>#REF!</v>
      </c>
    </row>
    <row r="23" spans="2:50" x14ac:dyDescent="0.2">
      <c r="B23" s="4">
        <v>38</v>
      </c>
      <c r="C23" s="208">
        <v>4.4194173824159217E-8</v>
      </c>
      <c r="D23" s="208">
        <v>4.4194173824159217E-8</v>
      </c>
      <c r="E23" s="208">
        <v>4.4194173824159217E-8</v>
      </c>
      <c r="F23" s="209" t="s">
        <v>714</v>
      </c>
      <c r="G23" s="208">
        <v>2.2826202220546435E-16</v>
      </c>
      <c r="H23" s="210">
        <v>3.1200384572959946E-15</v>
      </c>
      <c r="I23" s="208">
        <v>1.3788752191980076E-24</v>
      </c>
      <c r="J23" s="208">
        <v>1.3788752191980076E-24</v>
      </c>
      <c r="K23" s="208">
        <v>1.3788752191980076E-24</v>
      </c>
      <c r="L23" s="208">
        <v>0</v>
      </c>
      <c r="M23" s="208">
        <v>0</v>
      </c>
      <c r="N23" s="208">
        <v>0</v>
      </c>
      <c r="O23" s="3">
        <v>360</v>
      </c>
      <c r="P23" s="3">
        <v>360</v>
      </c>
      <c r="Q23" s="3">
        <v>360</v>
      </c>
      <c r="S23" s="4">
        <v>0</v>
      </c>
      <c r="T23" s="4">
        <v>9.5</v>
      </c>
      <c r="U23" s="210"/>
      <c r="V23" s="210">
        <v>3.1200384572959946E-15</v>
      </c>
      <c r="W23" s="3">
        <v>0</v>
      </c>
      <c r="X23" s="3">
        <v>0</v>
      </c>
      <c r="Y23" s="3">
        <f t="shared" si="11"/>
        <v>1</v>
      </c>
      <c r="Z23" s="3">
        <f t="shared" si="12"/>
        <v>1</v>
      </c>
      <c r="AA23" s="3" t="str">
        <f t="shared" si="13"/>
        <v/>
      </c>
      <c r="AB23" s="3" t="str">
        <f t="shared" si="14"/>
        <v/>
      </c>
      <c r="AC23" s="3" t="str">
        <f t="shared" si="15"/>
        <v/>
      </c>
      <c r="AD23" s="3" t="str">
        <f t="shared" si="0"/>
        <v>0</v>
      </c>
      <c r="AE23" s="3">
        <f t="shared" si="1"/>
        <v>0</v>
      </c>
      <c r="AF23" s="3">
        <f t="shared" si="2"/>
        <v>0</v>
      </c>
      <c r="AM23" s="3" t="str">
        <f t="shared" si="3"/>
        <v/>
      </c>
      <c r="AN23" s="3" t="str">
        <f t="shared" si="4"/>
        <v/>
      </c>
      <c r="AO23" s="3" t="str">
        <f t="shared" si="5"/>
        <v/>
      </c>
      <c r="AP23" s="3">
        <f t="shared" si="6"/>
        <v>0</v>
      </c>
      <c r="AQ23" s="3">
        <f t="shared" si="7"/>
        <v>0</v>
      </c>
      <c r="AR23" s="3">
        <f t="shared" si="17"/>
        <v>0</v>
      </c>
      <c r="AS23" s="3" t="e">
        <f t="shared" si="18"/>
        <v>#REF!</v>
      </c>
      <c r="AT23" s="3" t="str">
        <f t="shared" si="8"/>
        <v/>
      </c>
      <c r="AU23" s="3">
        <f t="shared" si="9"/>
        <v>0</v>
      </c>
      <c r="AV23" s="3">
        <f t="shared" si="10"/>
        <v>0</v>
      </c>
      <c r="AW23" s="3">
        <v>38</v>
      </c>
      <c r="AX23" s="3" t="e">
        <f>IF(AND(#REF!="N",OR(AW23=$AX$1,AW23=$AX$2,AW23=$AX$3,AW23=$AX$4,AW23=$AY$1,AW23=$AY$2,AW23=$AY$3,AW23=$AY$4)),0,1)</f>
        <v>#REF!</v>
      </c>
    </row>
    <row r="24" spans="2:50" x14ac:dyDescent="0.2">
      <c r="B24" s="4">
        <v>40</v>
      </c>
      <c r="C24" s="208">
        <v>4.4194173824159217E-8</v>
      </c>
      <c r="D24" s="208">
        <v>4.4194173824159217E-8</v>
      </c>
      <c r="E24" s="208">
        <v>4.4194173824159217E-8</v>
      </c>
      <c r="F24" s="209" t="s">
        <v>714</v>
      </c>
      <c r="G24" s="208">
        <v>2.2793975217155205E-16</v>
      </c>
      <c r="H24" s="210">
        <v>3.1156334542660323E-15</v>
      </c>
      <c r="I24" s="208">
        <v>1.3769284645019865E-24</v>
      </c>
      <c r="J24" s="208">
        <v>1.3769284645019865E-24</v>
      </c>
      <c r="K24" s="208">
        <v>1.3769284645019865E-24</v>
      </c>
      <c r="L24" s="208">
        <v>0</v>
      </c>
      <c r="M24" s="208">
        <v>0</v>
      </c>
      <c r="N24" s="208">
        <v>0</v>
      </c>
      <c r="O24" s="3">
        <v>360</v>
      </c>
      <c r="P24" s="3">
        <v>360</v>
      </c>
      <c r="Q24" s="3">
        <v>360</v>
      </c>
      <c r="S24" s="4">
        <v>0</v>
      </c>
      <c r="T24" s="4">
        <v>10</v>
      </c>
      <c r="U24" s="210"/>
      <c r="V24" s="210">
        <v>3.1156334542660323E-15</v>
      </c>
      <c r="W24" s="3">
        <v>0</v>
      </c>
      <c r="X24" s="3">
        <v>0</v>
      </c>
      <c r="Y24" s="3">
        <f t="shared" si="11"/>
        <v>1</v>
      </c>
      <c r="Z24" s="3">
        <f t="shared" si="12"/>
        <v>1</v>
      </c>
      <c r="AA24" s="3" t="str">
        <f t="shared" si="13"/>
        <v/>
      </c>
      <c r="AB24" s="3" t="str">
        <f t="shared" si="14"/>
        <v/>
      </c>
      <c r="AC24" s="3" t="str">
        <f t="shared" si="15"/>
        <v/>
      </c>
      <c r="AD24" s="3" t="str">
        <f t="shared" si="0"/>
        <v>0</v>
      </c>
      <c r="AE24" s="3">
        <f t="shared" si="1"/>
        <v>0</v>
      </c>
      <c r="AF24" s="3">
        <f t="shared" si="2"/>
        <v>0</v>
      </c>
      <c r="AM24" s="3" t="str">
        <f t="shared" si="3"/>
        <v/>
      </c>
      <c r="AN24" s="3" t="str">
        <f t="shared" si="4"/>
        <v/>
      </c>
      <c r="AO24" s="3" t="str">
        <f t="shared" si="5"/>
        <v/>
      </c>
      <c r="AP24" s="3">
        <f t="shared" si="6"/>
        <v>0</v>
      </c>
      <c r="AQ24" s="3">
        <f t="shared" si="7"/>
        <v>0</v>
      </c>
      <c r="AR24" s="3">
        <f t="shared" si="17"/>
        <v>0</v>
      </c>
      <c r="AS24" s="3" t="e">
        <f t="shared" si="18"/>
        <v>#REF!</v>
      </c>
      <c r="AT24" s="3" t="str">
        <f t="shared" si="8"/>
        <v/>
      </c>
      <c r="AU24" s="3">
        <f t="shared" si="9"/>
        <v>0</v>
      </c>
      <c r="AV24" s="3">
        <f t="shared" si="10"/>
        <v>0</v>
      </c>
      <c r="AW24" s="3">
        <v>40</v>
      </c>
      <c r="AX24" s="3" t="e">
        <f>IF(AND(#REF!="N",OR(AW24=$AX$1,AW24=$AX$2,AW24=$AX$3,AW24=$AX$4,AW24=$AY$1,AW24=$AY$2,AW24=$AY$3,AW24=$AY$4)),0,1)</f>
        <v>#REF!</v>
      </c>
    </row>
    <row r="25" spans="2:50" x14ac:dyDescent="0.2">
      <c r="B25" s="4">
        <v>42</v>
      </c>
      <c r="C25" s="208">
        <v>4.4194173824159217E-8</v>
      </c>
      <c r="D25" s="208">
        <v>4.4194173824159217E-8</v>
      </c>
      <c r="E25" s="208">
        <v>4.4194173824159217E-8</v>
      </c>
      <c r="F25" s="209" t="s">
        <v>714</v>
      </c>
      <c r="G25" s="208">
        <v>5.5412249088859478E-17</v>
      </c>
      <c r="H25" s="210">
        <v>7.5741179584786739E-16</v>
      </c>
      <c r="I25" s="208">
        <v>3.3473188562169246E-25</v>
      </c>
      <c r="J25" s="208">
        <v>3.3473188562169246E-25</v>
      </c>
      <c r="K25" s="208">
        <v>3.3473188562169246E-25</v>
      </c>
      <c r="L25" s="208">
        <v>0</v>
      </c>
      <c r="M25" s="208">
        <v>0</v>
      </c>
      <c r="N25" s="208">
        <v>0</v>
      </c>
      <c r="O25" s="3">
        <v>360</v>
      </c>
      <c r="P25" s="3">
        <v>360</v>
      </c>
      <c r="Q25" s="3">
        <v>360</v>
      </c>
      <c r="S25" s="4">
        <v>0</v>
      </c>
      <c r="T25" s="4">
        <v>10.5</v>
      </c>
      <c r="U25" s="210"/>
      <c r="V25" s="210">
        <v>7.5741179584786729E-16</v>
      </c>
      <c r="W25" s="3">
        <v>0</v>
      </c>
      <c r="X25" s="3">
        <v>0</v>
      </c>
      <c r="Y25" s="3">
        <f t="shared" si="11"/>
        <v>1</v>
      </c>
      <c r="Z25" s="3">
        <f t="shared" si="12"/>
        <v>1</v>
      </c>
      <c r="AA25" s="3" t="str">
        <f t="shared" si="13"/>
        <v/>
      </c>
      <c r="AB25" s="3" t="str">
        <f t="shared" si="14"/>
        <v/>
      </c>
      <c r="AC25" s="3" t="str">
        <f t="shared" si="15"/>
        <v/>
      </c>
      <c r="AD25" s="3" t="str">
        <f t="shared" si="0"/>
        <v>0</v>
      </c>
      <c r="AE25" s="3">
        <f t="shared" si="1"/>
        <v>0</v>
      </c>
      <c r="AF25" s="3">
        <f t="shared" si="2"/>
        <v>0</v>
      </c>
      <c r="AM25" s="3" t="str">
        <f t="shared" si="3"/>
        <v/>
      </c>
      <c r="AN25" s="3" t="str">
        <f t="shared" si="4"/>
        <v/>
      </c>
      <c r="AO25" s="3" t="str">
        <f t="shared" si="5"/>
        <v/>
      </c>
      <c r="AP25" s="3">
        <f t="shared" si="6"/>
        <v>0</v>
      </c>
      <c r="AQ25" s="3">
        <f t="shared" si="7"/>
        <v>0</v>
      </c>
      <c r="AR25" s="3">
        <f t="shared" si="17"/>
        <v>0</v>
      </c>
      <c r="AS25" s="3" t="e">
        <f t="shared" si="18"/>
        <v>#REF!</v>
      </c>
      <c r="AT25" s="3" t="str">
        <f t="shared" si="8"/>
        <v/>
      </c>
      <c r="AU25" s="3">
        <f t="shared" si="9"/>
        <v>0</v>
      </c>
      <c r="AV25" s="3">
        <f t="shared" si="10"/>
        <v>0</v>
      </c>
      <c r="AW25" s="3">
        <v>42</v>
      </c>
      <c r="AX25" s="3" t="e">
        <f>IF(AND(#REF!="N",OR(AW25=$AX$1,AW25=$AX$2,AW25=$AX$3,AW25=$AX$4,AW25=$AY$1,AW25=$AY$2,AW25=$AY$3,AW25=$AY$4)),0,1)</f>
        <v>#REF!</v>
      </c>
    </row>
    <row r="26" spans="2:50" x14ac:dyDescent="0.2">
      <c r="B26" s="4">
        <v>44</v>
      </c>
      <c r="C26" s="208">
        <v>0.12607862007251919</v>
      </c>
      <c r="D26" s="208">
        <v>0.12607862007251969</v>
      </c>
      <c r="E26" s="208">
        <v>0.12607862007251891</v>
      </c>
      <c r="F26" s="209" t="s">
        <v>714</v>
      </c>
      <c r="G26" s="208">
        <v>8.7560882630166495E-2</v>
      </c>
      <c r="H26" s="210">
        <v>1.1968408871581457</v>
      </c>
      <c r="I26" s="208">
        <v>1.5089604749926866E-3</v>
      </c>
      <c r="J26" s="208">
        <v>1.5089604749926927E-3</v>
      </c>
      <c r="K26" s="208">
        <v>1.5089604749926834E-3</v>
      </c>
      <c r="L26" s="208">
        <v>2.6135962093005948E-3</v>
      </c>
      <c r="M26" s="208">
        <v>2.6135962093006074E-3</v>
      </c>
      <c r="N26" s="208">
        <v>2.6135962093006013E-3</v>
      </c>
      <c r="O26" s="3">
        <v>120</v>
      </c>
      <c r="P26" s="3">
        <v>120</v>
      </c>
      <c r="Q26" s="3">
        <v>120</v>
      </c>
      <c r="R26" s="4" t="s">
        <v>172</v>
      </c>
      <c r="S26" s="4" t="s">
        <v>172</v>
      </c>
      <c r="T26" s="4">
        <v>11</v>
      </c>
      <c r="U26" s="210"/>
      <c r="V26" s="210">
        <v>1.1968408871581457</v>
      </c>
      <c r="W26" s="3">
        <v>1.1968408871581471</v>
      </c>
      <c r="X26" s="3">
        <v>0</v>
      </c>
      <c r="Y26" s="3">
        <f t="shared" si="11"/>
        <v>1</v>
      </c>
      <c r="Z26" s="3">
        <f t="shared" si="12"/>
        <v>1</v>
      </c>
      <c r="AA26" s="3">
        <f t="shared" si="13"/>
        <v>5.1997140362997907E-2</v>
      </c>
      <c r="AB26" s="3">
        <f t="shared" si="14"/>
        <v>2.5998570181498953E-2</v>
      </c>
      <c r="AC26" s="3">
        <f t="shared" si="15"/>
        <v>2.1486421637602442E-3</v>
      </c>
      <c r="AD26" s="3" t="str">
        <f t="shared" si="0"/>
        <v>0.0000686657515523251+0.00211147186023399i</v>
      </c>
      <c r="AE26" s="3">
        <f t="shared" si="1"/>
        <v>6.8665751552325101E-5</v>
      </c>
      <c r="AF26" s="3">
        <f t="shared" si="2"/>
        <v>2.1114718602339901E-3</v>
      </c>
      <c r="AM26" s="3" t="str">
        <f t="shared" si="3"/>
        <v>-0.0000558616240894485+0.000111723248178897i</v>
      </c>
      <c r="AN26" s="3" t="str">
        <f t="shared" si="4"/>
        <v>0.0519971403629979+0.0281472123452592i</v>
      </c>
      <c r="AO26" s="3" t="str">
        <f t="shared" si="5"/>
        <v>0.0000686657515523251+0.00211147186023399i</v>
      </c>
      <c r="AP26" s="3">
        <f t="shared" si="6"/>
        <v>6.8665751552325101E-5</v>
      </c>
      <c r="AQ26" s="3">
        <f t="shared" si="7"/>
        <v>2.1114718602339901E-3</v>
      </c>
      <c r="AR26" s="3">
        <f t="shared" si="17"/>
        <v>-14.279966607226333</v>
      </c>
      <c r="AS26" s="3" t="e">
        <f t="shared" si="18"/>
        <v>#REF!</v>
      </c>
      <c r="AT26" s="3" t="e">
        <f t="shared" si="8"/>
        <v>#REF!</v>
      </c>
      <c r="AU26" s="3" t="e">
        <f t="shared" si="9"/>
        <v>#REF!</v>
      </c>
      <c r="AV26" s="3" t="e">
        <f t="shared" si="10"/>
        <v>#REF!</v>
      </c>
      <c r="AW26" s="3">
        <v>44</v>
      </c>
      <c r="AX26" s="3" t="e">
        <f>IF(AND(#REF!="N",OR(AW26=$AX$1,AW26=$AX$2,AW26=$AX$3,AW26=$AX$4,AW26=$AY$1,AW26=$AY$2,AW26=$AY$3,AW26=$AY$4)),0,1)</f>
        <v>#REF!</v>
      </c>
    </row>
    <row r="27" spans="2:50" x14ac:dyDescent="0.2">
      <c r="B27" s="4">
        <v>46</v>
      </c>
      <c r="C27" s="208">
        <v>4.4194173824159217E-8</v>
      </c>
      <c r="D27" s="208">
        <v>4.4194173824159217E-8</v>
      </c>
      <c r="E27" s="208">
        <v>4.4194173824159217E-8</v>
      </c>
      <c r="F27" s="209" t="s">
        <v>714</v>
      </c>
      <c r="G27" s="208">
        <v>2.8924175992720162E-16</v>
      </c>
      <c r="H27" s="210">
        <v>3.9535504229281338E-15</v>
      </c>
      <c r="I27" s="208">
        <v>1.7472389461346414E-24</v>
      </c>
      <c r="J27" s="208">
        <v>1.7472389461346414E-24</v>
      </c>
      <c r="K27" s="208">
        <v>1.7472389461346414E-24</v>
      </c>
      <c r="L27" s="208">
        <v>0</v>
      </c>
      <c r="M27" s="208">
        <v>0</v>
      </c>
      <c r="N27" s="208">
        <v>0</v>
      </c>
      <c r="O27" s="3">
        <v>360</v>
      </c>
      <c r="P27" s="3">
        <v>360</v>
      </c>
      <c r="Q27" s="3">
        <v>360</v>
      </c>
      <c r="S27" s="4">
        <v>0</v>
      </c>
      <c r="T27" s="4">
        <v>11.5</v>
      </c>
      <c r="U27" s="210"/>
      <c r="V27" s="210">
        <v>3.9535504229281338E-15</v>
      </c>
      <c r="W27" s="3">
        <v>0</v>
      </c>
      <c r="X27" s="3">
        <v>0</v>
      </c>
      <c r="Y27" s="3">
        <f t="shared" si="11"/>
        <v>1</v>
      </c>
      <c r="Z27" s="3">
        <f t="shared" si="12"/>
        <v>1</v>
      </c>
      <c r="AA27" s="3" t="str">
        <f t="shared" si="13"/>
        <v/>
      </c>
      <c r="AB27" s="3" t="str">
        <f t="shared" si="14"/>
        <v/>
      </c>
      <c r="AC27" s="3" t="str">
        <f t="shared" si="15"/>
        <v/>
      </c>
      <c r="AD27" s="3" t="str">
        <f t="shared" si="0"/>
        <v>0</v>
      </c>
      <c r="AE27" s="3">
        <f t="shared" si="1"/>
        <v>0</v>
      </c>
      <c r="AF27" s="3">
        <f t="shared" si="2"/>
        <v>0</v>
      </c>
      <c r="AM27" s="3" t="str">
        <f t="shared" si="3"/>
        <v/>
      </c>
      <c r="AN27" s="3" t="str">
        <f t="shared" si="4"/>
        <v/>
      </c>
      <c r="AO27" s="3" t="str">
        <f t="shared" si="5"/>
        <v/>
      </c>
      <c r="AP27" s="3">
        <f t="shared" si="6"/>
        <v>0</v>
      </c>
      <c r="AQ27" s="3">
        <f t="shared" si="7"/>
        <v>0</v>
      </c>
      <c r="AR27" s="3">
        <f t="shared" si="17"/>
        <v>0</v>
      </c>
      <c r="AS27" s="3" t="e">
        <f t="shared" si="18"/>
        <v>#REF!</v>
      </c>
      <c r="AT27" s="3" t="str">
        <f t="shared" si="8"/>
        <v/>
      </c>
      <c r="AU27" s="3">
        <f t="shared" si="9"/>
        <v>0</v>
      </c>
      <c r="AV27" s="3">
        <f t="shared" si="10"/>
        <v>0</v>
      </c>
      <c r="AW27" s="3">
        <v>46</v>
      </c>
      <c r="AX27" s="3" t="e">
        <f>IF(AND(#REF!="N",OR(AW27=$AX$1,AW27=$AX$2,AW27=$AX$3,AW27=$AX$4,AW27=$AY$1,AW27=$AY$2,AW27=$AY$3,AW27=$AY$4)),0,1)</f>
        <v>#REF!</v>
      </c>
    </row>
    <row r="28" spans="2:50" x14ac:dyDescent="0.2">
      <c r="B28" s="4">
        <v>48</v>
      </c>
      <c r="C28" s="208">
        <v>4.4194173824159217E-8</v>
      </c>
      <c r="D28" s="208">
        <v>4.4194173824159217E-8</v>
      </c>
      <c r="E28" s="208">
        <v>4.4194173824159217E-8</v>
      </c>
      <c r="F28" s="209" t="s">
        <v>714</v>
      </c>
      <c r="G28" s="208">
        <v>7.0678992921411409E-16</v>
      </c>
      <c r="H28" s="210">
        <v>9.6608789279566778E-15</v>
      </c>
      <c r="I28" s="208">
        <v>4.2695456263627439E-24</v>
      </c>
      <c r="J28" s="208">
        <v>4.2695456263627439E-24</v>
      </c>
      <c r="K28" s="208">
        <v>4.2695456263627439E-24</v>
      </c>
      <c r="L28" s="208">
        <v>0</v>
      </c>
      <c r="M28" s="208">
        <v>0</v>
      </c>
      <c r="N28" s="208">
        <v>0</v>
      </c>
      <c r="O28" s="3">
        <v>360</v>
      </c>
      <c r="P28" s="3">
        <v>360</v>
      </c>
      <c r="Q28" s="3">
        <v>360</v>
      </c>
      <c r="S28" s="4">
        <v>0</v>
      </c>
      <c r="T28" s="4">
        <v>12</v>
      </c>
      <c r="U28" s="210"/>
      <c r="V28" s="210">
        <v>9.6608789279566778E-15</v>
      </c>
      <c r="W28" s="3">
        <v>0</v>
      </c>
      <c r="X28" s="3">
        <v>0</v>
      </c>
      <c r="Y28" s="3">
        <f t="shared" si="11"/>
        <v>1</v>
      </c>
      <c r="Z28" s="3">
        <f t="shared" si="12"/>
        <v>1</v>
      </c>
      <c r="AA28" s="3" t="str">
        <f t="shared" si="13"/>
        <v/>
      </c>
      <c r="AB28" s="3" t="str">
        <f t="shared" si="14"/>
        <v/>
      </c>
      <c r="AC28" s="3" t="str">
        <f t="shared" si="15"/>
        <v/>
      </c>
      <c r="AD28" s="3" t="str">
        <f t="shared" si="0"/>
        <v>0</v>
      </c>
      <c r="AE28" s="3">
        <f t="shared" si="1"/>
        <v>0</v>
      </c>
      <c r="AF28" s="3">
        <f t="shared" si="2"/>
        <v>0</v>
      </c>
      <c r="AM28" s="3" t="str">
        <f t="shared" si="3"/>
        <v/>
      </c>
      <c r="AN28" s="3" t="str">
        <f t="shared" si="4"/>
        <v/>
      </c>
      <c r="AO28" s="3" t="str">
        <f t="shared" si="5"/>
        <v/>
      </c>
      <c r="AP28" s="3">
        <f t="shared" si="6"/>
        <v>0</v>
      </c>
      <c r="AQ28" s="3">
        <f t="shared" si="7"/>
        <v>0</v>
      </c>
      <c r="AR28" s="3">
        <f t="shared" si="17"/>
        <v>0</v>
      </c>
      <c r="AS28" s="3" t="e">
        <f t="shared" si="18"/>
        <v>#REF!</v>
      </c>
      <c r="AT28" s="3" t="str">
        <f t="shared" si="8"/>
        <v/>
      </c>
      <c r="AU28" s="3">
        <f t="shared" si="9"/>
        <v>0</v>
      </c>
      <c r="AV28" s="3">
        <f t="shared" si="10"/>
        <v>0</v>
      </c>
      <c r="AW28" s="3">
        <v>48</v>
      </c>
      <c r="AX28" s="3" t="e">
        <f>IF(AND(#REF!="N",OR(AW28=$AX$1,AW28=$AX$2,AW28=$AX$3,AW28=$AX$4,AW28=$AY$1,AW28=$AY$2,AW28=$AY$3,AW28=$AY$4)),0,1)</f>
        <v>#REF!</v>
      </c>
    </row>
    <row r="29" spans="2:50" x14ac:dyDescent="0.2">
      <c r="B29" s="4">
        <v>50</v>
      </c>
      <c r="C29" s="208">
        <v>4.4194173824159217E-8</v>
      </c>
      <c r="D29" s="208">
        <v>4.4194173824159217E-8</v>
      </c>
      <c r="E29" s="208">
        <v>4.4194173824159217E-8</v>
      </c>
      <c r="F29" s="209" t="s">
        <v>714</v>
      </c>
      <c r="G29" s="208">
        <v>8.9810419926012417E-16</v>
      </c>
      <c r="H29" s="210">
        <v>1.2275890721008133E-14</v>
      </c>
      <c r="I29" s="208">
        <v>5.4252284837061669E-24</v>
      </c>
      <c r="J29" s="208">
        <v>5.4252284837061669E-24</v>
      </c>
      <c r="K29" s="208">
        <v>5.4252284837061669E-24</v>
      </c>
      <c r="L29" s="208">
        <v>0</v>
      </c>
      <c r="M29" s="208">
        <v>0</v>
      </c>
      <c r="N29" s="208">
        <v>0</v>
      </c>
      <c r="O29" s="3">
        <v>360</v>
      </c>
      <c r="P29" s="3">
        <v>360</v>
      </c>
      <c r="Q29" s="3">
        <v>360</v>
      </c>
      <c r="S29" s="4">
        <v>0</v>
      </c>
      <c r="T29" s="4">
        <v>12.5</v>
      </c>
      <c r="U29" s="210"/>
      <c r="V29" s="210">
        <v>1.2275890721008135E-14</v>
      </c>
      <c r="W29" s="3">
        <v>0</v>
      </c>
      <c r="X29" s="3">
        <v>0</v>
      </c>
      <c r="Y29" s="3">
        <f t="shared" si="11"/>
        <v>1</v>
      </c>
      <c r="Z29" s="3">
        <f t="shared" si="12"/>
        <v>1</v>
      </c>
      <c r="AA29" s="3" t="str">
        <f t="shared" si="13"/>
        <v/>
      </c>
      <c r="AB29" s="3" t="str">
        <f t="shared" si="14"/>
        <v/>
      </c>
      <c r="AC29" s="3" t="str">
        <f t="shared" si="15"/>
        <v/>
      </c>
      <c r="AD29" s="3" t="str">
        <f t="shared" si="0"/>
        <v>0</v>
      </c>
      <c r="AE29" s="3">
        <f t="shared" si="1"/>
        <v>0</v>
      </c>
      <c r="AF29" s="3">
        <f t="shared" si="2"/>
        <v>0</v>
      </c>
      <c r="AM29" s="3" t="str">
        <f t="shared" si="3"/>
        <v/>
      </c>
      <c r="AN29" s="3" t="str">
        <f t="shared" si="4"/>
        <v/>
      </c>
      <c r="AO29" s="3" t="str">
        <f t="shared" si="5"/>
        <v/>
      </c>
      <c r="AP29" s="3">
        <f t="shared" si="6"/>
        <v>0</v>
      </c>
      <c r="AQ29" s="3">
        <f t="shared" si="7"/>
        <v>0</v>
      </c>
      <c r="AR29" s="3">
        <f t="shared" si="17"/>
        <v>0</v>
      </c>
      <c r="AS29" s="3" t="e">
        <f t="shared" si="18"/>
        <v>#REF!</v>
      </c>
      <c r="AT29" s="3" t="str">
        <f t="shared" si="8"/>
        <v/>
      </c>
      <c r="AU29" s="3">
        <f t="shared" si="9"/>
        <v>0</v>
      </c>
      <c r="AV29" s="3">
        <f t="shared" si="10"/>
        <v>0</v>
      </c>
      <c r="AW29" s="3">
        <v>50</v>
      </c>
      <c r="AX29" s="3" t="e">
        <f>IF(AND(#REF!="N",OR(AW29=$AX$1,AW29=$AX$2,AW29=$AX$3,AW29=$AX$4,AW29=$AY$1,AW29=$AY$2,AW29=$AY$3,AW29=$AY$4)),0,1)</f>
        <v>#REF!</v>
      </c>
    </row>
    <row r="30" spans="2:50" x14ac:dyDescent="0.2">
      <c r="B30" s="4">
        <v>52</v>
      </c>
      <c r="C30" s="208">
        <v>0.12607862007251916</v>
      </c>
      <c r="D30" s="208">
        <v>0.12607862007251933</v>
      </c>
      <c r="E30" s="208">
        <v>0.12607862007251996</v>
      </c>
      <c r="F30" s="209" t="s">
        <v>714</v>
      </c>
      <c r="G30" s="208">
        <v>7.4089977610140925E-2</v>
      </c>
      <c r="H30" s="210">
        <v>1.0127115199030472</v>
      </c>
      <c r="I30" s="208">
        <v>1.2768127096091971E-3</v>
      </c>
      <c r="J30" s="208">
        <v>1.2768127096091989E-3</v>
      </c>
      <c r="K30" s="208">
        <v>1.2768127096092052E-3</v>
      </c>
      <c r="L30" s="208">
        <v>2.2115044847928231E-3</v>
      </c>
      <c r="M30" s="208">
        <v>2.2115044847928174E-3</v>
      </c>
      <c r="N30" s="208">
        <v>2.2115044847928252E-3</v>
      </c>
      <c r="O30" s="3">
        <v>240</v>
      </c>
      <c r="P30" s="3">
        <v>240</v>
      </c>
      <c r="Q30" s="3">
        <v>240</v>
      </c>
      <c r="R30" s="4" t="s">
        <v>168</v>
      </c>
      <c r="S30" s="4" t="s">
        <v>168</v>
      </c>
      <c r="T30" s="4">
        <v>13</v>
      </c>
      <c r="U30" s="210"/>
      <c r="V30" s="210">
        <v>1.0127115199030472</v>
      </c>
      <c r="W30" s="3">
        <v>0</v>
      </c>
      <c r="X30" s="3">
        <v>1.0127115199030488</v>
      </c>
      <c r="Y30" s="3">
        <f t="shared" si="11"/>
        <v>1</v>
      </c>
      <c r="Z30" s="3">
        <f t="shared" si="12"/>
        <v>1</v>
      </c>
      <c r="AA30" s="3">
        <f t="shared" si="13"/>
        <v>5.1997140362997886E-2</v>
      </c>
      <c r="AB30" s="3">
        <f t="shared" si="14"/>
        <v>2.5998570181498943E-2</v>
      </c>
      <c r="AC30" s="3">
        <f t="shared" si="15"/>
        <v>1.5383769338165056E-3</v>
      </c>
      <c r="AD30" s="3" t="str">
        <f t="shared" si="0"/>
        <v>0.0000355450937300465+0.00151955275695947i</v>
      </c>
      <c r="AE30" s="3">
        <f t="shared" si="1"/>
        <v>3.5545093730046503E-5</v>
      </c>
      <c r="AF30" s="3">
        <f t="shared" si="2"/>
        <v>1.5195527569594699E-3</v>
      </c>
      <c r="AM30" s="3" t="str">
        <f t="shared" si="3"/>
        <v>-0.0000399956006794276+0.0000799912013588554i</v>
      </c>
      <c r="AN30" s="3" t="str">
        <f t="shared" si="4"/>
        <v>0.0519971403629979+0.0275369471153154i</v>
      </c>
      <c r="AO30" s="3" t="str">
        <f t="shared" si="5"/>
        <v>0.0000355450937300465+0.00151955275695947i</v>
      </c>
      <c r="AP30" s="3">
        <f t="shared" si="6"/>
        <v>3.5545093730046503E-5</v>
      </c>
      <c r="AQ30" s="3">
        <f t="shared" si="7"/>
        <v>1.5195527569594699E-3</v>
      </c>
      <c r="AR30" s="3">
        <f t="shared" si="17"/>
        <v>12.083048667653051</v>
      </c>
      <c r="AS30" s="3" t="e">
        <f t="shared" si="18"/>
        <v>#REF!</v>
      </c>
      <c r="AT30" s="3" t="e">
        <f t="shared" si="8"/>
        <v>#REF!</v>
      </c>
      <c r="AU30" s="3" t="e">
        <f t="shared" si="9"/>
        <v>#REF!</v>
      </c>
      <c r="AV30" s="3" t="e">
        <f t="shared" si="10"/>
        <v>#REF!</v>
      </c>
      <c r="AW30" s="3">
        <v>52</v>
      </c>
      <c r="AX30" s="3" t="e">
        <f>IF(AND(#REF!="N",OR(AW30=$AX$1,AW30=$AX$2,AW30=$AX$3,AW30=$AX$4,AW30=$AY$1,AW30=$AY$2,AW30=$AY$3,AW30=$AY$4)),0,1)</f>
        <v>#REF!</v>
      </c>
    </row>
    <row r="31" spans="2:50" x14ac:dyDescent="0.2">
      <c r="B31" s="4">
        <v>54</v>
      </c>
      <c r="C31" s="208">
        <v>4.4194173824159217E-8</v>
      </c>
      <c r="D31" s="208">
        <v>4.4194173824159217E-8</v>
      </c>
      <c r="E31" s="208">
        <v>4.4194173824159217E-8</v>
      </c>
      <c r="F31" s="209" t="s">
        <v>714</v>
      </c>
      <c r="G31" s="208">
        <v>2.3191854743276775E-16</v>
      </c>
      <c r="H31" s="210">
        <v>3.1700182972143082E-15</v>
      </c>
      <c r="I31" s="208">
        <v>1.4009633965285435E-24</v>
      </c>
      <c r="J31" s="208">
        <v>1.4009633965285435E-24</v>
      </c>
      <c r="K31" s="208">
        <v>1.4009633965285435E-24</v>
      </c>
      <c r="L31" s="208">
        <v>0</v>
      </c>
      <c r="M31" s="208">
        <v>0</v>
      </c>
      <c r="N31" s="208">
        <v>0</v>
      </c>
      <c r="O31" s="3">
        <v>360</v>
      </c>
      <c r="P31" s="3">
        <v>360</v>
      </c>
      <c r="Q31" s="3">
        <v>360</v>
      </c>
      <c r="S31" s="4">
        <v>0</v>
      </c>
      <c r="T31" s="4">
        <v>13.5</v>
      </c>
      <c r="U31" s="210"/>
      <c r="V31" s="210">
        <v>3.1700182972143082E-15</v>
      </c>
      <c r="W31" s="3">
        <v>0</v>
      </c>
      <c r="X31" s="3">
        <v>0</v>
      </c>
      <c r="Y31" s="3">
        <f t="shared" si="11"/>
        <v>1</v>
      </c>
      <c r="Z31" s="3">
        <f t="shared" si="12"/>
        <v>1</v>
      </c>
      <c r="AA31" s="3" t="str">
        <f t="shared" si="13"/>
        <v/>
      </c>
      <c r="AB31" s="3" t="str">
        <f t="shared" si="14"/>
        <v/>
      </c>
      <c r="AC31" s="3" t="str">
        <f t="shared" si="15"/>
        <v/>
      </c>
      <c r="AD31" s="3" t="str">
        <f t="shared" si="0"/>
        <v>0</v>
      </c>
      <c r="AE31" s="3">
        <f t="shared" si="1"/>
        <v>0</v>
      </c>
      <c r="AF31" s="3">
        <f t="shared" si="2"/>
        <v>0</v>
      </c>
      <c r="AM31" s="3" t="str">
        <f t="shared" si="3"/>
        <v/>
      </c>
      <c r="AN31" s="3" t="str">
        <f t="shared" si="4"/>
        <v/>
      </c>
      <c r="AO31" s="3" t="str">
        <f t="shared" si="5"/>
        <v/>
      </c>
      <c r="AP31" s="3">
        <f t="shared" si="6"/>
        <v>0</v>
      </c>
      <c r="AQ31" s="3">
        <f t="shared" si="7"/>
        <v>0</v>
      </c>
      <c r="AR31" s="3">
        <f t="shared" si="17"/>
        <v>0</v>
      </c>
      <c r="AS31" s="3" t="e">
        <f t="shared" si="18"/>
        <v>#REF!</v>
      </c>
      <c r="AT31" s="3" t="str">
        <f t="shared" si="8"/>
        <v/>
      </c>
      <c r="AU31" s="3">
        <f t="shared" si="9"/>
        <v>0</v>
      </c>
      <c r="AV31" s="3">
        <f t="shared" si="10"/>
        <v>0</v>
      </c>
      <c r="AW31" s="3">
        <v>54</v>
      </c>
      <c r="AX31" s="3" t="e">
        <f>IF(AND(#REF!="N",OR(AW31=$AX$1,AW31=$AX$2,AW31=$AX$3,AW31=$AX$4,AW31=$AY$1,AW31=$AY$2,AW31=$AY$3,AW31=$AY$4)),0,1)</f>
        <v>#REF!</v>
      </c>
    </row>
    <row r="32" spans="2:50" x14ac:dyDescent="0.2">
      <c r="B32" s="4">
        <v>56</v>
      </c>
      <c r="C32" s="208">
        <v>4.4194173824159217E-8</v>
      </c>
      <c r="D32" s="208">
        <v>4.4194173824159217E-8</v>
      </c>
      <c r="E32" s="208">
        <v>4.4194173824159217E-8</v>
      </c>
      <c r="F32" s="209" t="s">
        <v>714</v>
      </c>
      <c r="G32" s="208">
        <v>3.1692405434133634E-16</v>
      </c>
      <c r="H32" s="210">
        <v>4.331930594643894E-15</v>
      </c>
      <c r="I32" s="208">
        <v>1.9144609369388566E-24</v>
      </c>
      <c r="J32" s="208">
        <v>1.9144609369388566E-24</v>
      </c>
      <c r="K32" s="208">
        <v>1.9144609369388566E-24</v>
      </c>
      <c r="L32" s="208">
        <v>0</v>
      </c>
      <c r="M32" s="208">
        <v>0</v>
      </c>
      <c r="N32" s="208">
        <v>0</v>
      </c>
      <c r="O32" s="3">
        <v>360</v>
      </c>
      <c r="P32" s="3">
        <v>360</v>
      </c>
      <c r="Q32" s="3">
        <v>360</v>
      </c>
      <c r="S32" s="4">
        <v>0</v>
      </c>
      <c r="T32" s="4">
        <v>14</v>
      </c>
      <c r="U32" s="210"/>
      <c r="V32" s="210">
        <v>4.3319305946438948E-15</v>
      </c>
      <c r="W32" s="3">
        <v>0</v>
      </c>
      <c r="X32" s="3">
        <v>0</v>
      </c>
      <c r="Y32" s="3">
        <f t="shared" si="11"/>
        <v>1</v>
      </c>
      <c r="Z32" s="3">
        <f t="shared" si="12"/>
        <v>1</v>
      </c>
      <c r="AA32" s="3" t="str">
        <f t="shared" si="13"/>
        <v/>
      </c>
      <c r="AB32" s="3" t="str">
        <f t="shared" si="14"/>
        <v/>
      </c>
      <c r="AC32" s="3" t="str">
        <f t="shared" si="15"/>
        <v/>
      </c>
      <c r="AD32" s="3" t="str">
        <f t="shared" si="0"/>
        <v>0</v>
      </c>
      <c r="AE32" s="3">
        <f t="shared" si="1"/>
        <v>0</v>
      </c>
      <c r="AF32" s="3">
        <f t="shared" si="2"/>
        <v>0</v>
      </c>
      <c r="AM32" s="3" t="str">
        <f t="shared" si="3"/>
        <v/>
      </c>
      <c r="AN32" s="3" t="str">
        <f t="shared" si="4"/>
        <v/>
      </c>
      <c r="AO32" s="3" t="str">
        <f t="shared" si="5"/>
        <v/>
      </c>
      <c r="AP32" s="3">
        <f t="shared" si="6"/>
        <v>0</v>
      </c>
      <c r="AQ32" s="3">
        <f t="shared" si="7"/>
        <v>0</v>
      </c>
      <c r="AR32" s="3">
        <f t="shared" si="17"/>
        <v>0</v>
      </c>
      <c r="AS32" s="3" t="e">
        <f t="shared" si="18"/>
        <v>#REF!</v>
      </c>
      <c r="AT32" s="3" t="str">
        <f t="shared" si="8"/>
        <v/>
      </c>
      <c r="AU32" s="3">
        <f t="shared" si="9"/>
        <v>0</v>
      </c>
      <c r="AV32" s="3">
        <f t="shared" si="10"/>
        <v>0</v>
      </c>
      <c r="AW32" s="3">
        <v>56</v>
      </c>
      <c r="AX32" s="3" t="e">
        <f>IF(AND(#REF!="N",OR(AW32=$AX$1,AW32=$AX$2,AW32=$AX$3,AW32=$AX$4,AW32=$AY$1,AW32=$AY$2,AW32=$AY$3,AW32=$AY$4)),0,1)</f>
        <v>#REF!</v>
      </c>
    </row>
    <row r="33" spans="2:50" x14ac:dyDescent="0.2">
      <c r="B33" s="4">
        <v>58</v>
      </c>
      <c r="C33" s="208">
        <v>4.4194173824159217E-8</v>
      </c>
      <c r="D33" s="208">
        <v>4.4194173824159217E-8</v>
      </c>
      <c r="E33" s="208">
        <v>4.4194173824159217E-8</v>
      </c>
      <c r="F33" s="209" t="s">
        <v>714</v>
      </c>
      <c r="G33" s="208">
        <v>5.5509488275821964E-16</v>
      </c>
      <c r="H33" s="210">
        <v>7.5874092629167833E-15</v>
      </c>
      <c r="I33" s="208">
        <v>3.3531928384038008E-24</v>
      </c>
      <c r="J33" s="208">
        <v>3.3531928384038008E-24</v>
      </c>
      <c r="K33" s="208">
        <v>3.3531928384038008E-24</v>
      </c>
      <c r="L33" s="208">
        <v>0</v>
      </c>
      <c r="M33" s="208">
        <v>0</v>
      </c>
      <c r="N33" s="208">
        <v>0</v>
      </c>
      <c r="O33" s="3">
        <v>360</v>
      </c>
      <c r="P33" s="3">
        <v>360</v>
      </c>
      <c r="Q33" s="3">
        <v>360</v>
      </c>
      <c r="S33" s="4">
        <v>0</v>
      </c>
      <c r="T33" s="4">
        <v>14.5</v>
      </c>
      <c r="U33" s="210"/>
      <c r="V33" s="210">
        <v>7.5874092629167833E-15</v>
      </c>
      <c r="W33" s="3">
        <v>0</v>
      </c>
      <c r="X33" s="3">
        <v>0</v>
      </c>
      <c r="Y33" s="3">
        <f t="shared" si="11"/>
        <v>1</v>
      </c>
      <c r="Z33" s="3">
        <f t="shared" si="12"/>
        <v>1</v>
      </c>
      <c r="AA33" s="3" t="str">
        <f t="shared" si="13"/>
        <v/>
      </c>
      <c r="AB33" s="3" t="str">
        <f t="shared" si="14"/>
        <v/>
      </c>
      <c r="AC33" s="3" t="str">
        <f t="shared" si="15"/>
        <v/>
      </c>
      <c r="AD33" s="3" t="str">
        <f t="shared" si="0"/>
        <v>0</v>
      </c>
      <c r="AE33" s="3">
        <f t="shared" si="1"/>
        <v>0</v>
      </c>
      <c r="AF33" s="3">
        <f t="shared" si="2"/>
        <v>0</v>
      </c>
      <c r="AM33" s="3" t="str">
        <f t="shared" si="3"/>
        <v/>
      </c>
      <c r="AN33" s="3" t="str">
        <f t="shared" si="4"/>
        <v/>
      </c>
      <c r="AO33" s="3" t="str">
        <f t="shared" si="5"/>
        <v/>
      </c>
      <c r="AP33" s="3">
        <f t="shared" si="6"/>
        <v>0</v>
      </c>
      <c r="AQ33" s="3">
        <f t="shared" si="7"/>
        <v>0</v>
      </c>
      <c r="AR33" s="3">
        <f t="shared" si="17"/>
        <v>0</v>
      </c>
      <c r="AS33" s="3" t="e">
        <f t="shared" si="18"/>
        <v>#REF!</v>
      </c>
      <c r="AT33" s="3" t="str">
        <f t="shared" si="8"/>
        <v/>
      </c>
      <c r="AU33" s="3">
        <f t="shared" si="9"/>
        <v>0</v>
      </c>
      <c r="AV33" s="3">
        <f t="shared" si="10"/>
        <v>0</v>
      </c>
      <c r="AW33" s="3">
        <v>58</v>
      </c>
      <c r="AX33" s="3" t="e">
        <f>IF(AND(#REF!="N",OR(AW33=$AX$1,AW33=$AX$2,AW33=$AX$3,AW33=$AX$4,AW33=$AY$1,AW33=$AY$2,AW33=$AY$3,AW33=$AY$4)),0,1)</f>
        <v>#REF!</v>
      </c>
    </row>
    <row r="34" spans="2:50" x14ac:dyDescent="0.2">
      <c r="B34" s="4">
        <v>60</v>
      </c>
      <c r="C34" s="208">
        <v>0.27059805007309734</v>
      </c>
      <c r="D34" s="208">
        <v>0.27059805007309623</v>
      </c>
      <c r="E34" s="208">
        <v>0.27059805007309745</v>
      </c>
      <c r="F34" s="209" t="s">
        <v>714</v>
      </c>
      <c r="G34" s="208">
        <v>3.2222955177854321E-16</v>
      </c>
      <c r="H34" s="210">
        <v>4.4044496929995143E-15</v>
      </c>
      <c r="I34" s="208">
        <v>1.1918354985707207E-17</v>
      </c>
      <c r="J34" s="208">
        <v>1.1918354985707159E-17</v>
      </c>
      <c r="K34" s="208">
        <v>1.1918354985707213E-17</v>
      </c>
      <c r="L34" s="208">
        <v>2.7432166226010373E-32</v>
      </c>
      <c r="M34" s="208">
        <v>6.1340188451433044E-32</v>
      </c>
      <c r="N34" s="208">
        <v>5.4864332452020746E-32</v>
      </c>
      <c r="O34" s="3">
        <v>0</v>
      </c>
      <c r="P34" s="3">
        <v>360</v>
      </c>
      <c r="Q34" s="3">
        <v>360</v>
      </c>
      <c r="S34" s="4">
        <v>0</v>
      </c>
      <c r="T34" s="4">
        <v>15</v>
      </c>
      <c r="U34" s="210"/>
      <c r="V34" s="210">
        <v>4.4044496929995143E-15</v>
      </c>
      <c r="W34" s="3">
        <v>0</v>
      </c>
      <c r="X34" s="3">
        <v>0</v>
      </c>
      <c r="Y34" s="3">
        <f t="shared" si="11"/>
        <v>1</v>
      </c>
      <c r="Z34" s="3">
        <f t="shared" si="12"/>
        <v>1</v>
      </c>
      <c r="AA34" s="3" t="str">
        <f t="shared" si="13"/>
        <v/>
      </c>
      <c r="AB34" s="3" t="str">
        <f t="shared" si="14"/>
        <v/>
      </c>
      <c r="AC34" s="3" t="str">
        <f t="shared" si="15"/>
        <v/>
      </c>
      <c r="AD34" s="3" t="str">
        <f t="shared" si="0"/>
        <v>0</v>
      </c>
      <c r="AE34" s="3">
        <f t="shared" si="1"/>
        <v>0</v>
      </c>
      <c r="AF34" s="3">
        <f t="shared" si="2"/>
        <v>0</v>
      </c>
      <c r="AM34" s="3" t="str">
        <f t="shared" si="3"/>
        <v/>
      </c>
      <c r="AN34" s="3" t="str">
        <f t="shared" si="4"/>
        <v/>
      </c>
      <c r="AO34" s="3" t="str">
        <f t="shared" si="5"/>
        <v/>
      </c>
      <c r="AP34" s="3">
        <f t="shared" si="6"/>
        <v>0</v>
      </c>
      <c r="AQ34" s="3">
        <f t="shared" si="7"/>
        <v>0</v>
      </c>
      <c r="AR34" s="3">
        <f t="shared" si="17"/>
        <v>0</v>
      </c>
      <c r="AS34" s="3" t="e">
        <f t="shared" si="18"/>
        <v>#REF!</v>
      </c>
      <c r="AT34" s="3" t="str">
        <f t="shared" si="8"/>
        <v/>
      </c>
      <c r="AU34" s="3">
        <f t="shared" si="9"/>
        <v>0</v>
      </c>
      <c r="AV34" s="3">
        <f t="shared" si="10"/>
        <v>0</v>
      </c>
      <c r="AW34" s="3">
        <v>60</v>
      </c>
      <c r="AX34" s="3" t="e">
        <f>IF(AND(#REF!="N",OR(AW34=$AX$1,AW34=$AX$2,AW34=$AX$3,AW34=$AX$4,AW34=$AY$1,AW34=$AY$2,AW34=$AY$3,AW34=$AY$4)),0,1)</f>
        <v>#REF!</v>
      </c>
    </row>
    <row r="35" spans="2:50" x14ac:dyDescent="0.2">
      <c r="B35" s="4">
        <v>62</v>
      </c>
      <c r="C35" s="208">
        <v>4.4194173824159217E-8</v>
      </c>
      <c r="D35" s="208">
        <v>4.4194173824159217E-8</v>
      </c>
      <c r="E35" s="208">
        <v>4.4194173824159217E-8</v>
      </c>
      <c r="F35" s="209" t="s">
        <v>714</v>
      </c>
      <c r="G35" s="208">
        <v>8.1080337944021717E-16</v>
      </c>
      <c r="H35" s="210">
        <v>1.1082604546813111E-14</v>
      </c>
      <c r="I35" s="208">
        <v>4.8978655176627585E-24</v>
      </c>
      <c r="J35" s="208">
        <v>4.8978655176627585E-24</v>
      </c>
      <c r="K35" s="208">
        <v>4.8978655176627585E-24</v>
      </c>
      <c r="L35" s="208">
        <v>0</v>
      </c>
      <c r="M35" s="208">
        <v>0</v>
      </c>
      <c r="N35" s="208">
        <v>0</v>
      </c>
      <c r="O35" s="3">
        <v>360</v>
      </c>
      <c r="P35" s="3">
        <v>360</v>
      </c>
      <c r="Q35" s="3">
        <v>360</v>
      </c>
      <c r="S35" s="4">
        <v>0</v>
      </c>
      <c r="T35" s="4">
        <v>15.5</v>
      </c>
      <c r="U35" s="210"/>
      <c r="V35" s="210">
        <v>1.1082604546813111E-14</v>
      </c>
      <c r="W35" s="3">
        <v>0</v>
      </c>
      <c r="X35" s="3">
        <v>0</v>
      </c>
      <c r="Y35" s="3">
        <f t="shared" si="11"/>
        <v>1</v>
      </c>
      <c r="Z35" s="3">
        <f t="shared" si="12"/>
        <v>1</v>
      </c>
      <c r="AA35" s="3" t="str">
        <f t="shared" si="13"/>
        <v/>
      </c>
      <c r="AB35" s="3" t="str">
        <f t="shared" si="14"/>
        <v/>
      </c>
      <c r="AC35" s="3" t="str">
        <f t="shared" si="15"/>
        <v/>
      </c>
      <c r="AD35" s="3" t="str">
        <f t="shared" si="0"/>
        <v>0</v>
      </c>
      <c r="AE35" s="3">
        <f t="shared" si="1"/>
        <v>0</v>
      </c>
      <c r="AF35" s="3">
        <f t="shared" si="2"/>
        <v>0</v>
      </c>
      <c r="AM35" s="3" t="str">
        <f t="shared" si="3"/>
        <v/>
      </c>
      <c r="AN35" s="3" t="str">
        <f t="shared" si="4"/>
        <v/>
      </c>
      <c r="AO35" s="3" t="str">
        <f t="shared" si="5"/>
        <v/>
      </c>
      <c r="AP35" s="3">
        <f t="shared" si="6"/>
        <v>0</v>
      </c>
      <c r="AQ35" s="3">
        <f t="shared" si="7"/>
        <v>0</v>
      </c>
      <c r="AR35" s="3">
        <f t="shared" si="17"/>
        <v>0</v>
      </c>
      <c r="AS35" s="3" t="e">
        <f t="shared" si="18"/>
        <v>#REF!</v>
      </c>
      <c r="AT35" s="3" t="str">
        <f t="shared" si="8"/>
        <v/>
      </c>
      <c r="AU35" s="3">
        <f t="shared" si="9"/>
        <v>0</v>
      </c>
      <c r="AV35" s="3">
        <f t="shared" si="10"/>
        <v>0</v>
      </c>
      <c r="AW35" s="3">
        <v>62</v>
      </c>
      <c r="AX35" s="3" t="e">
        <f>IF(AND(#REF!="N",OR(AW35=$AX$1,AW35=$AX$2,AW35=$AX$3,AW35=$AX$4,AW35=$AY$1,AW35=$AY$2,AW35=$AY$3,AW35=$AY$4)),0,1)</f>
        <v>#REF!</v>
      </c>
    </row>
    <row r="36" spans="2:50" x14ac:dyDescent="0.2">
      <c r="B36" s="4">
        <v>64</v>
      </c>
      <c r="C36" s="208">
        <v>4.4194173824159217E-8</v>
      </c>
      <c r="D36" s="208">
        <v>4.4194173824159217E-8</v>
      </c>
      <c r="E36" s="208">
        <v>4.4194173824159217E-8</v>
      </c>
      <c r="F36" s="209" t="s">
        <v>714</v>
      </c>
      <c r="G36" s="208">
        <v>2.6769267643477068E-16</v>
      </c>
      <c r="H36" s="210">
        <v>3.6590030927754737E-15</v>
      </c>
      <c r="I36" s="208">
        <v>1.6170661870525545E-24</v>
      </c>
      <c r="J36" s="208">
        <v>1.6170661870525545E-24</v>
      </c>
      <c r="K36" s="208">
        <v>1.6170661870525545E-24</v>
      </c>
      <c r="L36" s="208">
        <v>0</v>
      </c>
      <c r="M36" s="208">
        <v>0</v>
      </c>
      <c r="N36" s="208">
        <v>0</v>
      </c>
      <c r="O36" s="3">
        <v>360</v>
      </c>
      <c r="P36" s="3">
        <v>360</v>
      </c>
      <c r="Q36" s="3">
        <v>360</v>
      </c>
      <c r="S36" s="4">
        <v>0</v>
      </c>
      <c r="T36" s="4">
        <v>16</v>
      </c>
      <c r="U36" s="210"/>
      <c r="V36" s="210">
        <v>3.6590030927754729E-15</v>
      </c>
      <c r="W36" s="3">
        <v>0</v>
      </c>
      <c r="X36" s="3">
        <v>0</v>
      </c>
      <c r="Y36" s="3">
        <f t="shared" si="11"/>
        <v>1</v>
      </c>
      <c r="Z36" s="3">
        <f t="shared" si="12"/>
        <v>1</v>
      </c>
      <c r="AA36" s="3" t="str">
        <f t="shared" si="13"/>
        <v/>
      </c>
      <c r="AB36" s="3" t="str">
        <f t="shared" si="14"/>
        <v/>
      </c>
      <c r="AC36" s="3" t="str">
        <f t="shared" si="15"/>
        <v/>
      </c>
      <c r="AD36" s="3" t="str">
        <f t="shared" si="0"/>
        <v>0</v>
      </c>
      <c r="AE36" s="3">
        <f t="shared" si="1"/>
        <v>0</v>
      </c>
      <c r="AF36" s="3">
        <f t="shared" si="2"/>
        <v>0</v>
      </c>
      <c r="AM36" s="3" t="str">
        <f t="shared" si="3"/>
        <v/>
      </c>
      <c r="AN36" s="3" t="str">
        <f t="shared" si="4"/>
        <v/>
      </c>
      <c r="AO36" s="3" t="str">
        <f t="shared" si="5"/>
        <v/>
      </c>
      <c r="AP36" s="3">
        <f t="shared" si="6"/>
        <v>0</v>
      </c>
      <c r="AQ36" s="3">
        <f t="shared" si="7"/>
        <v>0</v>
      </c>
      <c r="AR36" s="3">
        <f t="shared" si="17"/>
        <v>0</v>
      </c>
      <c r="AS36" s="3" t="e">
        <f t="shared" si="18"/>
        <v>#REF!</v>
      </c>
      <c r="AT36" s="3" t="str">
        <f t="shared" si="8"/>
        <v/>
      </c>
      <c r="AU36" s="3">
        <f t="shared" si="9"/>
        <v>0</v>
      </c>
      <c r="AV36" s="3">
        <f t="shared" si="10"/>
        <v>0</v>
      </c>
      <c r="AW36" s="3">
        <v>64</v>
      </c>
      <c r="AX36" s="3" t="e">
        <f>IF(AND(#REF!="N",OR(AW36=$AX$1,AW36=$AX$2,AW36=$AX$3,AW36=$AX$4,AW36=$AY$1,AW36=$AY$2,AW36=$AY$3,AW36=$AY$4)),0,1)</f>
        <v>#REF!</v>
      </c>
    </row>
    <row r="37" spans="2:50" x14ac:dyDescent="0.2">
      <c r="B37" s="4">
        <v>66</v>
      </c>
      <c r="C37" s="208">
        <v>4.4194173824159217E-8</v>
      </c>
      <c r="D37" s="208">
        <v>4.4194173824159217E-8</v>
      </c>
      <c r="E37" s="208">
        <v>4.4194173824159217E-8</v>
      </c>
      <c r="F37" s="209" t="s">
        <v>714</v>
      </c>
      <c r="G37" s="208">
        <v>5.3278582537447098E-16</v>
      </c>
      <c r="H37" s="210">
        <v>7.2824740997617587E-15</v>
      </c>
      <c r="I37" s="208">
        <v>3.2184292623480857E-24</v>
      </c>
      <c r="J37" s="208">
        <v>3.2184292623480857E-24</v>
      </c>
      <c r="K37" s="208">
        <v>3.2184292623480857E-24</v>
      </c>
      <c r="L37" s="208">
        <v>0</v>
      </c>
      <c r="M37" s="208">
        <v>0</v>
      </c>
      <c r="N37" s="208">
        <v>0</v>
      </c>
      <c r="O37" s="3">
        <v>360</v>
      </c>
      <c r="P37" s="3">
        <v>360</v>
      </c>
      <c r="Q37" s="3">
        <v>360</v>
      </c>
      <c r="S37" s="4">
        <v>0</v>
      </c>
      <c r="T37" s="4">
        <v>16.5</v>
      </c>
      <c r="U37" s="210"/>
      <c r="V37" s="210">
        <v>7.2824740997617587E-15</v>
      </c>
      <c r="W37" s="3">
        <v>0</v>
      </c>
      <c r="X37" s="3">
        <v>0</v>
      </c>
      <c r="Y37" s="3">
        <f t="shared" si="11"/>
        <v>1</v>
      </c>
      <c r="Z37" s="3">
        <f t="shared" si="12"/>
        <v>1</v>
      </c>
      <c r="AA37" s="3" t="str">
        <f t="shared" si="13"/>
        <v/>
      </c>
      <c r="AB37" s="3" t="str">
        <f t="shared" si="14"/>
        <v/>
      </c>
      <c r="AC37" s="3" t="str">
        <f t="shared" si="15"/>
        <v/>
      </c>
      <c r="AD37" s="3" t="str">
        <f t="shared" si="0"/>
        <v>0</v>
      </c>
      <c r="AE37" s="3">
        <f t="shared" si="1"/>
        <v>0</v>
      </c>
      <c r="AF37" s="3">
        <f t="shared" si="2"/>
        <v>0</v>
      </c>
      <c r="AM37" s="3" t="str">
        <f t="shared" si="3"/>
        <v/>
      </c>
      <c r="AN37" s="3" t="str">
        <f t="shared" si="4"/>
        <v/>
      </c>
      <c r="AO37" s="3" t="str">
        <f t="shared" si="5"/>
        <v/>
      </c>
      <c r="AP37" s="3">
        <f t="shared" si="6"/>
        <v>0</v>
      </c>
      <c r="AQ37" s="3">
        <f t="shared" si="7"/>
        <v>0</v>
      </c>
      <c r="AR37" s="3">
        <f t="shared" si="17"/>
        <v>0</v>
      </c>
      <c r="AS37" s="3" t="e">
        <f t="shared" si="18"/>
        <v>#REF!</v>
      </c>
      <c r="AT37" s="3" t="str">
        <f t="shared" si="8"/>
        <v/>
      </c>
      <c r="AU37" s="3">
        <f t="shared" si="9"/>
        <v>0</v>
      </c>
      <c r="AV37" s="3">
        <f t="shared" si="10"/>
        <v>0</v>
      </c>
      <c r="AW37" s="3">
        <v>66</v>
      </c>
      <c r="AX37" s="3" t="e">
        <f>IF(AND(#REF!="N",OR(AW37=$AX$1,AW37=$AX$2,AW37=$AX$3,AW37=$AX$4,AW37=$AY$1,AW37=$AY$2,AW37=$AY$3,AW37=$AY$4)),0,1)</f>
        <v>#REF!</v>
      </c>
    </row>
    <row r="38" spans="2:50" x14ac:dyDescent="0.2">
      <c r="B38" s="4">
        <v>68</v>
      </c>
      <c r="C38" s="208">
        <v>0.15755905175128254</v>
      </c>
      <c r="D38" s="208">
        <v>0.15755905175128193</v>
      </c>
      <c r="E38" s="208">
        <v>0.15755905175128543</v>
      </c>
      <c r="F38" s="209" t="s">
        <v>714</v>
      </c>
      <c r="G38" s="208">
        <v>7.0803675995543755E-2</v>
      </c>
      <c r="H38" s="210">
        <v>0.96779214470103581</v>
      </c>
      <c r="I38" s="208">
        <v>1.5248441261143523E-3</v>
      </c>
      <c r="J38" s="208">
        <v>1.5248441261143464E-3</v>
      </c>
      <c r="K38" s="208">
        <v>1.5248441261143802E-3</v>
      </c>
      <c r="L38" s="208">
        <v>2.6411075000530495E-3</v>
      </c>
      <c r="M38" s="208">
        <v>2.6411075000530148E-3</v>
      </c>
      <c r="N38" s="208">
        <v>2.6411075000530421E-3</v>
      </c>
      <c r="O38" s="3">
        <v>120</v>
      </c>
      <c r="P38" s="3">
        <v>120</v>
      </c>
      <c r="Q38" s="3">
        <v>120</v>
      </c>
      <c r="R38" s="4" t="s">
        <v>172</v>
      </c>
      <c r="S38" s="4" t="s">
        <v>172</v>
      </c>
      <c r="T38" s="4">
        <v>17</v>
      </c>
      <c r="U38" s="210"/>
      <c r="V38" s="210">
        <v>0.96779214470103581</v>
      </c>
      <c r="W38" s="3">
        <v>0.96779214470103736</v>
      </c>
      <c r="X38" s="3">
        <v>0</v>
      </c>
      <c r="Y38" s="3">
        <f t="shared" si="11"/>
        <v>1</v>
      </c>
      <c r="Z38" s="3">
        <f t="shared" si="12"/>
        <v>1</v>
      </c>
      <c r="AA38" s="3">
        <f t="shared" si="13"/>
        <v>8.1205095784413761E-2</v>
      </c>
      <c r="AB38" s="3">
        <f t="shared" si="14"/>
        <v>4.0602547892206881E-2</v>
      </c>
      <c r="AC38" s="3">
        <f t="shared" si="15"/>
        <v>1.4049324530175395E-3</v>
      </c>
      <c r="AD38" s="3" t="str">
        <f t="shared" si="0"/>
        <v>0.0000191754361510834+0.00139501297999129i</v>
      </c>
      <c r="AE38" s="3">
        <f t="shared" si="1"/>
        <v>1.9175436151083401E-5</v>
      </c>
      <c r="AF38" s="3">
        <f t="shared" si="2"/>
        <v>1.3950129799912901E-3</v>
      </c>
      <c r="AM38" s="3" t="str">
        <f t="shared" si="3"/>
        <v>-0.0000570438372089604+0.000114087674417921i</v>
      </c>
      <c r="AN38" s="3" t="str">
        <f t="shared" si="4"/>
        <v>0.0812050957844138+0.0420074803452244i</v>
      </c>
      <c r="AO38" s="3" t="str">
        <f t="shared" si="5"/>
        <v>0.0000191754361510834+0.00139501297999129i</v>
      </c>
      <c r="AP38" s="3">
        <f t="shared" si="6"/>
        <v>1.9175436151083401E-5</v>
      </c>
      <c r="AQ38" s="3">
        <f t="shared" si="7"/>
        <v>1.3950129799912901E-3</v>
      </c>
      <c r="AR38" s="3">
        <f t="shared" si="17"/>
        <v>-9.2399783929111567</v>
      </c>
      <c r="AS38" s="3" t="e">
        <f t="shared" si="18"/>
        <v>#REF!</v>
      </c>
      <c r="AT38" s="3" t="e">
        <f t="shared" si="8"/>
        <v>#REF!</v>
      </c>
      <c r="AU38" s="3" t="e">
        <f t="shared" si="9"/>
        <v>#REF!</v>
      </c>
      <c r="AV38" s="3" t="e">
        <f t="shared" si="10"/>
        <v>#REF!</v>
      </c>
      <c r="AW38" s="3">
        <v>68</v>
      </c>
      <c r="AX38" s="3" t="e">
        <f>IF(AND(#REF!="N",OR(AW38=$AX$1,AW38=$AX$2,AW38=$AX$3,AW38=$AX$4,AW38=$AY$1,AW38=$AY$2,AW38=$AY$3,AW38=$AY$4)),0,1)</f>
        <v>#REF!</v>
      </c>
    </row>
    <row r="39" spans="2:50" x14ac:dyDescent="0.2">
      <c r="B39" s="4">
        <v>70</v>
      </c>
      <c r="C39" s="208">
        <v>4.4194173824159217E-8</v>
      </c>
      <c r="D39" s="208">
        <v>4.4194173824159217E-8</v>
      </c>
      <c r="E39" s="208">
        <v>4.4194173824159217E-8</v>
      </c>
      <c r="F39" s="209" t="s">
        <v>714</v>
      </c>
      <c r="G39" s="208">
        <v>4.4775330999623854E-16</v>
      </c>
      <c r="H39" s="210">
        <v>6.1201926324492034E-15</v>
      </c>
      <c r="I39" s="208">
        <v>2.7047685703579868E-24</v>
      </c>
      <c r="J39" s="208">
        <v>2.7047685703579868E-24</v>
      </c>
      <c r="K39" s="208">
        <v>2.7047685703579868E-24</v>
      </c>
      <c r="L39" s="208">
        <v>0</v>
      </c>
      <c r="M39" s="208">
        <v>0</v>
      </c>
      <c r="N39" s="208">
        <v>0</v>
      </c>
      <c r="O39" s="3">
        <v>360</v>
      </c>
      <c r="P39" s="3">
        <v>360</v>
      </c>
      <c r="Q39" s="3">
        <v>360</v>
      </c>
      <c r="S39" s="4">
        <v>0</v>
      </c>
      <c r="T39" s="4">
        <v>17.5</v>
      </c>
      <c r="U39" s="210"/>
      <c r="V39" s="210">
        <v>6.1201926324492034E-15</v>
      </c>
      <c r="W39" s="3">
        <v>0</v>
      </c>
      <c r="X39" s="3">
        <v>0</v>
      </c>
      <c r="Y39" s="3">
        <f t="shared" si="11"/>
        <v>1</v>
      </c>
      <c r="Z39" s="3">
        <f t="shared" si="12"/>
        <v>1</v>
      </c>
      <c r="AA39" s="3" t="str">
        <f t="shared" si="13"/>
        <v/>
      </c>
      <c r="AB39" s="3" t="str">
        <f t="shared" si="14"/>
        <v/>
      </c>
      <c r="AC39" s="3" t="str">
        <f t="shared" si="15"/>
        <v/>
      </c>
      <c r="AD39" s="3" t="str">
        <f t="shared" si="0"/>
        <v>0</v>
      </c>
      <c r="AE39" s="3">
        <f t="shared" si="1"/>
        <v>0</v>
      </c>
      <c r="AF39" s="3">
        <f t="shared" si="2"/>
        <v>0</v>
      </c>
      <c r="AM39" s="3" t="str">
        <f t="shared" si="3"/>
        <v/>
      </c>
      <c r="AN39" s="3" t="str">
        <f t="shared" si="4"/>
        <v/>
      </c>
      <c r="AO39" s="3" t="str">
        <f t="shared" si="5"/>
        <v/>
      </c>
      <c r="AP39" s="3">
        <f t="shared" si="6"/>
        <v>0</v>
      </c>
      <c r="AQ39" s="3">
        <f t="shared" si="7"/>
        <v>0</v>
      </c>
      <c r="AR39" s="3">
        <f t="shared" si="17"/>
        <v>0</v>
      </c>
      <c r="AS39" s="3" t="e">
        <f t="shared" si="18"/>
        <v>#REF!</v>
      </c>
      <c r="AT39" s="3" t="str">
        <f t="shared" si="8"/>
        <v/>
      </c>
      <c r="AU39" s="3">
        <f t="shared" si="9"/>
        <v>0</v>
      </c>
      <c r="AV39" s="3">
        <f t="shared" si="10"/>
        <v>0</v>
      </c>
      <c r="AW39" s="3">
        <v>70</v>
      </c>
      <c r="AX39" s="3" t="e">
        <f>IF(AND(#REF!="N",OR(AW39=$AX$1,AW39=$AX$2,AW39=$AX$3,AW39=$AX$4,AW39=$AY$1,AW39=$AY$2,AW39=$AY$3,AW39=$AY$4)),0,1)</f>
        <v>#REF!</v>
      </c>
    </row>
    <row r="40" spans="2:50" x14ac:dyDescent="0.2">
      <c r="B40" s="4">
        <v>72</v>
      </c>
      <c r="C40" s="208">
        <v>4.4194173824159217E-8</v>
      </c>
      <c r="D40" s="208">
        <v>4.4194173824159217E-8</v>
      </c>
      <c r="E40" s="208">
        <v>4.4194173824159217E-8</v>
      </c>
      <c r="F40" s="209" t="s">
        <v>714</v>
      </c>
      <c r="G40" s="208">
        <v>1.6673006376925842E-16</v>
      </c>
      <c r="H40" s="210">
        <v>2.27897836846136E-15</v>
      </c>
      <c r="I40" s="208">
        <v>1.0071756615728012E-24</v>
      </c>
      <c r="J40" s="208">
        <v>1.0071756615728012E-24</v>
      </c>
      <c r="K40" s="208">
        <v>1.0071756615728012E-24</v>
      </c>
      <c r="L40" s="208">
        <v>0</v>
      </c>
      <c r="M40" s="208">
        <v>0</v>
      </c>
      <c r="N40" s="208">
        <v>0</v>
      </c>
      <c r="O40" s="3">
        <v>360</v>
      </c>
      <c r="P40" s="3">
        <v>360</v>
      </c>
      <c r="Q40" s="3">
        <v>360</v>
      </c>
      <c r="S40" s="4">
        <v>0</v>
      </c>
      <c r="T40" s="4">
        <v>18</v>
      </c>
      <c r="U40" s="210"/>
      <c r="V40" s="210">
        <v>2.27897836846136E-15</v>
      </c>
      <c r="W40" s="3">
        <v>0</v>
      </c>
      <c r="X40" s="3">
        <v>0</v>
      </c>
      <c r="Y40" s="3">
        <f t="shared" si="11"/>
        <v>1</v>
      </c>
      <c r="Z40" s="3">
        <f t="shared" si="12"/>
        <v>1</v>
      </c>
      <c r="AA40" s="3" t="str">
        <f t="shared" si="13"/>
        <v/>
      </c>
      <c r="AB40" s="3" t="str">
        <f t="shared" si="14"/>
        <v/>
      </c>
      <c r="AC40" s="3" t="str">
        <f t="shared" si="15"/>
        <v/>
      </c>
      <c r="AD40" s="3" t="str">
        <f t="shared" si="0"/>
        <v>0</v>
      </c>
      <c r="AE40" s="3">
        <f t="shared" si="1"/>
        <v>0</v>
      </c>
      <c r="AF40" s="3">
        <f t="shared" si="2"/>
        <v>0</v>
      </c>
      <c r="AM40" s="3" t="str">
        <f t="shared" si="3"/>
        <v/>
      </c>
      <c r="AN40" s="3" t="str">
        <f t="shared" si="4"/>
        <v/>
      </c>
      <c r="AO40" s="3" t="str">
        <f t="shared" si="5"/>
        <v/>
      </c>
      <c r="AP40" s="3">
        <f t="shared" si="6"/>
        <v>0</v>
      </c>
      <c r="AQ40" s="3">
        <f t="shared" si="7"/>
        <v>0</v>
      </c>
      <c r="AR40" s="3">
        <f t="shared" si="17"/>
        <v>0</v>
      </c>
      <c r="AS40" s="3" t="e">
        <f t="shared" si="18"/>
        <v>#REF!</v>
      </c>
      <c r="AT40" s="3" t="str">
        <f t="shared" si="8"/>
        <v/>
      </c>
      <c r="AU40" s="3">
        <f t="shared" si="9"/>
        <v>0</v>
      </c>
      <c r="AV40" s="3">
        <f t="shared" si="10"/>
        <v>0</v>
      </c>
      <c r="AW40" s="3">
        <v>72</v>
      </c>
      <c r="AX40" s="3" t="e">
        <f>IF(AND(#REF!="N",OR(AW40=$AX$1,AW40=$AX$2,AW40=$AX$3,AW40=$AX$4,AW40=$AY$1,AW40=$AY$2,AW40=$AY$3,AW40=$AY$4)),0,1)</f>
        <v>#REF!</v>
      </c>
    </row>
    <row r="41" spans="2:50" x14ac:dyDescent="0.2">
      <c r="B41" s="4">
        <v>74</v>
      </c>
      <c r="C41" s="208">
        <v>4.4194173824159217E-8</v>
      </c>
      <c r="D41" s="208">
        <v>4.4194173824159217E-8</v>
      </c>
      <c r="E41" s="208">
        <v>4.4194173824159217E-8</v>
      </c>
      <c r="F41" s="209" t="s">
        <v>714</v>
      </c>
      <c r="G41" s="208">
        <v>2.9851644876541436E-16</v>
      </c>
      <c r="H41" s="210">
        <v>4.0803230922275865E-15</v>
      </c>
      <c r="I41" s="208">
        <v>1.8032650799663678E-24</v>
      </c>
      <c r="J41" s="208">
        <v>1.8032650799663678E-24</v>
      </c>
      <c r="K41" s="208">
        <v>1.8032650799663678E-24</v>
      </c>
      <c r="L41" s="208">
        <v>0</v>
      </c>
      <c r="M41" s="208">
        <v>0</v>
      </c>
      <c r="N41" s="208">
        <v>0</v>
      </c>
      <c r="O41" s="3">
        <v>360</v>
      </c>
      <c r="P41" s="3">
        <v>360</v>
      </c>
      <c r="Q41" s="3">
        <v>360</v>
      </c>
      <c r="S41" s="4">
        <v>0</v>
      </c>
      <c r="T41" s="4">
        <v>18.5</v>
      </c>
      <c r="U41" s="210"/>
      <c r="V41" s="210">
        <v>4.0803230922275865E-15</v>
      </c>
      <c r="W41" s="3">
        <v>0</v>
      </c>
      <c r="X41" s="3">
        <v>0</v>
      </c>
      <c r="Y41" s="3">
        <f t="shared" si="11"/>
        <v>1</v>
      </c>
      <c r="Z41" s="3">
        <f t="shared" si="12"/>
        <v>1</v>
      </c>
      <c r="AA41" s="3" t="str">
        <f t="shared" si="13"/>
        <v/>
      </c>
      <c r="AB41" s="3" t="str">
        <f t="shared" si="14"/>
        <v/>
      </c>
      <c r="AC41" s="3" t="str">
        <f t="shared" si="15"/>
        <v/>
      </c>
      <c r="AD41" s="3" t="str">
        <f t="shared" si="0"/>
        <v>0</v>
      </c>
      <c r="AE41" s="3">
        <f t="shared" si="1"/>
        <v>0</v>
      </c>
      <c r="AF41" s="3">
        <f t="shared" si="2"/>
        <v>0</v>
      </c>
      <c r="AM41" s="3" t="str">
        <f t="shared" si="3"/>
        <v/>
      </c>
      <c r="AN41" s="3" t="str">
        <f t="shared" si="4"/>
        <v/>
      </c>
      <c r="AO41" s="3" t="str">
        <f t="shared" si="5"/>
        <v/>
      </c>
      <c r="AP41" s="3">
        <f t="shared" si="6"/>
        <v>0</v>
      </c>
      <c r="AQ41" s="3">
        <f t="shared" si="7"/>
        <v>0</v>
      </c>
      <c r="AR41" s="3">
        <f t="shared" si="17"/>
        <v>0</v>
      </c>
      <c r="AS41" s="3" t="e">
        <f t="shared" si="18"/>
        <v>#REF!</v>
      </c>
      <c r="AT41" s="3" t="str">
        <f t="shared" si="8"/>
        <v/>
      </c>
      <c r="AU41" s="3">
        <f t="shared" si="9"/>
        <v>0</v>
      </c>
      <c r="AV41" s="3">
        <f t="shared" si="10"/>
        <v>0</v>
      </c>
      <c r="AW41" s="3">
        <v>74</v>
      </c>
      <c r="AX41" s="3" t="e">
        <f>IF(AND(#REF!="N",OR(AW41=$AX$1,AW41=$AX$2,AW41=$AX$3,AW41=$AX$4,AW41=$AY$1,AW41=$AY$2,AW41=$AY$3,AW41=$AY$4)),0,1)</f>
        <v>#REF!</v>
      </c>
    </row>
    <row r="42" spans="2:50" x14ac:dyDescent="0.2">
      <c r="B42" s="4">
        <v>76</v>
      </c>
      <c r="C42" s="208">
        <v>0.20533495396307375</v>
      </c>
      <c r="D42" s="208">
        <v>0.20533495396307377</v>
      </c>
      <c r="E42" s="208">
        <v>0.20533495396307305</v>
      </c>
      <c r="F42" s="209" t="s">
        <v>714</v>
      </c>
      <c r="G42" s="208">
        <v>8.2560184200682021E-2</v>
      </c>
      <c r="H42" s="210">
        <v>1.1284879861254582</v>
      </c>
      <c r="I42" s="208">
        <v>2.3171802867895277E-3</v>
      </c>
      <c r="J42" s="208">
        <v>2.3171802867895282E-3</v>
      </c>
      <c r="K42" s="208">
        <v>2.3171802867895199E-3</v>
      </c>
      <c r="L42" s="208">
        <v>4.0134739870164686E-3</v>
      </c>
      <c r="M42" s="208">
        <v>4.0134739870164998E-3</v>
      </c>
      <c r="N42" s="208">
        <v>4.0134739870164712E-3</v>
      </c>
      <c r="O42" s="3">
        <v>240</v>
      </c>
      <c r="P42" s="3">
        <v>240</v>
      </c>
      <c r="Q42" s="3">
        <v>240</v>
      </c>
      <c r="R42" s="4" t="s">
        <v>168</v>
      </c>
      <c r="S42" s="4" t="s">
        <v>168</v>
      </c>
      <c r="T42" s="4">
        <v>19</v>
      </c>
      <c r="U42" s="210"/>
      <c r="V42" s="210">
        <v>1.1284879861254582</v>
      </c>
      <c r="W42" s="3">
        <v>0</v>
      </c>
      <c r="X42" s="3">
        <v>1.1284879861254566</v>
      </c>
      <c r="Y42" s="3">
        <f t="shared" si="11"/>
        <v>1</v>
      </c>
      <c r="Z42" s="3">
        <f t="shared" si="12"/>
        <v>1</v>
      </c>
      <c r="AA42" s="3">
        <f t="shared" si="13"/>
        <v>0.1379184401020338</v>
      </c>
      <c r="AB42" s="3">
        <f t="shared" si="14"/>
        <v>6.8959220051016901E-2</v>
      </c>
      <c r="AC42" s="3">
        <f t="shared" si="15"/>
        <v>1.910227702244235E-3</v>
      </c>
      <c r="AD42" s="3" t="str">
        <f t="shared" si="0"/>
        <v>0.0000209308252232081+0.00189947238900627i</v>
      </c>
      <c r="AE42" s="3">
        <f t="shared" si="1"/>
        <v>2.0930825223208101E-5</v>
      </c>
      <c r="AF42" s="3">
        <f t="shared" si="2"/>
        <v>1.89947238900627E-3</v>
      </c>
      <c r="AM42" s="3" t="str">
        <f t="shared" si="3"/>
        <v>-0.000131727812466609+0.000263455624933218i</v>
      </c>
      <c r="AN42" s="3" t="str">
        <f t="shared" si="4"/>
        <v>0.137918440102034+0.0708694477532611i</v>
      </c>
      <c r="AO42" s="3" t="str">
        <f t="shared" si="5"/>
        <v>0.0000209308252232081+0.00189947238900627i</v>
      </c>
      <c r="AP42" s="3">
        <f t="shared" si="6"/>
        <v>2.0930825223208101E-5</v>
      </c>
      <c r="AQ42" s="3">
        <f t="shared" si="7"/>
        <v>1.89947238900627E-3</v>
      </c>
      <c r="AR42" s="3">
        <f t="shared" si="17"/>
        <v>8.2673490883941927</v>
      </c>
      <c r="AS42" s="3" t="e">
        <f t="shared" si="18"/>
        <v>#REF!</v>
      </c>
      <c r="AT42" s="3" t="e">
        <f t="shared" si="8"/>
        <v>#REF!</v>
      </c>
      <c r="AU42" s="3" t="e">
        <f t="shared" si="9"/>
        <v>#REF!</v>
      </c>
      <c r="AV42" s="3" t="e">
        <f t="shared" si="10"/>
        <v>#REF!</v>
      </c>
      <c r="AW42" s="3">
        <v>76</v>
      </c>
      <c r="AX42" s="3" t="e">
        <f>IF(AND(#REF!="N",OR(AW42=$AX$1,AW42=$AX$2,AW42=$AX$3,AW42=$AX$4,AW42=$AY$1,AW42=$AY$2,AW42=$AY$3,AW42=$AY$4)),0,1)</f>
        <v>#REF!</v>
      </c>
    </row>
    <row r="43" spans="2:50" x14ac:dyDescent="0.2">
      <c r="B43" s="4">
        <v>78</v>
      </c>
      <c r="C43" s="208">
        <v>4.4194173824159217E-8</v>
      </c>
      <c r="D43" s="208">
        <v>4.4194173824159217E-8</v>
      </c>
      <c r="E43" s="208">
        <v>4.4194173824159217E-8</v>
      </c>
      <c r="F43" s="209" t="s">
        <v>714</v>
      </c>
      <c r="G43" s="208">
        <v>9.085703268595846E-16</v>
      </c>
      <c r="H43" s="210">
        <v>1.2418948774615889E-14</v>
      </c>
      <c r="I43" s="208">
        <v>5.4884518085870372E-24</v>
      </c>
      <c r="J43" s="208">
        <v>5.4884518085870372E-24</v>
      </c>
      <c r="K43" s="208">
        <v>5.4884518085870372E-24</v>
      </c>
      <c r="L43" s="208">
        <v>0</v>
      </c>
      <c r="M43" s="208">
        <v>0</v>
      </c>
      <c r="N43" s="208">
        <v>0</v>
      </c>
      <c r="O43" s="3">
        <v>360</v>
      </c>
      <c r="P43" s="3">
        <v>360</v>
      </c>
      <c r="Q43" s="3">
        <v>360</v>
      </c>
      <c r="S43" s="4">
        <v>0</v>
      </c>
      <c r="T43" s="4">
        <v>19.5</v>
      </c>
      <c r="U43" s="210"/>
      <c r="V43" s="210">
        <v>1.2418948774615888E-14</v>
      </c>
      <c r="W43" s="3">
        <v>0</v>
      </c>
      <c r="X43" s="3">
        <v>0</v>
      </c>
      <c r="Y43" s="3">
        <f t="shared" si="11"/>
        <v>1</v>
      </c>
      <c r="Z43" s="3">
        <f t="shared" si="12"/>
        <v>1</v>
      </c>
      <c r="AA43" s="3" t="str">
        <f t="shared" si="13"/>
        <v/>
      </c>
      <c r="AB43" s="3" t="str">
        <f t="shared" si="14"/>
        <v/>
      </c>
      <c r="AC43" s="3" t="str">
        <f t="shared" si="15"/>
        <v/>
      </c>
      <c r="AD43" s="3" t="str">
        <f t="shared" si="0"/>
        <v>0</v>
      </c>
      <c r="AE43" s="3">
        <f t="shared" si="1"/>
        <v>0</v>
      </c>
      <c r="AF43" s="3">
        <f t="shared" si="2"/>
        <v>0</v>
      </c>
      <c r="AM43" s="3" t="str">
        <f t="shared" si="3"/>
        <v/>
      </c>
      <c r="AN43" s="3" t="str">
        <f t="shared" si="4"/>
        <v/>
      </c>
      <c r="AO43" s="3" t="str">
        <f t="shared" si="5"/>
        <v/>
      </c>
      <c r="AP43" s="3">
        <f t="shared" si="6"/>
        <v>0</v>
      </c>
      <c r="AQ43" s="3">
        <f t="shared" si="7"/>
        <v>0</v>
      </c>
      <c r="AR43" s="3">
        <f t="shared" si="17"/>
        <v>0</v>
      </c>
      <c r="AS43" s="3" t="e">
        <f t="shared" si="18"/>
        <v>#REF!</v>
      </c>
      <c r="AT43" s="3" t="str">
        <f t="shared" si="8"/>
        <v/>
      </c>
      <c r="AU43" s="3">
        <f t="shared" si="9"/>
        <v>0</v>
      </c>
      <c r="AV43" s="3">
        <f t="shared" si="10"/>
        <v>0</v>
      </c>
      <c r="AW43" s="3">
        <v>78</v>
      </c>
      <c r="AX43" s="3" t="e">
        <f>IF(AND(#REF!="N",OR(AW43=$AX$1,AW43=$AX$2,AW43=$AX$3,AW43=$AX$4,AW43=$AY$1,AW43=$AY$2,AW43=$AY$3,AW43=$AY$4)),0,1)</f>
        <v>#REF!</v>
      </c>
    </row>
    <row r="44" spans="2:50" x14ac:dyDescent="0.2">
      <c r="B44" s="4">
        <v>80</v>
      </c>
      <c r="C44" s="208">
        <v>4.4194173824159217E-8</v>
      </c>
      <c r="D44" s="208">
        <v>4.4194173824159217E-8</v>
      </c>
      <c r="E44" s="208">
        <v>4.4194173824159217E-8</v>
      </c>
      <c r="F44" s="209" t="s">
        <v>714</v>
      </c>
      <c r="G44" s="208">
        <v>4.7677961133808727E-16</v>
      </c>
      <c r="H44" s="210">
        <v>6.5169435925283709E-15</v>
      </c>
      <c r="I44" s="208">
        <v>2.8801093793043947E-24</v>
      </c>
      <c r="J44" s="208">
        <v>2.8801093793043947E-24</v>
      </c>
      <c r="K44" s="208">
        <v>2.8801093793043947E-24</v>
      </c>
      <c r="L44" s="208">
        <v>0</v>
      </c>
      <c r="M44" s="208">
        <v>0</v>
      </c>
      <c r="N44" s="208">
        <v>0</v>
      </c>
      <c r="O44" s="3">
        <v>360</v>
      </c>
      <c r="P44" s="3">
        <v>360</v>
      </c>
      <c r="Q44" s="3">
        <v>360</v>
      </c>
      <c r="S44" s="4">
        <v>0</v>
      </c>
      <c r="T44" s="4">
        <v>20</v>
      </c>
      <c r="U44" s="210"/>
      <c r="V44" s="210">
        <v>6.5169435925283717E-15</v>
      </c>
      <c r="W44" s="3">
        <v>0</v>
      </c>
      <c r="X44" s="3">
        <v>0</v>
      </c>
      <c r="Y44" s="3">
        <f t="shared" si="11"/>
        <v>1</v>
      </c>
      <c r="Z44" s="3">
        <f t="shared" si="12"/>
        <v>1</v>
      </c>
      <c r="AA44" s="3" t="str">
        <f t="shared" si="13"/>
        <v/>
      </c>
      <c r="AB44" s="3" t="str">
        <f t="shared" si="14"/>
        <v/>
      </c>
      <c r="AC44" s="3" t="str">
        <f t="shared" si="15"/>
        <v/>
      </c>
      <c r="AD44" s="3" t="str">
        <f t="shared" si="0"/>
        <v>0</v>
      </c>
      <c r="AE44" s="3">
        <f t="shared" si="1"/>
        <v>0</v>
      </c>
      <c r="AF44" s="3">
        <f t="shared" si="2"/>
        <v>0</v>
      </c>
      <c r="AM44" s="3" t="str">
        <f t="shared" si="3"/>
        <v/>
      </c>
      <c r="AN44" s="3" t="str">
        <f t="shared" si="4"/>
        <v/>
      </c>
      <c r="AO44" s="3" t="str">
        <f t="shared" si="5"/>
        <v/>
      </c>
      <c r="AP44" s="3">
        <f t="shared" si="6"/>
        <v>0</v>
      </c>
      <c r="AQ44" s="3">
        <f t="shared" si="7"/>
        <v>0</v>
      </c>
      <c r="AR44" s="3">
        <f t="shared" si="17"/>
        <v>0</v>
      </c>
      <c r="AS44" s="3" t="e">
        <f t="shared" si="18"/>
        <v>#REF!</v>
      </c>
      <c r="AT44" s="3" t="str">
        <f t="shared" si="8"/>
        <v/>
      </c>
      <c r="AU44" s="3">
        <f t="shared" si="9"/>
        <v>0</v>
      </c>
      <c r="AV44" s="3">
        <f t="shared" si="10"/>
        <v>0</v>
      </c>
      <c r="AW44" s="3">
        <v>80</v>
      </c>
      <c r="AX44" s="3" t="e">
        <f>IF(AND(#REF!="N",OR(AW44=$AX$1,AW44=$AX$2,AW44=$AX$3,AW44=$AX$4,AW44=$AY$1,AW44=$AY$2,AW44=$AY$3,AW44=$AY$4)),0,1)</f>
        <v>#REF!</v>
      </c>
    </row>
    <row r="45" spans="2:50" x14ac:dyDescent="0.2">
      <c r="B45" s="4">
        <v>82</v>
      </c>
      <c r="C45" s="208">
        <v>4.4194173824159217E-8</v>
      </c>
      <c r="D45" s="208">
        <v>4.4194173824159217E-8</v>
      </c>
      <c r="E45" s="208">
        <v>4.4194173824159217E-8</v>
      </c>
      <c r="F45" s="209" t="s">
        <v>714</v>
      </c>
      <c r="G45" s="208">
        <v>8.5828562507610041E-16</v>
      </c>
      <c r="H45" s="210">
        <v>1.1731623735337517E-14</v>
      </c>
      <c r="I45" s="208">
        <v>5.1846941859913833E-24</v>
      </c>
      <c r="J45" s="208">
        <v>5.1846941859913833E-24</v>
      </c>
      <c r="K45" s="208">
        <v>5.1846941859913833E-24</v>
      </c>
      <c r="L45" s="208">
        <v>0</v>
      </c>
      <c r="M45" s="208">
        <v>0</v>
      </c>
      <c r="N45" s="208">
        <v>0</v>
      </c>
      <c r="O45" s="3">
        <v>360</v>
      </c>
      <c r="P45" s="3">
        <v>360</v>
      </c>
      <c r="Q45" s="3">
        <v>360</v>
      </c>
      <c r="S45" s="4">
        <v>0</v>
      </c>
      <c r="T45" s="4">
        <v>20.5</v>
      </c>
      <c r="U45" s="210"/>
      <c r="V45" s="210">
        <v>1.1731623735337517E-14</v>
      </c>
      <c r="W45" s="3">
        <v>0</v>
      </c>
      <c r="X45" s="3">
        <v>0</v>
      </c>
      <c r="Y45" s="3">
        <f t="shared" si="11"/>
        <v>1</v>
      </c>
      <c r="Z45" s="3">
        <f t="shared" si="12"/>
        <v>1</v>
      </c>
      <c r="AA45" s="3" t="str">
        <f t="shared" si="13"/>
        <v/>
      </c>
      <c r="AB45" s="3" t="str">
        <f t="shared" si="14"/>
        <v/>
      </c>
      <c r="AC45" s="3" t="str">
        <f t="shared" si="15"/>
        <v/>
      </c>
      <c r="AD45" s="3" t="str">
        <f t="shared" si="0"/>
        <v>0</v>
      </c>
      <c r="AE45" s="3">
        <f t="shared" si="1"/>
        <v>0</v>
      </c>
      <c r="AF45" s="3">
        <f t="shared" si="2"/>
        <v>0</v>
      </c>
      <c r="AM45" s="3" t="str">
        <f t="shared" si="3"/>
        <v/>
      </c>
      <c r="AN45" s="3" t="str">
        <f t="shared" si="4"/>
        <v/>
      </c>
      <c r="AO45" s="3" t="str">
        <f t="shared" si="5"/>
        <v/>
      </c>
      <c r="AP45" s="3">
        <f t="shared" si="6"/>
        <v>0</v>
      </c>
      <c r="AQ45" s="3">
        <f t="shared" si="7"/>
        <v>0</v>
      </c>
      <c r="AR45" s="3">
        <f t="shared" si="17"/>
        <v>0</v>
      </c>
      <c r="AS45" s="3" t="e">
        <f t="shared" si="18"/>
        <v>#REF!</v>
      </c>
      <c r="AT45" s="3" t="str">
        <f t="shared" si="8"/>
        <v/>
      </c>
      <c r="AU45" s="3">
        <f t="shared" si="9"/>
        <v>0</v>
      </c>
      <c r="AV45" s="3">
        <f t="shared" si="10"/>
        <v>0</v>
      </c>
      <c r="AW45" s="3">
        <v>82</v>
      </c>
      <c r="AX45" s="3" t="e">
        <f>IF(AND(#REF!="N",OR(AW45=$AX$1,AW45=$AX$2,AW45=$AX$3,AW45=$AX$4,AW45=$AY$1,AW45=$AY$2,AW45=$AY$3,AW45=$AY$4)),0,1)</f>
        <v>#REF!</v>
      </c>
    </row>
    <row r="46" spans="2:50" x14ac:dyDescent="0.2">
      <c r="B46" s="4">
        <v>84</v>
      </c>
      <c r="C46" s="208">
        <v>0.65328148243818862</v>
      </c>
      <c r="D46" s="208">
        <v>0.65328148243818718</v>
      </c>
      <c r="E46" s="208">
        <v>0.65328148243818895</v>
      </c>
      <c r="F46" s="209" t="s">
        <v>714</v>
      </c>
      <c r="G46" s="208">
        <v>2.6504622345529308E-16</v>
      </c>
      <c r="H46" s="210">
        <v>3.6228295979837581E-15</v>
      </c>
      <c r="I46" s="208">
        <v>2.3667274903917767E-17</v>
      </c>
      <c r="J46" s="208">
        <v>2.3667274903917714E-17</v>
      </c>
      <c r="K46" s="208">
        <v>2.3667274903917779E-17</v>
      </c>
      <c r="L46" s="208">
        <v>2.4651903288156619E-32</v>
      </c>
      <c r="M46" s="208">
        <v>5.854827030937197E-32</v>
      </c>
      <c r="N46" s="208">
        <v>6.529555817853271E-32</v>
      </c>
      <c r="O46" s="3">
        <v>360</v>
      </c>
      <c r="P46" s="3">
        <v>360</v>
      </c>
      <c r="Q46" s="3">
        <v>360</v>
      </c>
      <c r="S46" s="4">
        <v>0</v>
      </c>
      <c r="T46" s="4">
        <v>21</v>
      </c>
      <c r="U46" s="210"/>
      <c r="V46" s="210">
        <v>3.6228295979837581E-15</v>
      </c>
      <c r="W46" s="3">
        <v>0</v>
      </c>
      <c r="X46" s="3">
        <v>0</v>
      </c>
      <c r="Y46" s="3">
        <f t="shared" si="11"/>
        <v>1</v>
      </c>
      <c r="Z46" s="3">
        <f t="shared" si="12"/>
        <v>1</v>
      </c>
      <c r="AA46" s="3" t="str">
        <f t="shared" si="13"/>
        <v/>
      </c>
      <c r="AB46" s="3" t="str">
        <f t="shared" si="14"/>
        <v/>
      </c>
      <c r="AC46" s="3" t="str">
        <f t="shared" si="15"/>
        <v/>
      </c>
      <c r="AD46" s="3" t="str">
        <f t="shared" si="0"/>
        <v>0</v>
      </c>
      <c r="AE46" s="3">
        <f t="shared" si="1"/>
        <v>0</v>
      </c>
      <c r="AF46" s="3">
        <f t="shared" si="2"/>
        <v>0</v>
      </c>
      <c r="AM46" s="3" t="str">
        <f t="shared" si="3"/>
        <v/>
      </c>
      <c r="AN46" s="3" t="str">
        <f t="shared" si="4"/>
        <v/>
      </c>
      <c r="AO46" s="3" t="str">
        <f t="shared" si="5"/>
        <v/>
      </c>
      <c r="AP46" s="3">
        <f t="shared" si="6"/>
        <v>0</v>
      </c>
      <c r="AQ46" s="3">
        <f t="shared" si="7"/>
        <v>0</v>
      </c>
      <c r="AR46" s="3">
        <f t="shared" si="17"/>
        <v>0</v>
      </c>
      <c r="AS46" s="3" t="e">
        <f t="shared" si="18"/>
        <v>#REF!</v>
      </c>
      <c r="AT46" s="3" t="str">
        <f t="shared" si="8"/>
        <v/>
      </c>
      <c r="AU46" s="3">
        <f t="shared" si="9"/>
        <v>0</v>
      </c>
      <c r="AV46" s="3">
        <f t="shared" si="10"/>
        <v>0</v>
      </c>
      <c r="AW46" s="3">
        <v>84</v>
      </c>
      <c r="AX46" s="3" t="e">
        <f>IF(AND(#REF!="N",OR(AW46=$AX$1,AW46=$AX$2,AW46=$AX$3,AW46=$AX$4,AW46=$AY$1,AW46=$AY$2,AW46=$AY$3,AW46=$AY$4)),0,1)</f>
        <v>#REF!</v>
      </c>
    </row>
    <row r="47" spans="2:50" x14ac:dyDescent="0.2">
      <c r="B47" s="4">
        <v>86</v>
      </c>
      <c r="C47" s="208">
        <v>4.4194173824159217E-8</v>
      </c>
      <c r="D47" s="208">
        <v>4.4194173824159217E-8</v>
      </c>
      <c r="E47" s="208">
        <v>4.4194173824159217E-8</v>
      </c>
      <c r="F47" s="209" t="s">
        <v>714</v>
      </c>
      <c r="G47" s="208">
        <v>4.5532052821883459E-16</v>
      </c>
      <c r="H47" s="210">
        <v>6.2236264478563008E-15</v>
      </c>
      <c r="I47" s="208">
        <v>2.7504802905319594E-24</v>
      </c>
      <c r="J47" s="208">
        <v>2.7504802905319594E-24</v>
      </c>
      <c r="K47" s="208">
        <v>2.7504802905319594E-24</v>
      </c>
      <c r="L47" s="208">
        <v>0</v>
      </c>
      <c r="M47" s="208">
        <v>0</v>
      </c>
      <c r="N47" s="208">
        <v>0</v>
      </c>
      <c r="O47" s="3">
        <v>360</v>
      </c>
      <c r="P47" s="3">
        <v>360</v>
      </c>
      <c r="Q47" s="3">
        <v>360</v>
      </c>
      <c r="S47" s="4">
        <v>0</v>
      </c>
      <c r="T47" s="4">
        <v>21.5</v>
      </c>
      <c r="U47" s="210"/>
      <c r="V47" s="210">
        <v>6.2236264478563008E-15</v>
      </c>
      <c r="W47" s="3">
        <v>0</v>
      </c>
      <c r="X47" s="3">
        <v>0</v>
      </c>
      <c r="Y47" s="3">
        <f t="shared" si="11"/>
        <v>1</v>
      </c>
      <c r="Z47" s="3">
        <f t="shared" si="12"/>
        <v>1</v>
      </c>
      <c r="AA47" s="3" t="str">
        <f t="shared" si="13"/>
        <v/>
      </c>
      <c r="AB47" s="3" t="str">
        <f t="shared" si="14"/>
        <v/>
      </c>
      <c r="AC47" s="3" t="str">
        <f t="shared" si="15"/>
        <v/>
      </c>
      <c r="AD47" s="3" t="str">
        <f t="shared" si="0"/>
        <v>0</v>
      </c>
      <c r="AE47" s="3">
        <f t="shared" si="1"/>
        <v>0</v>
      </c>
      <c r="AF47" s="3">
        <f t="shared" si="2"/>
        <v>0</v>
      </c>
      <c r="AM47" s="3" t="str">
        <f t="shared" si="3"/>
        <v/>
      </c>
      <c r="AN47" s="3" t="str">
        <f t="shared" si="4"/>
        <v/>
      </c>
      <c r="AO47" s="3" t="str">
        <f t="shared" si="5"/>
        <v/>
      </c>
      <c r="AP47" s="3">
        <f t="shared" si="6"/>
        <v>0</v>
      </c>
      <c r="AQ47" s="3">
        <f t="shared" si="7"/>
        <v>0</v>
      </c>
      <c r="AR47" s="3">
        <f t="shared" si="17"/>
        <v>0</v>
      </c>
      <c r="AS47" s="3" t="e">
        <f t="shared" si="18"/>
        <v>#REF!</v>
      </c>
      <c r="AT47" s="3" t="str">
        <f t="shared" si="8"/>
        <v/>
      </c>
      <c r="AU47" s="3">
        <f t="shared" si="9"/>
        <v>0</v>
      </c>
      <c r="AV47" s="3">
        <f t="shared" si="10"/>
        <v>0</v>
      </c>
      <c r="AW47" s="3">
        <v>86</v>
      </c>
      <c r="AX47" s="3" t="e">
        <f>IF(AND(#REF!="N",OR(AW47=$AX$1,AW47=$AX$2,AW47=$AX$3,AW47=$AX$4,AW47=$AY$1,AW47=$AY$2,AW47=$AY$3,AW47=$AY$4)),0,1)</f>
        <v>#REF!</v>
      </c>
    </row>
    <row r="48" spans="2:50" x14ac:dyDescent="0.2">
      <c r="B48" s="4">
        <v>88</v>
      </c>
      <c r="C48" s="208">
        <v>4.4194173824159217E-8</v>
      </c>
      <c r="D48" s="208">
        <v>4.4194173824159217E-8</v>
      </c>
      <c r="E48" s="208">
        <v>4.4194173824159217E-8</v>
      </c>
      <c r="F48" s="209" t="s">
        <v>714</v>
      </c>
      <c r="G48" s="208">
        <v>7.7032842678787191E-16</v>
      </c>
      <c r="H48" s="210">
        <v>1.0529365739882358E-14</v>
      </c>
      <c r="I48" s="208">
        <v>4.6533661976650778E-24</v>
      </c>
      <c r="J48" s="208">
        <v>4.6533661976650778E-24</v>
      </c>
      <c r="K48" s="208">
        <v>4.6533661976650778E-24</v>
      </c>
      <c r="L48" s="208">
        <v>0</v>
      </c>
      <c r="M48" s="208">
        <v>0</v>
      </c>
      <c r="N48" s="208">
        <v>0</v>
      </c>
      <c r="O48" s="3">
        <v>360</v>
      </c>
      <c r="P48" s="3">
        <v>360</v>
      </c>
      <c r="Q48" s="3">
        <v>360</v>
      </c>
      <c r="S48" s="4">
        <v>0</v>
      </c>
      <c r="T48" s="4">
        <v>22</v>
      </c>
      <c r="U48" s="210"/>
      <c r="V48" s="210">
        <v>1.0529365739882358E-14</v>
      </c>
      <c r="W48" s="3">
        <v>0</v>
      </c>
      <c r="X48" s="3">
        <v>0</v>
      </c>
      <c r="Y48" s="3">
        <f t="shared" si="11"/>
        <v>1</v>
      </c>
      <c r="Z48" s="3">
        <f t="shared" si="12"/>
        <v>1</v>
      </c>
      <c r="AA48" s="3" t="str">
        <f t="shared" si="13"/>
        <v/>
      </c>
      <c r="AB48" s="3" t="str">
        <f t="shared" si="14"/>
        <v/>
      </c>
      <c r="AC48" s="3" t="str">
        <f t="shared" si="15"/>
        <v/>
      </c>
      <c r="AD48" s="3" t="str">
        <f t="shared" si="0"/>
        <v>0</v>
      </c>
      <c r="AE48" s="3">
        <f t="shared" si="1"/>
        <v>0</v>
      </c>
      <c r="AF48" s="3">
        <f t="shared" si="2"/>
        <v>0</v>
      </c>
      <c r="AM48" s="3" t="str">
        <f t="shared" si="3"/>
        <v/>
      </c>
      <c r="AN48" s="3" t="str">
        <f t="shared" si="4"/>
        <v/>
      </c>
      <c r="AO48" s="3" t="str">
        <f t="shared" si="5"/>
        <v/>
      </c>
      <c r="AP48" s="3">
        <f t="shared" si="6"/>
        <v>0</v>
      </c>
      <c r="AQ48" s="3">
        <f t="shared" si="7"/>
        <v>0</v>
      </c>
      <c r="AR48" s="3">
        <f t="shared" si="17"/>
        <v>0</v>
      </c>
      <c r="AS48" s="3" t="e">
        <f t="shared" si="18"/>
        <v>#REF!</v>
      </c>
      <c r="AT48" s="3" t="str">
        <f t="shared" si="8"/>
        <v/>
      </c>
      <c r="AU48" s="3">
        <f t="shared" si="9"/>
        <v>0</v>
      </c>
      <c r="AV48" s="3">
        <f t="shared" si="10"/>
        <v>0</v>
      </c>
      <c r="AW48" s="3">
        <v>88</v>
      </c>
      <c r="AX48" s="3" t="e">
        <f>IF(AND(#REF!="N",OR(AW48=$AX$1,AW48=$AX$2,AW48=$AX$3,AW48=$AX$4,AW48=$AY$1,AW48=$AY$2,AW48=$AY$3,AW48=$AY$4)),0,1)</f>
        <v>#REF!</v>
      </c>
    </row>
    <row r="49" spans="2:50" x14ac:dyDescent="0.2">
      <c r="B49" s="4">
        <v>90</v>
      </c>
      <c r="C49" s="208">
        <v>4.4194173824159217E-8</v>
      </c>
      <c r="D49" s="208">
        <v>4.4194173824159217E-8</v>
      </c>
      <c r="E49" s="208">
        <v>4.4194173824159217E-8</v>
      </c>
      <c r="F49" s="209" t="s">
        <v>714</v>
      </c>
      <c r="G49" s="208">
        <v>7.4636596759889749E-16</v>
      </c>
      <c r="H49" s="210">
        <v>1.0201830771609411E-14</v>
      </c>
      <c r="I49" s="208">
        <v>4.508614824451626E-24</v>
      </c>
      <c r="J49" s="208">
        <v>4.508614824451626E-24</v>
      </c>
      <c r="K49" s="208">
        <v>4.508614824451626E-24</v>
      </c>
      <c r="L49" s="208">
        <v>0</v>
      </c>
      <c r="M49" s="208">
        <v>0</v>
      </c>
      <c r="N49" s="208">
        <v>0</v>
      </c>
      <c r="O49" s="3">
        <v>360</v>
      </c>
      <c r="P49" s="3">
        <v>360</v>
      </c>
      <c r="Q49" s="3">
        <v>360</v>
      </c>
      <c r="S49" s="4">
        <v>0</v>
      </c>
      <c r="T49" s="4">
        <v>22.5</v>
      </c>
      <c r="U49" s="210"/>
      <c r="V49" s="210">
        <v>1.0201830771609409E-14</v>
      </c>
      <c r="W49" s="3">
        <v>0</v>
      </c>
      <c r="X49" s="3">
        <v>0</v>
      </c>
      <c r="Y49" s="3">
        <f t="shared" si="11"/>
        <v>1</v>
      </c>
      <c r="Z49" s="3">
        <f t="shared" si="12"/>
        <v>1</v>
      </c>
      <c r="AA49" s="3" t="str">
        <f t="shared" si="13"/>
        <v/>
      </c>
      <c r="AB49" s="3" t="str">
        <f t="shared" si="14"/>
        <v/>
      </c>
      <c r="AC49" s="3" t="str">
        <f t="shared" si="15"/>
        <v/>
      </c>
      <c r="AD49" s="3" t="str">
        <f t="shared" si="0"/>
        <v>0</v>
      </c>
      <c r="AE49" s="3">
        <f t="shared" si="1"/>
        <v>0</v>
      </c>
      <c r="AF49" s="3">
        <f t="shared" si="2"/>
        <v>0</v>
      </c>
      <c r="AM49" s="3" t="str">
        <f t="shared" si="3"/>
        <v/>
      </c>
      <c r="AN49" s="3" t="str">
        <f t="shared" si="4"/>
        <v/>
      </c>
      <c r="AO49" s="3" t="str">
        <f t="shared" si="5"/>
        <v/>
      </c>
      <c r="AP49" s="3">
        <f t="shared" si="6"/>
        <v>0</v>
      </c>
      <c r="AQ49" s="3">
        <f t="shared" si="7"/>
        <v>0</v>
      </c>
      <c r="AR49" s="3">
        <f t="shared" si="17"/>
        <v>0</v>
      </c>
      <c r="AS49" s="3" t="e">
        <f t="shared" si="18"/>
        <v>#REF!</v>
      </c>
      <c r="AT49" s="3" t="str">
        <f t="shared" si="8"/>
        <v/>
      </c>
      <c r="AU49" s="3">
        <f t="shared" si="9"/>
        <v>0</v>
      </c>
      <c r="AV49" s="3">
        <f t="shared" si="10"/>
        <v>0</v>
      </c>
      <c r="AW49" s="3">
        <v>90</v>
      </c>
      <c r="AX49" s="3" t="e">
        <f>IF(AND(#REF!="N",OR(AW49=$AX$1,AW49=$AX$2,AW49=$AX$3,AW49=$AX$4,AW49=$AY$1,AW49=$AY$2,AW49=$AY$3,AW49=$AY$4)),0,1)</f>
        <v>#REF!</v>
      </c>
    </row>
    <row r="50" spans="2:50" x14ac:dyDescent="0.2">
      <c r="B50" s="4">
        <v>92</v>
      </c>
      <c r="C50" s="208">
        <v>0.95766219694254817</v>
      </c>
      <c r="D50" s="208">
        <v>0.95766219694254862</v>
      </c>
      <c r="E50" s="208">
        <v>0.95766219694254884</v>
      </c>
      <c r="F50" s="209" t="s">
        <v>714</v>
      </c>
      <c r="G50" s="208">
        <v>0.31808696860309765</v>
      </c>
      <c r="H50" s="210">
        <v>4.3478260869565286</v>
      </c>
      <c r="I50" s="208">
        <v>4.1637486823589115E-2</v>
      </c>
      <c r="J50" s="208">
        <v>4.1637486823589136E-2</v>
      </c>
      <c r="K50" s="208">
        <v>4.1637486823589143E-2</v>
      </c>
      <c r="L50" s="208">
        <v>7.211824267793604E-2</v>
      </c>
      <c r="M50" s="208">
        <v>7.2118242677936178E-2</v>
      </c>
      <c r="N50" s="208">
        <v>7.2118242677935915E-2</v>
      </c>
      <c r="O50" s="3">
        <v>120</v>
      </c>
      <c r="P50" s="3">
        <v>120</v>
      </c>
      <c r="Q50" s="3">
        <v>120</v>
      </c>
      <c r="R50" s="4" t="s">
        <v>172</v>
      </c>
      <c r="S50" s="4" t="s">
        <v>172</v>
      </c>
      <c r="T50" s="4">
        <v>23</v>
      </c>
      <c r="U50" s="210"/>
      <c r="V50" s="210">
        <v>4.3478260869565286</v>
      </c>
      <c r="W50" s="3">
        <v>4.3478260869565064</v>
      </c>
      <c r="X50" s="3">
        <v>0</v>
      </c>
      <c r="Y50" s="3">
        <f t="shared" si="11"/>
        <v>1</v>
      </c>
      <c r="Z50" s="3">
        <f t="shared" si="12"/>
        <v>1</v>
      </c>
      <c r="AA50" s="3">
        <f t="shared" si="13"/>
        <v>2.9999999999999982</v>
      </c>
      <c r="AB50" s="3">
        <f t="shared" si="14"/>
        <v>1.4999999999999991</v>
      </c>
      <c r="AC50" s="3">
        <f t="shared" si="15"/>
        <v>2.8355387523629472E-2</v>
      </c>
      <c r="AD50" s="3" t="str">
        <f t="shared" si="0"/>
        <v>0.0002127833121141+0.0282469846831479i</v>
      </c>
      <c r="AE50" s="3">
        <f t="shared" si="1"/>
        <v>2.127833121141E-4</v>
      </c>
      <c r="AF50" s="3">
        <f t="shared" si="2"/>
        <v>2.8246984683147899E-2</v>
      </c>
      <c r="AM50" s="3" t="str">
        <f t="shared" si="3"/>
        <v>-0.0425330812854443+0.0850661625708885i</v>
      </c>
      <c r="AN50" s="3" t="str">
        <f t="shared" si="4"/>
        <v>3+1.52835538752363i</v>
      </c>
      <c r="AO50" s="3" t="str">
        <f t="shared" si="5"/>
        <v>0.0002127833121141+0.0282469846831479i</v>
      </c>
      <c r="AP50" s="3">
        <f t="shared" si="6"/>
        <v>2.127833121141E-4</v>
      </c>
      <c r="AQ50" s="3">
        <f t="shared" si="7"/>
        <v>2.8246984683147899E-2</v>
      </c>
      <c r="AR50" s="3">
        <f t="shared" si="17"/>
        <v>-6.8295492469343335</v>
      </c>
      <c r="AS50" s="3" t="e">
        <f t="shared" si="18"/>
        <v>#REF!</v>
      </c>
      <c r="AT50" s="3" t="e">
        <f t="shared" si="8"/>
        <v>#REF!</v>
      </c>
      <c r="AU50" s="3" t="e">
        <f t="shared" si="9"/>
        <v>#REF!</v>
      </c>
      <c r="AV50" s="3" t="e">
        <f t="shared" si="10"/>
        <v>#REF!</v>
      </c>
      <c r="AW50" s="3">
        <v>92</v>
      </c>
      <c r="AX50" s="3" t="e">
        <f>IF(AND(#REF!="N",OR(AW50=$AX$1,AW50=$AX$2,AW50=$AX$3,AW50=$AX$4,AW50=$AY$1,AW50=$AY$2,AW50=$AY$3,AW50=$AY$4)),0,1)</f>
        <v>#REF!</v>
      </c>
    </row>
    <row r="51" spans="2:50" x14ac:dyDescent="0.2">
      <c r="B51" s="4">
        <v>94</v>
      </c>
      <c r="C51" s="208">
        <v>4.4194173824159217E-8</v>
      </c>
      <c r="D51" s="208">
        <v>4.4194173824159217E-8</v>
      </c>
      <c r="E51" s="208">
        <v>4.4194173824159217E-8</v>
      </c>
      <c r="F51" s="209" t="s">
        <v>714</v>
      </c>
      <c r="G51" s="208">
        <v>3.7464606665021123E-16</v>
      </c>
      <c r="H51" s="210">
        <v>5.1209137837707061E-15</v>
      </c>
      <c r="I51" s="208">
        <v>2.263145538984955E-24</v>
      </c>
      <c r="J51" s="208">
        <v>2.263145538984955E-24</v>
      </c>
      <c r="K51" s="208">
        <v>2.263145538984955E-24</v>
      </c>
      <c r="L51" s="208">
        <v>0</v>
      </c>
      <c r="M51" s="208">
        <v>0</v>
      </c>
      <c r="N51" s="208">
        <v>0</v>
      </c>
      <c r="O51" s="3">
        <v>360</v>
      </c>
      <c r="P51" s="3">
        <v>360</v>
      </c>
      <c r="Q51" s="3">
        <v>360</v>
      </c>
      <c r="S51" s="4">
        <v>0</v>
      </c>
      <c r="T51" s="4">
        <v>23.5</v>
      </c>
      <c r="U51" s="210"/>
      <c r="V51" s="210">
        <v>5.1209137837707061E-15</v>
      </c>
      <c r="W51" s="3">
        <v>0</v>
      </c>
      <c r="X51" s="3">
        <v>0</v>
      </c>
      <c r="Y51" s="3">
        <f t="shared" si="11"/>
        <v>1</v>
      </c>
      <c r="Z51" s="3">
        <f t="shared" si="12"/>
        <v>1</v>
      </c>
      <c r="AA51" s="3" t="str">
        <f t="shared" si="13"/>
        <v/>
      </c>
      <c r="AB51" s="3" t="str">
        <f t="shared" si="14"/>
        <v/>
      </c>
      <c r="AC51" s="3" t="str">
        <f t="shared" si="15"/>
        <v/>
      </c>
      <c r="AD51" s="3" t="str">
        <f t="shared" si="0"/>
        <v>0</v>
      </c>
      <c r="AE51" s="3">
        <f t="shared" si="1"/>
        <v>0</v>
      </c>
      <c r="AF51" s="3">
        <f t="shared" si="2"/>
        <v>0</v>
      </c>
      <c r="AM51" s="3" t="str">
        <f t="shared" si="3"/>
        <v/>
      </c>
      <c r="AN51" s="3" t="str">
        <f t="shared" si="4"/>
        <v/>
      </c>
      <c r="AO51" s="3" t="str">
        <f t="shared" si="5"/>
        <v/>
      </c>
      <c r="AP51" s="3">
        <f t="shared" si="6"/>
        <v>0</v>
      </c>
      <c r="AQ51" s="3">
        <f t="shared" si="7"/>
        <v>0</v>
      </c>
      <c r="AR51" s="3">
        <f t="shared" si="17"/>
        <v>0</v>
      </c>
      <c r="AS51" s="3" t="e">
        <f t="shared" si="18"/>
        <v>#REF!</v>
      </c>
      <c r="AT51" s="3" t="str">
        <f t="shared" si="8"/>
        <v/>
      </c>
      <c r="AU51" s="3">
        <f t="shared" si="9"/>
        <v>0</v>
      </c>
      <c r="AV51" s="3">
        <f t="shared" si="10"/>
        <v>0</v>
      </c>
      <c r="AW51" s="3">
        <v>94</v>
      </c>
      <c r="AX51" s="3" t="e">
        <f>IF(AND(#REF!="N",OR(AW51=$AX$1,AW51=$AX$2,AW51=$AX$3,AW51=$AX$4,AW51=$AY$1,AW51=$AY$2,AW51=$AY$3,AW51=$AY$4)),0,1)</f>
        <v>#REF!</v>
      </c>
    </row>
    <row r="52" spans="2:50" x14ac:dyDescent="0.2">
      <c r="B52" s="4">
        <v>96</v>
      </c>
      <c r="C52" s="208">
        <v>4.4194173824159217E-8</v>
      </c>
      <c r="D52" s="208">
        <v>4.4194173824159217E-8</v>
      </c>
      <c r="E52" s="208">
        <v>4.4194173824159217E-8</v>
      </c>
      <c r="F52" s="209" t="s">
        <v>714</v>
      </c>
      <c r="G52" s="208">
        <v>4.536556249652748E-16</v>
      </c>
      <c r="H52" s="210">
        <v>6.2008694332263853E-15</v>
      </c>
      <c r="I52" s="208">
        <v>2.7404230159292251E-24</v>
      </c>
      <c r="J52" s="208">
        <v>2.7404230159292251E-24</v>
      </c>
      <c r="K52" s="208">
        <v>2.7404230159292251E-24</v>
      </c>
      <c r="L52" s="208">
        <v>0</v>
      </c>
      <c r="M52" s="208">
        <v>0</v>
      </c>
      <c r="N52" s="208">
        <v>0</v>
      </c>
      <c r="O52" s="3">
        <v>360</v>
      </c>
      <c r="P52" s="3">
        <v>360</v>
      </c>
      <c r="Q52" s="3">
        <v>360</v>
      </c>
      <c r="S52" s="4">
        <v>0</v>
      </c>
      <c r="T52" s="4">
        <v>24</v>
      </c>
      <c r="U52" s="210"/>
      <c r="V52" s="210">
        <v>6.2008694332263853E-15</v>
      </c>
      <c r="W52" s="3">
        <v>0</v>
      </c>
      <c r="X52" s="3">
        <v>0</v>
      </c>
      <c r="Y52" s="3">
        <f t="shared" si="11"/>
        <v>1</v>
      </c>
      <c r="Z52" s="3">
        <f t="shared" si="12"/>
        <v>1</v>
      </c>
      <c r="AA52" s="3" t="str">
        <f t="shared" si="13"/>
        <v/>
      </c>
      <c r="AB52" s="3" t="str">
        <f t="shared" si="14"/>
        <v/>
      </c>
      <c r="AC52" s="3" t="str">
        <f t="shared" si="15"/>
        <v/>
      </c>
      <c r="AD52" s="3" t="str">
        <f t="shared" si="0"/>
        <v>0</v>
      </c>
      <c r="AE52" s="3">
        <f t="shared" si="1"/>
        <v>0</v>
      </c>
      <c r="AF52" s="3">
        <f t="shared" si="2"/>
        <v>0</v>
      </c>
      <c r="AM52" s="3" t="str">
        <f t="shared" si="3"/>
        <v/>
      </c>
      <c r="AN52" s="3" t="str">
        <f t="shared" si="4"/>
        <v/>
      </c>
      <c r="AO52" s="3" t="str">
        <f t="shared" si="5"/>
        <v/>
      </c>
      <c r="AP52" s="3">
        <f t="shared" si="6"/>
        <v>0</v>
      </c>
      <c r="AQ52" s="3">
        <f t="shared" si="7"/>
        <v>0</v>
      </c>
      <c r="AR52" s="3">
        <f t="shared" si="17"/>
        <v>0</v>
      </c>
      <c r="AS52" s="3" t="e">
        <f t="shared" si="18"/>
        <v>#REF!</v>
      </c>
      <c r="AT52" s="3" t="str">
        <f t="shared" si="8"/>
        <v/>
      </c>
      <c r="AU52" s="3">
        <f t="shared" si="9"/>
        <v>0</v>
      </c>
      <c r="AV52" s="3">
        <f t="shared" si="10"/>
        <v>0</v>
      </c>
      <c r="AW52" s="3">
        <v>96</v>
      </c>
      <c r="AX52" s="3" t="e">
        <f>IF(AND(#REF!="N",OR(AW52=$AX$1,AW52=$AX$2,AW52=$AX$3,AW52=$AX$4,AW52=$AY$1,AW52=$AY$2,AW52=$AY$3,AW52=$AY$4)),0,1)</f>
        <v>#REF!</v>
      </c>
    </row>
    <row r="53" spans="2:50" x14ac:dyDescent="0.2">
      <c r="B53" s="4">
        <v>98</v>
      </c>
      <c r="C53" s="208">
        <v>4.4194173824159217E-8</v>
      </c>
      <c r="D53" s="208">
        <v>4.4194173824159217E-8</v>
      </c>
      <c r="E53" s="208">
        <v>4.4194173824159217E-8</v>
      </c>
      <c r="F53" s="209" t="s">
        <v>714</v>
      </c>
      <c r="G53" s="208">
        <v>1.0547373988162218E-15</v>
      </c>
      <c r="H53" s="210">
        <v>1.4416858375559317E-14</v>
      </c>
      <c r="I53" s="208">
        <v>6.3714114504775414E-24</v>
      </c>
      <c r="J53" s="208">
        <v>6.3714114504775414E-24</v>
      </c>
      <c r="K53" s="208">
        <v>6.3714114504775414E-24</v>
      </c>
      <c r="L53" s="208">
        <v>0</v>
      </c>
      <c r="M53" s="208">
        <v>0</v>
      </c>
      <c r="N53" s="208">
        <v>0</v>
      </c>
      <c r="O53" s="3">
        <v>360</v>
      </c>
      <c r="P53" s="3">
        <v>360</v>
      </c>
      <c r="Q53" s="3">
        <v>360</v>
      </c>
      <c r="S53" s="4">
        <v>0</v>
      </c>
      <c r="T53" s="4">
        <v>24.5</v>
      </c>
      <c r="U53" s="210"/>
      <c r="V53" s="210">
        <v>1.4416858375559317E-14</v>
      </c>
      <c r="W53" s="3">
        <v>0</v>
      </c>
      <c r="X53" s="3">
        <v>0</v>
      </c>
      <c r="Y53" s="3">
        <f t="shared" si="11"/>
        <v>1</v>
      </c>
      <c r="Z53" s="3">
        <f t="shared" si="12"/>
        <v>1</v>
      </c>
      <c r="AA53" s="3" t="str">
        <f t="shared" si="13"/>
        <v/>
      </c>
      <c r="AB53" s="3" t="str">
        <f t="shared" si="14"/>
        <v/>
      </c>
      <c r="AC53" s="3" t="str">
        <f t="shared" si="15"/>
        <v/>
      </c>
      <c r="AD53" s="3" t="str">
        <f t="shared" si="0"/>
        <v>0</v>
      </c>
      <c r="AE53" s="3">
        <f t="shared" si="1"/>
        <v>0</v>
      </c>
      <c r="AF53" s="3">
        <f t="shared" si="2"/>
        <v>0</v>
      </c>
      <c r="AM53" s="3" t="str">
        <f t="shared" si="3"/>
        <v/>
      </c>
      <c r="AN53" s="3" t="str">
        <f t="shared" si="4"/>
        <v/>
      </c>
      <c r="AO53" s="3" t="str">
        <f t="shared" si="5"/>
        <v/>
      </c>
      <c r="AP53" s="3">
        <f t="shared" si="6"/>
        <v>0</v>
      </c>
      <c r="AQ53" s="3">
        <f t="shared" si="7"/>
        <v>0</v>
      </c>
      <c r="AR53" s="3">
        <f t="shared" si="17"/>
        <v>0</v>
      </c>
      <c r="AS53" s="3" t="e">
        <f t="shared" si="18"/>
        <v>#REF!</v>
      </c>
      <c r="AT53" s="3" t="str">
        <f t="shared" si="8"/>
        <v/>
      </c>
      <c r="AU53" s="3">
        <f t="shared" si="9"/>
        <v>0</v>
      </c>
      <c r="AV53" s="3">
        <f t="shared" si="10"/>
        <v>0</v>
      </c>
      <c r="AW53" s="3">
        <v>98</v>
      </c>
      <c r="AX53" s="3" t="e">
        <f>IF(AND(#REF!="N",OR(AW53=$AX$1,AW53=$AX$2,AW53=$AX$3,AW53=$AX$4,AW53=$AY$1,AW53=$AY$2,AW53=$AY$3,AW53=$AY$4)),0,1)</f>
        <v>#REF!</v>
      </c>
    </row>
    <row r="54" spans="2:50" x14ac:dyDescent="0.2">
      <c r="B54" s="4">
        <v>100</v>
      </c>
      <c r="C54" s="208">
        <v>0.95766219694254839</v>
      </c>
      <c r="D54" s="208">
        <v>0.95766219694254828</v>
      </c>
      <c r="E54" s="208">
        <v>0.95766219694254784</v>
      </c>
      <c r="F54" s="209" t="s">
        <v>714</v>
      </c>
      <c r="G54" s="208">
        <v>0.29264001111484933</v>
      </c>
      <c r="H54" s="210">
        <v>3.9999999999999996</v>
      </c>
      <c r="I54" s="208">
        <v>3.8306487877701932E-2</v>
      </c>
      <c r="J54" s="208">
        <v>3.8306487877701925E-2</v>
      </c>
      <c r="K54" s="208">
        <v>3.8306487877701904E-2</v>
      </c>
      <c r="L54" s="208">
        <v>6.6348783263700944E-2</v>
      </c>
      <c r="M54" s="208">
        <v>6.6348783263701069E-2</v>
      </c>
      <c r="N54" s="208">
        <v>6.6348783263701028E-2</v>
      </c>
      <c r="O54" s="3">
        <v>240</v>
      </c>
      <c r="P54" s="3">
        <v>240</v>
      </c>
      <c r="Q54" s="3">
        <v>240</v>
      </c>
      <c r="R54" s="4" t="s">
        <v>168</v>
      </c>
      <c r="S54" s="4" t="s">
        <v>168</v>
      </c>
      <c r="T54" s="4">
        <v>25</v>
      </c>
      <c r="U54" s="210"/>
      <c r="V54" s="210">
        <v>3.9999999999999996</v>
      </c>
      <c r="W54" s="3">
        <v>0</v>
      </c>
      <c r="X54" s="3">
        <v>4.0000000000000009</v>
      </c>
      <c r="Y54" s="3">
        <f t="shared" si="11"/>
        <v>1</v>
      </c>
      <c r="Z54" s="3">
        <f t="shared" si="12"/>
        <v>1</v>
      </c>
      <c r="AA54" s="3">
        <f t="shared" si="13"/>
        <v>2.9999999999999991</v>
      </c>
      <c r="AB54" s="3">
        <f t="shared" si="14"/>
        <v>1.4999999999999996</v>
      </c>
      <c r="AC54" s="3">
        <f t="shared" si="15"/>
        <v>2.399999999999999E-2</v>
      </c>
      <c r="AD54" s="3" t="str">
        <f t="shared" si="0"/>
        <v>0.00015261544722685+0.0239224713528088i</v>
      </c>
      <c r="AE54" s="3">
        <f t="shared" si="1"/>
        <v>1.5261544722685E-4</v>
      </c>
      <c r="AF54" s="3">
        <f t="shared" si="2"/>
        <v>2.39224713528088E-2</v>
      </c>
      <c r="AM54" s="3" t="str">
        <f t="shared" si="3"/>
        <v>-0.036+0.072i</v>
      </c>
      <c r="AN54" s="3" t="str">
        <f t="shared" si="4"/>
        <v>3+1.524i</v>
      </c>
      <c r="AO54" s="3" t="str">
        <f t="shared" si="5"/>
        <v>0.00015261544722685+0.0239224713528088i</v>
      </c>
      <c r="AP54" s="3">
        <f t="shared" si="6"/>
        <v>1.5261544722685E-4</v>
      </c>
      <c r="AQ54" s="3">
        <f t="shared" si="7"/>
        <v>2.39224713528088E-2</v>
      </c>
      <c r="AR54" s="3">
        <f t="shared" si="17"/>
        <v>6.2831853071795862</v>
      </c>
      <c r="AS54" s="3" t="e">
        <f t="shared" si="18"/>
        <v>#REF!</v>
      </c>
      <c r="AT54" s="3" t="e">
        <f t="shared" si="8"/>
        <v>#REF!</v>
      </c>
      <c r="AU54" s="3" t="e">
        <f t="shared" si="9"/>
        <v>#REF!</v>
      </c>
      <c r="AV54" s="3" t="e">
        <f t="shared" si="10"/>
        <v>#REF!</v>
      </c>
      <c r="AW54" s="3">
        <v>100</v>
      </c>
      <c r="AX54" s="3" t="e">
        <f>IF(AND(#REF!="N",OR(AW54=$AX$1,AW54=$AX$2,AW54=$AX$3,AW54=$AX$4,AW54=$AY$1,AW54=$AY$2,AW54=$AY$3,AW54=$AY$4)),0,1)</f>
        <v>#REF!</v>
      </c>
    </row>
    <row r="55" spans="2:50" x14ac:dyDescent="0.2">
      <c r="B55" s="4">
        <v>102</v>
      </c>
      <c r="C55" s="208">
        <v>4.4194173824159217E-8</v>
      </c>
      <c r="D55" s="208">
        <v>4.4194173824159217E-8</v>
      </c>
      <c r="E55" s="208">
        <v>4.4194173824159217E-8</v>
      </c>
      <c r="F55" s="209" t="s">
        <v>714</v>
      </c>
      <c r="G55" s="208">
        <v>6.4905510668219789E-16</v>
      </c>
      <c r="H55" s="210">
        <v>8.8717206401071388E-15</v>
      </c>
      <c r="I55" s="208">
        <v>3.9207836408827597E-24</v>
      </c>
      <c r="J55" s="208">
        <v>3.9207836408827597E-24</v>
      </c>
      <c r="K55" s="208">
        <v>3.9207836408827597E-24</v>
      </c>
      <c r="L55" s="208">
        <v>0</v>
      </c>
      <c r="M55" s="208">
        <v>0</v>
      </c>
      <c r="N55" s="208">
        <v>0</v>
      </c>
      <c r="O55" s="3">
        <v>360</v>
      </c>
      <c r="P55" s="3">
        <v>360</v>
      </c>
      <c r="Q55" s="3">
        <v>360</v>
      </c>
      <c r="S55" s="4">
        <v>0</v>
      </c>
      <c r="T55" s="4">
        <v>25.5</v>
      </c>
      <c r="U55" s="210"/>
      <c r="V55" s="210">
        <v>8.8717206401071388E-15</v>
      </c>
      <c r="W55" s="3">
        <v>0</v>
      </c>
      <c r="X55" s="3">
        <v>0</v>
      </c>
      <c r="Y55" s="3">
        <f t="shared" si="11"/>
        <v>1</v>
      </c>
      <c r="Z55" s="3">
        <f t="shared" si="12"/>
        <v>1</v>
      </c>
      <c r="AA55" s="3" t="str">
        <f t="shared" si="13"/>
        <v/>
      </c>
      <c r="AB55" s="3" t="str">
        <f t="shared" si="14"/>
        <v/>
      </c>
      <c r="AC55" s="3" t="str">
        <f t="shared" si="15"/>
        <v/>
      </c>
      <c r="AD55" s="3" t="str">
        <f t="shared" si="0"/>
        <v>0</v>
      </c>
      <c r="AE55" s="3">
        <f t="shared" si="1"/>
        <v>0</v>
      </c>
      <c r="AF55" s="3">
        <f t="shared" si="2"/>
        <v>0</v>
      </c>
      <c r="AM55" s="3" t="str">
        <f t="shared" si="3"/>
        <v/>
      </c>
      <c r="AN55" s="3" t="str">
        <f t="shared" si="4"/>
        <v/>
      </c>
      <c r="AO55" s="3" t="str">
        <f t="shared" si="5"/>
        <v/>
      </c>
      <c r="AP55" s="3">
        <f t="shared" si="6"/>
        <v>0</v>
      </c>
      <c r="AQ55" s="3">
        <f t="shared" si="7"/>
        <v>0</v>
      </c>
      <c r="AR55" s="3">
        <f t="shared" si="17"/>
        <v>0</v>
      </c>
      <c r="AS55" s="3" t="e">
        <f t="shared" si="18"/>
        <v>#REF!</v>
      </c>
      <c r="AT55" s="3" t="str">
        <f t="shared" si="8"/>
        <v/>
      </c>
      <c r="AU55" s="3">
        <f t="shared" si="9"/>
        <v>0</v>
      </c>
      <c r="AV55" s="3">
        <f t="shared" si="10"/>
        <v>0</v>
      </c>
      <c r="AW55" s="3">
        <v>102</v>
      </c>
      <c r="AX55" s="3" t="e">
        <f>IF(AND(#REF!="N",OR(AW55=$AX$1,AW55=$AX$2,AW55=$AX$3,AW55=$AX$4,AW55=$AY$1,AW55=$AY$2,AW55=$AY$3,AW55=$AY$4)),0,1)</f>
        <v>#REF!</v>
      </c>
    </row>
    <row r="56" spans="2:50" x14ac:dyDescent="0.2">
      <c r="B56" s="4">
        <v>104</v>
      </c>
      <c r="C56" s="208">
        <v>4.4194173824159217E-8</v>
      </c>
      <c r="D56" s="208">
        <v>4.4194173824159217E-8</v>
      </c>
      <c r="E56" s="208">
        <v>4.4194173824159217E-8</v>
      </c>
      <c r="F56" s="209" t="s">
        <v>714</v>
      </c>
      <c r="G56" s="208">
        <v>1.1173637471990553E-15</v>
      </c>
      <c r="H56" s="210">
        <v>1.5272877320395333E-14</v>
      </c>
      <c r="I56" s="208">
        <v>6.7497219509261036E-24</v>
      </c>
      <c r="J56" s="208">
        <v>6.7497219509261036E-24</v>
      </c>
      <c r="K56" s="208">
        <v>6.7497219509261036E-24</v>
      </c>
      <c r="L56" s="208">
        <v>0</v>
      </c>
      <c r="M56" s="208">
        <v>0</v>
      </c>
      <c r="N56" s="208">
        <v>0</v>
      </c>
      <c r="O56" s="3">
        <v>360</v>
      </c>
      <c r="P56" s="3">
        <v>360</v>
      </c>
      <c r="Q56" s="3">
        <v>360</v>
      </c>
      <c r="S56" s="4">
        <v>0</v>
      </c>
      <c r="T56" s="4">
        <v>26</v>
      </c>
      <c r="U56" s="210"/>
      <c r="V56" s="210">
        <v>1.5272877320395333E-14</v>
      </c>
      <c r="W56" s="3">
        <v>0</v>
      </c>
      <c r="X56" s="3">
        <v>0</v>
      </c>
      <c r="Y56" s="3">
        <f t="shared" si="11"/>
        <v>1</v>
      </c>
      <c r="Z56" s="3">
        <f t="shared" si="12"/>
        <v>1</v>
      </c>
      <c r="AA56" s="3" t="str">
        <f t="shared" si="13"/>
        <v/>
      </c>
      <c r="AB56" s="3" t="str">
        <f t="shared" si="14"/>
        <v/>
      </c>
      <c r="AC56" s="3" t="str">
        <f t="shared" si="15"/>
        <v/>
      </c>
      <c r="AD56" s="3" t="str">
        <f t="shared" si="0"/>
        <v>0</v>
      </c>
      <c r="AE56" s="3">
        <f t="shared" si="1"/>
        <v>0</v>
      </c>
      <c r="AF56" s="3">
        <f t="shared" si="2"/>
        <v>0</v>
      </c>
      <c r="AM56" s="3" t="str">
        <f t="shared" si="3"/>
        <v/>
      </c>
      <c r="AN56" s="3" t="str">
        <f t="shared" si="4"/>
        <v/>
      </c>
      <c r="AO56" s="3" t="str">
        <f t="shared" si="5"/>
        <v/>
      </c>
      <c r="AP56" s="3">
        <f t="shared" si="6"/>
        <v>0</v>
      </c>
      <c r="AQ56" s="3">
        <f t="shared" si="7"/>
        <v>0</v>
      </c>
      <c r="AR56" s="3">
        <f t="shared" si="17"/>
        <v>0</v>
      </c>
      <c r="AS56" s="3" t="e">
        <f t="shared" si="18"/>
        <v>#REF!</v>
      </c>
      <c r="AT56" s="3" t="str">
        <f t="shared" si="8"/>
        <v/>
      </c>
      <c r="AU56" s="3">
        <f t="shared" si="9"/>
        <v>0</v>
      </c>
      <c r="AV56" s="3">
        <f t="shared" si="10"/>
        <v>0</v>
      </c>
      <c r="AW56" s="3">
        <v>104</v>
      </c>
      <c r="AX56" s="3" t="e">
        <f>IF(AND(#REF!="N",OR(AW56=$AX$1,AW56=$AX$2,AW56=$AX$3,AW56=$AX$4,AW56=$AY$1,AW56=$AY$2,AW56=$AY$3,AW56=$AY$4)),0,1)</f>
        <v>#REF!</v>
      </c>
    </row>
    <row r="57" spans="2:50" x14ac:dyDescent="0.2">
      <c r="B57" s="4">
        <v>106</v>
      </c>
      <c r="C57" s="208">
        <v>4.4194173824159217E-8</v>
      </c>
      <c r="D57" s="208">
        <v>4.4194173824159217E-8</v>
      </c>
      <c r="E57" s="208">
        <v>4.4194173824159217E-8</v>
      </c>
      <c r="F57" s="209" t="s">
        <v>714</v>
      </c>
      <c r="G57" s="208">
        <v>2.868329451729071E-16</v>
      </c>
      <c r="H57" s="210">
        <v>3.9206251268263763E-15</v>
      </c>
      <c r="I57" s="208">
        <v>1.7326878835433114E-24</v>
      </c>
      <c r="J57" s="208">
        <v>1.7326878835433114E-24</v>
      </c>
      <c r="K57" s="208">
        <v>1.7326878835433114E-24</v>
      </c>
      <c r="L57" s="208">
        <v>0</v>
      </c>
      <c r="M57" s="208">
        <v>0</v>
      </c>
      <c r="N57" s="208">
        <v>0</v>
      </c>
      <c r="O57" s="3">
        <v>360</v>
      </c>
      <c r="P57" s="3">
        <v>360</v>
      </c>
      <c r="Q57" s="3">
        <v>360</v>
      </c>
      <c r="S57" s="4">
        <v>0</v>
      </c>
      <c r="T57" s="4">
        <v>26.5</v>
      </c>
      <c r="U57" s="210"/>
      <c r="V57" s="210">
        <v>3.9206251268263763E-15</v>
      </c>
      <c r="W57" s="3">
        <v>0</v>
      </c>
      <c r="X57" s="3">
        <v>0</v>
      </c>
      <c r="Y57" s="3">
        <f t="shared" si="11"/>
        <v>1</v>
      </c>
      <c r="Z57" s="3">
        <f t="shared" si="12"/>
        <v>1</v>
      </c>
      <c r="AA57" s="3" t="str">
        <f t="shared" si="13"/>
        <v/>
      </c>
      <c r="AB57" s="3" t="str">
        <f t="shared" si="14"/>
        <v/>
      </c>
      <c r="AC57" s="3" t="str">
        <f t="shared" si="15"/>
        <v/>
      </c>
      <c r="AD57" s="3" t="str">
        <f t="shared" si="0"/>
        <v>0</v>
      </c>
      <c r="AE57" s="3">
        <f t="shared" si="1"/>
        <v>0</v>
      </c>
      <c r="AF57" s="3">
        <f t="shared" si="2"/>
        <v>0</v>
      </c>
      <c r="AM57" s="3" t="str">
        <f t="shared" si="3"/>
        <v/>
      </c>
      <c r="AN57" s="3" t="str">
        <f t="shared" si="4"/>
        <v/>
      </c>
      <c r="AO57" s="3" t="str">
        <f t="shared" si="5"/>
        <v/>
      </c>
      <c r="AP57" s="3">
        <f t="shared" si="6"/>
        <v>0</v>
      </c>
      <c r="AQ57" s="3">
        <f t="shared" si="7"/>
        <v>0</v>
      </c>
      <c r="AR57" s="3">
        <f t="shared" si="17"/>
        <v>0</v>
      </c>
      <c r="AS57" s="3" t="e">
        <f t="shared" si="18"/>
        <v>#REF!</v>
      </c>
      <c r="AT57" s="3" t="str">
        <f t="shared" si="8"/>
        <v/>
      </c>
      <c r="AU57" s="3">
        <f t="shared" si="9"/>
        <v>0</v>
      </c>
      <c r="AV57" s="3">
        <f t="shared" si="10"/>
        <v>0</v>
      </c>
      <c r="AW57" s="3">
        <v>106</v>
      </c>
      <c r="AX57" s="3" t="e">
        <f>IF(AND(#REF!="N",OR(AW57=$AX$1,AW57=$AX$2,AW57=$AX$3,AW57=$AX$4,AW57=$AY$1,AW57=$AY$2,AW57=$AY$3,AW57=$AY$4)),0,1)</f>
        <v>#REF!</v>
      </c>
    </row>
    <row r="58" spans="2:50" x14ac:dyDescent="0.2">
      <c r="B58" s="4">
        <v>108</v>
      </c>
      <c r="C58" s="208">
        <v>0.65328148243818684</v>
      </c>
      <c r="D58" s="208">
        <v>0.6532814824381904</v>
      </c>
      <c r="E58" s="208">
        <v>0.65328148243818862</v>
      </c>
      <c r="F58" s="209" t="s">
        <v>714</v>
      </c>
      <c r="G58" s="208">
        <v>4.4401626390133359E-16</v>
      </c>
      <c r="H58" s="210">
        <v>6.0691121792921907E-15</v>
      </c>
      <c r="I58" s="208">
        <v>3.9648386015716571E-17</v>
      </c>
      <c r="J58" s="208">
        <v>3.9648386015716787E-17</v>
      </c>
      <c r="K58" s="208">
        <v>3.9648386015716682E-17</v>
      </c>
      <c r="L58" s="208">
        <v>1.2033594979175463E-31</v>
      </c>
      <c r="M58" s="208">
        <v>2.2836819382665629E-31</v>
      </c>
      <c r="N58" s="208">
        <v>1.7540813375724112E-31</v>
      </c>
      <c r="O58" s="3">
        <v>0</v>
      </c>
      <c r="P58" s="3">
        <v>0</v>
      </c>
      <c r="Q58" s="3">
        <v>360</v>
      </c>
      <c r="S58" s="4">
        <v>0</v>
      </c>
      <c r="T58" s="4">
        <v>27</v>
      </c>
      <c r="U58" s="210"/>
      <c r="V58" s="210">
        <v>6.0691121792921907E-15</v>
      </c>
      <c r="W58" s="3">
        <v>0</v>
      </c>
      <c r="X58" s="3">
        <v>0</v>
      </c>
      <c r="Y58" s="3">
        <f t="shared" si="11"/>
        <v>1</v>
      </c>
      <c r="Z58" s="3">
        <f t="shared" si="12"/>
        <v>1</v>
      </c>
      <c r="AA58" s="3" t="str">
        <f t="shared" si="13"/>
        <v/>
      </c>
      <c r="AB58" s="3" t="str">
        <f t="shared" si="14"/>
        <v/>
      </c>
      <c r="AC58" s="3" t="str">
        <f t="shared" si="15"/>
        <v/>
      </c>
      <c r="AD58" s="3" t="str">
        <f t="shared" si="0"/>
        <v>0</v>
      </c>
      <c r="AE58" s="3">
        <f t="shared" si="1"/>
        <v>0</v>
      </c>
      <c r="AF58" s="3">
        <f t="shared" si="2"/>
        <v>0</v>
      </c>
      <c r="AM58" s="3" t="str">
        <f t="shared" si="3"/>
        <v/>
      </c>
      <c r="AN58" s="3" t="str">
        <f t="shared" si="4"/>
        <v/>
      </c>
      <c r="AO58" s="3" t="str">
        <f t="shared" si="5"/>
        <v/>
      </c>
      <c r="AP58" s="3">
        <f t="shared" si="6"/>
        <v>0</v>
      </c>
      <c r="AQ58" s="3">
        <f t="shared" si="7"/>
        <v>0</v>
      </c>
      <c r="AR58" s="3">
        <f t="shared" si="17"/>
        <v>0</v>
      </c>
      <c r="AS58" s="3" t="e">
        <f t="shared" si="18"/>
        <v>#REF!</v>
      </c>
      <c r="AT58" s="3" t="str">
        <f t="shared" si="8"/>
        <v/>
      </c>
      <c r="AU58" s="3">
        <f t="shared" si="9"/>
        <v>0</v>
      </c>
      <c r="AV58" s="3">
        <f t="shared" si="10"/>
        <v>0</v>
      </c>
      <c r="AW58" s="3">
        <v>108</v>
      </c>
      <c r="AX58" s="3" t="e">
        <f>IF(AND(#REF!="N",OR(AW58=$AX$1,AW58=$AX$2,AW58=$AX$3,AW58=$AX$4,AW58=$AY$1,AW58=$AY$2,AW58=$AY$3,AW58=$AY$4)),0,1)</f>
        <v>#REF!</v>
      </c>
    </row>
    <row r="59" spans="2:50" x14ac:dyDescent="0.2">
      <c r="B59" s="4">
        <v>110</v>
      </c>
      <c r="C59" s="208">
        <v>4.4194173824159217E-8</v>
      </c>
      <c r="D59" s="208">
        <v>4.4194173824159217E-8</v>
      </c>
      <c r="E59" s="208">
        <v>4.4194173824159217E-8</v>
      </c>
      <c r="F59" s="209" t="s">
        <v>714</v>
      </c>
      <c r="G59" s="208">
        <v>3.1589400446400408E-16</v>
      </c>
      <c r="H59" s="210">
        <v>4.31785118187449E-15</v>
      </c>
      <c r="I59" s="208">
        <v>1.9082386567861252E-24</v>
      </c>
      <c r="J59" s="208">
        <v>1.9082386567861252E-24</v>
      </c>
      <c r="K59" s="208">
        <v>1.9082386567861252E-24</v>
      </c>
      <c r="L59" s="208">
        <v>0</v>
      </c>
      <c r="M59" s="208">
        <v>0</v>
      </c>
      <c r="N59" s="208">
        <v>0</v>
      </c>
      <c r="O59" s="3">
        <v>360</v>
      </c>
      <c r="P59" s="3">
        <v>360</v>
      </c>
      <c r="Q59" s="3">
        <v>360</v>
      </c>
      <c r="S59" s="4">
        <v>0</v>
      </c>
      <c r="T59" s="4">
        <v>27.5</v>
      </c>
      <c r="U59" s="210"/>
      <c r="V59" s="210">
        <v>4.31785118187449E-15</v>
      </c>
      <c r="W59" s="3">
        <v>0</v>
      </c>
      <c r="X59" s="3">
        <v>0</v>
      </c>
      <c r="Y59" s="3">
        <f t="shared" si="11"/>
        <v>1</v>
      </c>
      <c r="Z59" s="3">
        <f t="shared" si="12"/>
        <v>1</v>
      </c>
      <c r="AA59" s="3" t="str">
        <f t="shared" si="13"/>
        <v/>
      </c>
      <c r="AB59" s="3" t="str">
        <f t="shared" si="14"/>
        <v/>
      </c>
      <c r="AC59" s="3" t="str">
        <f t="shared" si="15"/>
        <v/>
      </c>
      <c r="AD59" s="3" t="str">
        <f t="shared" si="0"/>
        <v>0</v>
      </c>
      <c r="AE59" s="3">
        <f t="shared" si="1"/>
        <v>0</v>
      </c>
      <c r="AF59" s="3">
        <f t="shared" si="2"/>
        <v>0</v>
      </c>
      <c r="AM59" s="3" t="str">
        <f t="shared" si="3"/>
        <v/>
      </c>
      <c r="AN59" s="3" t="str">
        <f t="shared" si="4"/>
        <v/>
      </c>
      <c r="AO59" s="3" t="str">
        <f t="shared" si="5"/>
        <v/>
      </c>
      <c r="AP59" s="3">
        <f t="shared" si="6"/>
        <v>0</v>
      </c>
      <c r="AQ59" s="3">
        <f t="shared" si="7"/>
        <v>0</v>
      </c>
      <c r="AR59" s="3">
        <f t="shared" si="17"/>
        <v>0</v>
      </c>
      <c r="AS59" s="3" t="e">
        <f t="shared" si="18"/>
        <v>#REF!</v>
      </c>
      <c r="AT59" s="3" t="str">
        <f t="shared" si="8"/>
        <v/>
      </c>
      <c r="AU59" s="3">
        <f t="shared" si="9"/>
        <v>0</v>
      </c>
      <c r="AV59" s="3">
        <f t="shared" si="10"/>
        <v>0</v>
      </c>
      <c r="AW59" s="3">
        <v>110</v>
      </c>
      <c r="AX59" s="3" t="e">
        <f>IF(AND(#REF!="N",OR(AW59=$AX$1,AW59=$AX$2,AW59=$AX$3,AW59=$AX$4,AW59=$AY$1,AW59=$AY$2,AW59=$AY$3,AW59=$AY$4)),0,1)</f>
        <v>#REF!</v>
      </c>
    </row>
    <row r="60" spans="2:50" x14ac:dyDescent="0.2">
      <c r="B60" s="4">
        <v>112</v>
      </c>
      <c r="C60" s="208">
        <v>4.4194173824159217E-8</v>
      </c>
      <c r="D60" s="208">
        <v>4.4194173824159217E-8</v>
      </c>
      <c r="E60" s="208">
        <v>4.4194173824159217E-8</v>
      </c>
      <c r="F60" s="209" t="s">
        <v>714</v>
      </c>
      <c r="G60" s="208">
        <v>1.0072650061378467E-15</v>
      </c>
      <c r="H60" s="210">
        <v>1.376797386386834E-14</v>
      </c>
      <c r="I60" s="208">
        <v>6.0846423014627839E-24</v>
      </c>
      <c r="J60" s="208">
        <v>6.0846423014627839E-24</v>
      </c>
      <c r="K60" s="208">
        <v>6.0846423014627839E-24</v>
      </c>
      <c r="L60" s="208">
        <v>0</v>
      </c>
      <c r="M60" s="208">
        <v>0</v>
      </c>
      <c r="N60" s="208">
        <v>0</v>
      </c>
      <c r="O60" s="3">
        <v>360</v>
      </c>
      <c r="P60" s="3">
        <v>360</v>
      </c>
      <c r="Q60" s="3">
        <v>360</v>
      </c>
      <c r="S60" s="4">
        <v>0</v>
      </c>
      <c r="T60" s="4">
        <v>28</v>
      </c>
      <c r="U60" s="210"/>
      <c r="V60" s="210">
        <v>1.376797386386834E-14</v>
      </c>
      <c r="W60" s="3">
        <v>0</v>
      </c>
      <c r="X60" s="3">
        <v>0</v>
      </c>
      <c r="Y60" s="3">
        <f t="shared" si="11"/>
        <v>1</v>
      </c>
      <c r="Z60" s="3">
        <f t="shared" si="12"/>
        <v>1</v>
      </c>
      <c r="AA60" s="3" t="str">
        <f t="shared" si="13"/>
        <v/>
      </c>
      <c r="AB60" s="3" t="str">
        <f t="shared" si="14"/>
        <v/>
      </c>
      <c r="AC60" s="3" t="str">
        <f t="shared" si="15"/>
        <v/>
      </c>
      <c r="AD60" s="3" t="str">
        <f t="shared" si="0"/>
        <v>0</v>
      </c>
      <c r="AE60" s="3">
        <f t="shared" si="1"/>
        <v>0</v>
      </c>
      <c r="AF60" s="3">
        <f t="shared" si="2"/>
        <v>0</v>
      </c>
      <c r="AM60" s="3" t="str">
        <f t="shared" si="3"/>
        <v/>
      </c>
      <c r="AN60" s="3" t="str">
        <f t="shared" si="4"/>
        <v/>
      </c>
      <c r="AO60" s="3" t="str">
        <f t="shared" si="5"/>
        <v/>
      </c>
      <c r="AP60" s="3">
        <f t="shared" si="6"/>
        <v>0</v>
      </c>
      <c r="AQ60" s="3">
        <f t="shared" si="7"/>
        <v>0</v>
      </c>
      <c r="AR60" s="3">
        <f t="shared" si="17"/>
        <v>0</v>
      </c>
      <c r="AS60" s="3" t="e">
        <f t="shared" si="18"/>
        <v>#REF!</v>
      </c>
      <c r="AT60" s="3" t="str">
        <f t="shared" si="8"/>
        <v/>
      </c>
      <c r="AU60" s="3">
        <f t="shared" si="9"/>
        <v>0</v>
      </c>
      <c r="AV60" s="3">
        <f t="shared" si="10"/>
        <v>0</v>
      </c>
      <c r="AW60" s="3">
        <v>112</v>
      </c>
      <c r="AX60" s="3" t="e">
        <f>IF(AND(#REF!="N",OR(AW60=$AX$1,AW60=$AX$2,AW60=$AX$3,AW60=$AX$4,AW60=$AY$1,AW60=$AY$2,AW60=$AY$3,AW60=$AY$4)),0,1)</f>
        <v>#REF!</v>
      </c>
    </row>
    <row r="61" spans="2:50" x14ac:dyDescent="0.2">
      <c r="B61" s="4">
        <v>114</v>
      </c>
      <c r="C61" s="208">
        <v>4.4194173824159217E-8</v>
      </c>
      <c r="D61" s="208">
        <v>4.4194173824159217E-8</v>
      </c>
      <c r="E61" s="208">
        <v>4.4194173824159217E-8</v>
      </c>
      <c r="F61" s="209" t="s">
        <v>714</v>
      </c>
      <c r="G61" s="208">
        <v>7.9454837194027367E-16</v>
      </c>
      <c r="H61" s="210">
        <v>1.0860420199047158E-14</v>
      </c>
      <c r="I61" s="208">
        <v>4.7996729808009991E-24</v>
      </c>
      <c r="J61" s="208">
        <v>4.7996729808009991E-24</v>
      </c>
      <c r="K61" s="208">
        <v>4.7996729808009991E-24</v>
      </c>
      <c r="L61" s="208">
        <v>0</v>
      </c>
      <c r="M61" s="208">
        <v>0</v>
      </c>
      <c r="N61" s="208">
        <v>0</v>
      </c>
      <c r="O61" s="3">
        <v>360</v>
      </c>
      <c r="P61" s="3">
        <v>360</v>
      </c>
      <c r="Q61" s="3">
        <v>360</v>
      </c>
      <c r="S61" s="4">
        <v>0</v>
      </c>
      <c r="T61" s="4">
        <v>28.5</v>
      </c>
      <c r="U61" s="210"/>
      <c r="V61" s="210">
        <v>1.0860420199047158E-14</v>
      </c>
      <c r="W61" s="3">
        <v>0</v>
      </c>
      <c r="X61" s="3">
        <v>0</v>
      </c>
      <c r="Y61" s="3">
        <f t="shared" si="11"/>
        <v>1</v>
      </c>
      <c r="Z61" s="3">
        <f t="shared" si="12"/>
        <v>1</v>
      </c>
      <c r="AA61" s="3" t="str">
        <f t="shared" si="13"/>
        <v/>
      </c>
      <c r="AB61" s="3" t="str">
        <f t="shared" si="14"/>
        <v/>
      </c>
      <c r="AC61" s="3" t="str">
        <f t="shared" si="15"/>
        <v/>
      </c>
      <c r="AD61" s="3" t="str">
        <f t="shared" si="0"/>
        <v>0</v>
      </c>
      <c r="AE61" s="3">
        <f t="shared" si="1"/>
        <v>0</v>
      </c>
      <c r="AF61" s="3">
        <f t="shared" si="2"/>
        <v>0</v>
      </c>
      <c r="AM61" s="3" t="str">
        <f t="shared" si="3"/>
        <v/>
      </c>
      <c r="AN61" s="3" t="str">
        <f t="shared" si="4"/>
        <v/>
      </c>
      <c r="AO61" s="3" t="str">
        <f t="shared" si="5"/>
        <v/>
      </c>
      <c r="AP61" s="3">
        <f t="shared" si="6"/>
        <v>0</v>
      </c>
      <c r="AQ61" s="3">
        <f t="shared" si="7"/>
        <v>0</v>
      </c>
      <c r="AR61" s="3">
        <f t="shared" si="17"/>
        <v>0</v>
      </c>
      <c r="AS61" s="3" t="e">
        <f t="shared" si="18"/>
        <v>#REF!</v>
      </c>
      <c r="AT61" s="3" t="str">
        <f t="shared" si="8"/>
        <v/>
      </c>
      <c r="AU61" s="3">
        <f t="shared" si="9"/>
        <v>0</v>
      </c>
      <c r="AV61" s="3">
        <f t="shared" si="10"/>
        <v>0</v>
      </c>
      <c r="AW61" s="3">
        <v>114</v>
      </c>
      <c r="AX61" s="3" t="e">
        <f>IF(AND(#REF!="N",OR(AW61=$AX$1,AW61=$AX$2,AW61=$AX$3,AW61=$AX$4,AW61=$AY$1,AW61=$AY$2,AW61=$AY$3,AW61=$AY$4)),0,1)</f>
        <v>#REF!</v>
      </c>
    </row>
    <row r="62" spans="2:50" x14ac:dyDescent="0.2">
      <c r="B62" s="4">
        <v>116</v>
      </c>
      <c r="C62" s="208">
        <v>0.20533495396307069</v>
      </c>
      <c r="D62" s="208">
        <v>0.20533495396307269</v>
      </c>
      <c r="E62" s="208">
        <v>0.20533495396307228</v>
      </c>
      <c r="F62" s="209" t="s">
        <v>714</v>
      </c>
      <c r="G62" s="208">
        <v>5.4091155165963405E-2</v>
      </c>
      <c r="H62" s="210">
        <v>0.7393541978063255</v>
      </c>
      <c r="I62" s="208">
        <v>1.5181526016896491E-3</v>
      </c>
      <c r="J62" s="208">
        <v>1.5181526016896638E-3</v>
      </c>
      <c r="K62" s="208">
        <v>1.5181526016896606E-3</v>
      </c>
      <c r="L62" s="208">
        <v>2.6295174397693568E-3</v>
      </c>
      <c r="M62" s="208">
        <v>2.6295174397693659E-3</v>
      </c>
      <c r="N62" s="208">
        <v>2.6295174397693698E-3</v>
      </c>
      <c r="O62" s="3">
        <v>120</v>
      </c>
      <c r="P62" s="3">
        <v>120</v>
      </c>
      <c r="Q62" s="3">
        <v>120</v>
      </c>
      <c r="R62" s="4" t="s">
        <v>172</v>
      </c>
      <c r="S62" s="4" t="s">
        <v>172</v>
      </c>
      <c r="T62" s="4">
        <v>29</v>
      </c>
      <c r="U62" s="210"/>
      <c r="V62" s="210">
        <v>0.73935419780632539</v>
      </c>
      <c r="W62" s="3">
        <v>0.7393541978063275</v>
      </c>
      <c r="X62" s="3">
        <v>0</v>
      </c>
      <c r="Y62" s="3">
        <f t="shared" si="11"/>
        <v>1</v>
      </c>
      <c r="Z62" s="3">
        <f t="shared" si="12"/>
        <v>1</v>
      </c>
      <c r="AA62" s="3">
        <f t="shared" si="13"/>
        <v>0.13791844010202969</v>
      </c>
      <c r="AB62" s="3">
        <f t="shared" si="14"/>
        <v>6.8959220051014847E-2</v>
      </c>
      <c r="AC62" s="3">
        <f t="shared" si="15"/>
        <v>8.1996694472074715E-4</v>
      </c>
      <c r="AD62" s="3" t="str">
        <f t="shared" si="0"/>
        <v>3.88139109431435E-06+0.000818003173126657i</v>
      </c>
      <c r="AE62" s="3">
        <f t="shared" si="1"/>
        <v>3.8813910943143499E-6</v>
      </c>
      <c r="AF62" s="3">
        <f t="shared" si="2"/>
        <v>8.1800317312665698E-4</v>
      </c>
      <c r="AM62" s="3" t="str">
        <f t="shared" si="3"/>
        <v>-0.0000565442809755563+0.000113088561951113i</v>
      </c>
      <c r="AN62" s="3" t="str">
        <f t="shared" si="4"/>
        <v>0.13791844010203+0.0697791869957356i</v>
      </c>
      <c r="AO62" s="3" t="str">
        <f t="shared" si="5"/>
        <v>3.88139109431435E-06+0.000818003173126657i</v>
      </c>
      <c r="AP62" s="3">
        <f t="shared" si="6"/>
        <v>3.8813910943143499E-6</v>
      </c>
      <c r="AQ62" s="3">
        <f t="shared" si="7"/>
        <v>8.1800317312665698E-4</v>
      </c>
      <c r="AR62" s="3">
        <f t="shared" si="17"/>
        <v>-5.4165390579134369</v>
      </c>
      <c r="AS62" s="3" t="e">
        <f t="shared" si="18"/>
        <v>#REF!</v>
      </c>
      <c r="AT62" s="3" t="e">
        <f t="shared" si="8"/>
        <v>#REF!</v>
      </c>
      <c r="AU62" s="3" t="e">
        <f t="shared" si="9"/>
        <v>#REF!</v>
      </c>
      <c r="AV62" s="3" t="e">
        <f t="shared" si="10"/>
        <v>#REF!</v>
      </c>
      <c r="AW62" s="3">
        <v>116</v>
      </c>
      <c r="AX62" s="3" t="e">
        <f>IF(AND(#REF!="N",OR(AW62=$AX$1,AW62=$AX$2,AW62=$AX$3,AW62=$AX$4,AW62=$AY$1,AW62=$AY$2,AW62=$AY$3,AW62=$AY$4)),0,1)</f>
        <v>#REF!</v>
      </c>
    </row>
    <row r="63" spans="2:50" x14ac:dyDescent="0.2">
      <c r="B63" s="4">
        <v>118</v>
      </c>
      <c r="C63" s="208">
        <v>4.4194173824159217E-8</v>
      </c>
      <c r="D63" s="208">
        <v>4.4194173824159217E-8</v>
      </c>
      <c r="E63" s="208">
        <v>4.4194173824159217E-8</v>
      </c>
      <c r="F63" s="209" t="s">
        <v>714</v>
      </c>
      <c r="G63" s="208">
        <v>3.5272635497327909E-16</v>
      </c>
      <c r="H63" s="210">
        <v>4.8213004589430293E-15</v>
      </c>
      <c r="I63" s="208">
        <v>2.1307339054102684E-24</v>
      </c>
      <c r="J63" s="208">
        <v>2.1307339054102684E-24</v>
      </c>
      <c r="K63" s="208">
        <v>2.1307339054102684E-24</v>
      </c>
      <c r="L63" s="208">
        <v>0</v>
      </c>
      <c r="M63" s="208">
        <v>0</v>
      </c>
      <c r="N63" s="208">
        <v>0</v>
      </c>
      <c r="O63" s="3">
        <v>360</v>
      </c>
      <c r="P63" s="3">
        <v>360</v>
      </c>
      <c r="Q63" s="3">
        <v>360</v>
      </c>
      <c r="S63" s="4">
        <v>0</v>
      </c>
      <c r="T63" s="4">
        <v>29.5</v>
      </c>
      <c r="U63" s="210"/>
      <c r="V63" s="210">
        <v>4.8213004589430293E-15</v>
      </c>
      <c r="W63" s="3">
        <v>0</v>
      </c>
      <c r="X63" s="3">
        <v>0</v>
      </c>
      <c r="Y63" s="3">
        <f t="shared" si="11"/>
        <v>1</v>
      </c>
      <c r="Z63" s="3">
        <f t="shared" si="12"/>
        <v>1</v>
      </c>
      <c r="AA63" s="3" t="str">
        <f t="shared" si="13"/>
        <v/>
      </c>
      <c r="AB63" s="3" t="str">
        <f t="shared" si="14"/>
        <v/>
      </c>
      <c r="AC63" s="3" t="str">
        <f t="shared" si="15"/>
        <v/>
      </c>
      <c r="AD63" s="3" t="str">
        <f t="shared" si="0"/>
        <v>0</v>
      </c>
      <c r="AE63" s="3">
        <f t="shared" si="1"/>
        <v>0</v>
      </c>
      <c r="AF63" s="3">
        <f t="shared" si="2"/>
        <v>0</v>
      </c>
      <c r="AM63" s="3" t="str">
        <f t="shared" si="3"/>
        <v/>
      </c>
      <c r="AN63" s="3" t="str">
        <f t="shared" si="4"/>
        <v/>
      </c>
      <c r="AO63" s="3" t="str">
        <f t="shared" si="5"/>
        <v/>
      </c>
      <c r="AP63" s="3">
        <f t="shared" si="6"/>
        <v>0</v>
      </c>
      <c r="AQ63" s="3">
        <f t="shared" si="7"/>
        <v>0</v>
      </c>
      <c r="AR63" s="3">
        <f t="shared" si="17"/>
        <v>0</v>
      </c>
      <c r="AS63" s="3" t="e">
        <f t="shared" si="18"/>
        <v>#REF!</v>
      </c>
      <c r="AT63" s="3" t="str">
        <f t="shared" si="8"/>
        <v/>
      </c>
      <c r="AU63" s="3">
        <f t="shared" si="9"/>
        <v>0</v>
      </c>
      <c r="AV63" s="3">
        <f t="shared" si="10"/>
        <v>0</v>
      </c>
      <c r="AW63" s="3">
        <v>118</v>
      </c>
      <c r="AX63" s="3" t="e">
        <f>IF(AND(#REF!="N",OR(AW63=$AX$1,AW63=$AX$2,AW63=$AX$3,AW63=$AX$4,AW63=$AY$1,AW63=$AY$2,AW63=$AY$3,AW63=$AY$4)),0,1)</f>
        <v>#REF!</v>
      </c>
    </row>
    <row r="64" spans="2:50" x14ac:dyDescent="0.2">
      <c r="B64" s="4">
        <v>120</v>
      </c>
      <c r="C64" s="208">
        <v>4.4194173824159217E-8</v>
      </c>
      <c r="D64" s="208">
        <v>4.4194173824159217E-8</v>
      </c>
      <c r="E64" s="208">
        <v>4.4194173824159217E-8</v>
      </c>
      <c r="F64" s="209" t="s">
        <v>714</v>
      </c>
      <c r="G64" s="208">
        <v>1.1917678251890703E-16</v>
      </c>
      <c r="H64" s="210">
        <v>1.6289882175016043E-15</v>
      </c>
      <c r="I64" s="208">
        <v>7.1991788441773188E-25</v>
      </c>
      <c r="J64" s="208">
        <v>7.1991788441773188E-25</v>
      </c>
      <c r="K64" s="208">
        <v>7.1991788441773188E-25</v>
      </c>
      <c r="L64" s="208">
        <v>0</v>
      </c>
      <c r="M64" s="208">
        <v>0</v>
      </c>
      <c r="N64" s="208">
        <v>0</v>
      </c>
      <c r="O64" s="3">
        <v>360</v>
      </c>
      <c r="P64" s="3">
        <v>360</v>
      </c>
      <c r="Q64" s="3">
        <v>360</v>
      </c>
      <c r="S64" s="4">
        <v>0</v>
      </c>
      <c r="T64" s="4">
        <v>30</v>
      </c>
      <c r="U64" s="210"/>
      <c r="V64" s="210">
        <v>1.6289882175016041E-15</v>
      </c>
      <c r="W64" s="3">
        <v>0</v>
      </c>
      <c r="X64" s="3">
        <v>0</v>
      </c>
      <c r="Y64" s="3">
        <f t="shared" si="11"/>
        <v>1</v>
      </c>
      <c r="Z64" s="3">
        <f t="shared" si="12"/>
        <v>1</v>
      </c>
      <c r="AA64" s="3" t="str">
        <f t="shared" si="13"/>
        <v/>
      </c>
      <c r="AB64" s="3" t="str">
        <f t="shared" si="14"/>
        <v/>
      </c>
      <c r="AC64" s="3" t="str">
        <f t="shared" si="15"/>
        <v/>
      </c>
      <c r="AD64" s="3" t="str">
        <f t="shared" si="0"/>
        <v>0</v>
      </c>
      <c r="AE64" s="3">
        <f t="shared" si="1"/>
        <v>0</v>
      </c>
      <c r="AF64" s="3">
        <f t="shared" si="2"/>
        <v>0</v>
      </c>
      <c r="AM64" s="3" t="str">
        <f t="shared" si="3"/>
        <v/>
      </c>
      <c r="AN64" s="3" t="str">
        <f t="shared" si="4"/>
        <v/>
      </c>
      <c r="AO64" s="3" t="str">
        <f t="shared" si="5"/>
        <v/>
      </c>
      <c r="AP64" s="3">
        <f t="shared" si="6"/>
        <v>0</v>
      </c>
      <c r="AQ64" s="3">
        <f t="shared" si="7"/>
        <v>0</v>
      </c>
      <c r="AR64" s="3">
        <f t="shared" si="17"/>
        <v>0</v>
      </c>
      <c r="AS64" s="3" t="e">
        <f t="shared" si="18"/>
        <v>#REF!</v>
      </c>
      <c r="AT64" s="3" t="str">
        <f t="shared" si="8"/>
        <v/>
      </c>
      <c r="AU64" s="3">
        <f t="shared" si="9"/>
        <v>0</v>
      </c>
      <c r="AV64" s="3">
        <f t="shared" si="10"/>
        <v>0</v>
      </c>
      <c r="AW64" s="3">
        <v>120</v>
      </c>
      <c r="AX64" s="3" t="e">
        <f>IF(AND(#REF!="N",OR(AW64=$AX$1,AW64=$AX$2,AW64=$AX$3,AW64=$AX$4,AW64=$AY$1,AW64=$AY$2,AW64=$AY$3,AW64=$AY$4)),0,1)</f>
        <v>#REF!</v>
      </c>
    </row>
    <row r="65" spans="2:50" x14ac:dyDescent="0.2">
      <c r="B65" s="4">
        <v>122</v>
      </c>
      <c r="C65" s="208">
        <v>4.4194173824159217E-8</v>
      </c>
      <c r="D65" s="208">
        <v>4.4194173824159217E-8</v>
      </c>
      <c r="E65" s="208">
        <v>4.4194173824159217E-8</v>
      </c>
      <c r="F65" s="209" t="s">
        <v>714</v>
      </c>
      <c r="G65" s="208">
        <v>5.0193581089436454E-16</v>
      </c>
      <c r="H65" s="210">
        <v>6.8607954050052986E-15</v>
      </c>
      <c r="I65" s="208">
        <v>3.03207184700797E-24</v>
      </c>
      <c r="J65" s="208">
        <v>3.03207184700797E-24</v>
      </c>
      <c r="K65" s="208">
        <v>3.03207184700797E-24</v>
      </c>
      <c r="L65" s="208">
        <v>0</v>
      </c>
      <c r="M65" s="208">
        <v>0</v>
      </c>
      <c r="N65" s="208">
        <v>0</v>
      </c>
      <c r="O65" s="3">
        <v>360</v>
      </c>
      <c r="P65" s="3">
        <v>360</v>
      </c>
      <c r="Q65" s="3">
        <v>360</v>
      </c>
      <c r="S65" s="4">
        <v>0</v>
      </c>
      <c r="T65" s="4">
        <v>30.5</v>
      </c>
      <c r="U65" s="210"/>
      <c r="V65" s="210">
        <v>6.8607954050052986E-15</v>
      </c>
      <c r="W65" s="3">
        <v>0</v>
      </c>
      <c r="X65" s="3">
        <v>0</v>
      </c>
      <c r="Y65" s="3">
        <f t="shared" si="11"/>
        <v>1</v>
      </c>
      <c r="Z65" s="3">
        <f t="shared" si="12"/>
        <v>1</v>
      </c>
      <c r="AA65" s="3" t="str">
        <f t="shared" si="13"/>
        <v/>
      </c>
      <c r="AB65" s="3" t="str">
        <f t="shared" si="14"/>
        <v/>
      </c>
      <c r="AC65" s="3" t="str">
        <f t="shared" si="15"/>
        <v/>
      </c>
      <c r="AD65" s="3" t="str">
        <f t="shared" si="0"/>
        <v>0</v>
      </c>
      <c r="AE65" s="3">
        <f t="shared" si="1"/>
        <v>0</v>
      </c>
      <c r="AF65" s="3">
        <f t="shared" si="2"/>
        <v>0</v>
      </c>
      <c r="AM65" s="3" t="str">
        <f t="shared" si="3"/>
        <v/>
      </c>
      <c r="AN65" s="3" t="str">
        <f t="shared" si="4"/>
        <v/>
      </c>
      <c r="AO65" s="3" t="str">
        <f t="shared" si="5"/>
        <v/>
      </c>
      <c r="AP65" s="3">
        <f t="shared" si="6"/>
        <v>0</v>
      </c>
      <c r="AQ65" s="3">
        <f t="shared" si="7"/>
        <v>0</v>
      </c>
      <c r="AR65" s="3">
        <f t="shared" si="17"/>
        <v>0</v>
      </c>
      <c r="AS65" s="3" t="e">
        <f t="shared" si="18"/>
        <v>#REF!</v>
      </c>
      <c r="AT65" s="3" t="str">
        <f t="shared" si="8"/>
        <v/>
      </c>
      <c r="AU65" s="3">
        <f t="shared" si="9"/>
        <v>0</v>
      </c>
      <c r="AV65" s="3">
        <f t="shared" si="10"/>
        <v>0</v>
      </c>
      <c r="AW65" s="3">
        <v>122</v>
      </c>
      <c r="AX65" s="3" t="e">
        <f>IF(AND(#REF!="N",OR(AW65=$AX$1,AW65=$AX$2,AW65=$AX$3,AW65=$AX$4,AW65=$AY$1,AW65=$AY$2,AW65=$AY$3,AW65=$AY$4)),0,1)</f>
        <v>#REF!</v>
      </c>
    </row>
    <row r="66" spans="2:50" x14ac:dyDescent="0.2">
      <c r="B66" s="4">
        <v>124</v>
      </c>
      <c r="C66" s="208">
        <v>0.15755905175128176</v>
      </c>
      <c r="D66" s="208">
        <v>0.15755905175128451</v>
      </c>
      <c r="E66" s="208">
        <v>0.15755905175128135</v>
      </c>
      <c r="F66" s="209" t="s">
        <v>714</v>
      </c>
      <c r="G66" s="208">
        <v>3.8827822320137012E-2</v>
      </c>
      <c r="H66" s="210">
        <v>0.53072472451347275</v>
      </c>
      <c r="I66" s="208">
        <v>8.362048433530301E-4</v>
      </c>
      <c r="J66" s="208">
        <v>8.3620484335304474E-4</v>
      </c>
      <c r="K66" s="208">
        <v>8.3620484335302793E-4</v>
      </c>
      <c r="L66" s="208">
        <v>1.4483492742226221E-3</v>
      </c>
      <c r="M66" s="208">
        <v>1.4483492742226448E-3</v>
      </c>
      <c r="N66" s="208">
        <v>1.4483492742226216E-3</v>
      </c>
      <c r="O66" s="3">
        <v>240</v>
      </c>
      <c r="P66" s="3">
        <v>240</v>
      </c>
      <c r="Q66" s="3">
        <v>240</v>
      </c>
      <c r="R66" s="4" t="s">
        <v>168</v>
      </c>
      <c r="S66" s="4" t="s">
        <v>168</v>
      </c>
      <c r="T66" s="4">
        <v>31</v>
      </c>
      <c r="U66" s="210"/>
      <c r="V66" s="210">
        <v>0.53072472451347275</v>
      </c>
      <c r="W66" s="3">
        <v>0</v>
      </c>
      <c r="X66" s="3">
        <v>0.5307247245134683</v>
      </c>
      <c r="Y66" s="3">
        <f t="shared" si="11"/>
        <v>1</v>
      </c>
      <c r="Z66" s="3">
        <f t="shared" si="12"/>
        <v>1</v>
      </c>
      <c r="AA66" s="3">
        <f t="shared" si="13"/>
        <v>8.120509578441297E-2</v>
      </c>
      <c r="AB66" s="3">
        <f t="shared" si="14"/>
        <v>4.0602547892206485E-2</v>
      </c>
      <c r="AC66" s="3">
        <f t="shared" si="15"/>
        <v>4.225030998148438E-4</v>
      </c>
      <c r="AD66" s="3" t="str">
        <f t="shared" si="0"/>
        <v>0.00000175127041702+0.000421618352897608i</v>
      </c>
      <c r="AE66" s="3">
        <f t="shared" si="1"/>
        <v>1.7512704170199999E-6</v>
      </c>
      <c r="AF66" s="3">
        <f t="shared" si="2"/>
        <v>4.2161835289760801E-4</v>
      </c>
      <c r="AM66" s="3" t="str">
        <f t="shared" si="3"/>
        <v>-0.0000171547023448379+0.0000343094046896758i</v>
      </c>
      <c r="AN66" s="3" t="str">
        <f t="shared" si="4"/>
        <v>0.081205095784413+0.0410250509920213i</v>
      </c>
      <c r="AO66" s="3" t="str">
        <f t="shared" si="5"/>
        <v>0.00000175127041702+0.000421618352897608i</v>
      </c>
      <c r="AP66" s="3">
        <f t="shared" si="6"/>
        <v>1.7512704170199999E-6</v>
      </c>
      <c r="AQ66" s="3">
        <f t="shared" si="7"/>
        <v>4.2161835289760801E-4</v>
      </c>
      <c r="AR66" s="3">
        <f t="shared" si="17"/>
        <v>5.0670849251448278</v>
      </c>
      <c r="AS66" s="3" t="e">
        <f t="shared" si="18"/>
        <v>#REF!</v>
      </c>
      <c r="AT66" s="3" t="e">
        <f t="shared" si="8"/>
        <v>#REF!</v>
      </c>
      <c r="AU66" s="3" t="e">
        <f t="shared" si="9"/>
        <v>#REF!</v>
      </c>
      <c r="AV66" s="3" t="e">
        <f t="shared" si="10"/>
        <v>#REF!</v>
      </c>
      <c r="AW66" s="3">
        <v>124</v>
      </c>
      <c r="AX66" s="3" t="e">
        <f>IF(AND(#REF!="N",OR(AW66=$AX$1,AW66=$AX$2,AW66=$AX$3,AW66=$AX$4,AW66=$AY$1,AW66=$AY$2,AW66=$AY$3,AW66=$AY$4)),0,1)</f>
        <v>#REF!</v>
      </c>
    </row>
    <row r="67" spans="2:50" x14ac:dyDescent="0.2">
      <c r="B67" s="4">
        <v>126</v>
      </c>
      <c r="C67" s="208">
        <v>4.4194173824159217E-8</v>
      </c>
      <c r="D67" s="208">
        <v>4.4194173824159217E-8</v>
      </c>
      <c r="E67" s="208">
        <v>4.4194173824159217E-8</v>
      </c>
      <c r="F67" s="209" t="s">
        <v>714</v>
      </c>
      <c r="G67" s="208">
        <v>8.9830935456330032E-16</v>
      </c>
      <c r="H67" s="210">
        <v>1.2278694921327766E-14</v>
      </c>
      <c r="I67" s="208">
        <v>5.4264677768698022E-24</v>
      </c>
      <c r="J67" s="208">
        <v>5.4264677768698022E-24</v>
      </c>
      <c r="K67" s="208">
        <v>5.4264677768698022E-24</v>
      </c>
      <c r="L67" s="208">
        <v>0</v>
      </c>
      <c r="M67" s="208">
        <v>0</v>
      </c>
      <c r="N67" s="208">
        <v>0</v>
      </c>
      <c r="O67" s="3">
        <v>360</v>
      </c>
      <c r="P67" s="3">
        <v>360</v>
      </c>
      <c r="Q67" s="3">
        <v>360</v>
      </c>
      <c r="S67" s="4">
        <v>0</v>
      </c>
      <c r="T67" s="4">
        <v>31.5</v>
      </c>
      <c r="U67" s="210"/>
      <c r="V67" s="210">
        <v>1.2278694921327764E-14</v>
      </c>
      <c r="W67" s="3">
        <v>0</v>
      </c>
      <c r="X67" s="3">
        <v>0</v>
      </c>
      <c r="Y67" s="3">
        <f t="shared" si="11"/>
        <v>1</v>
      </c>
      <c r="Z67" s="3">
        <f t="shared" si="12"/>
        <v>1</v>
      </c>
      <c r="AA67" s="3" t="str">
        <f t="shared" si="13"/>
        <v/>
      </c>
      <c r="AB67" s="3" t="str">
        <f t="shared" si="14"/>
        <v/>
      </c>
      <c r="AC67" s="3" t="str">
        <f t="shared" si="15"/>
        <v/>
      </c>
      <c r="AD67" s="3" t="str">
        <f t="shared" si="0"/>
        <v>0</v>
      </c>
      <c r="AE67" s="3">
        <f t="shared" si="1"/>
        <v>0</v>
      </c>
      <c r="AF67" s="3">
        <f t="shared" si="2"/>
        <v>0</v>
      </c>
      <c r="AM67" s="3" t="str">
        <f t="shared" si="3"/>
        <v/>
      </c>
      <c r="AN67" s="3" t="str">
        <f t="shared" si="4"/>
        <v/>
      </c>
      <c r="AO67" s="3" t="str">
        <f t="shared" si="5"/>
        <v/>
      </c>
      <c r="AP67" s="3">
        <f t="shared" si="6"/>
        <v>0</v>
      </c>
      <c r="AQ67" s="3">
        <f t="shared" si="7"/>
        <v>0</v>
      </c>
      <c r="AR67" s="3">
        <f t="shared" si="17"/>
        <v>0</v>
      </c>
      <c r="AS67" s="3" t="e">
        <f t="shared" si="18"/>
        <v>#REF!</v>
      </c>
      <c r="AT67" s="3" t="str">
        <f t="shared" si="8"/>
        <v/>
      </c>
      <c r="AU67" s="3">
        <f t="shared" si="9"/>
        <v>0</v>
      </c>
      <c r="AV67" s="3">
        <f t="shared" si="10"/>
        <v>0</v>
      </c>
      <c r="AW67" s="3">
        <v>126</v>
      </c>
      <c r="AX67" s="3" t="e">
        <f>IF(AND(#REF!="N",OR(AW67=$AX$1,AW67=$AX$2,AW67=$AX$3,AW67=$AX$4,AW67=$AY$1,AW67=$AY$2,AW67=$AY$3,AW67=$AY$4)),0,1)</f>
        <v>#REF!</v>
      </c>
    </row>
    <row r="68" spans="2:50" x14ac:dyDescent="0.2">
      <c r="B68" s="4">
        <v>128</v>
      </c>
      <c r="C68" s="208">
        <v>4.4194173824159217E-8</v>
      </c>
      <c r="D68" s="208">
        <v>4.4194173824159217E-8</v>
      </c>
      <c r="E68" s="208">
        <v>4.4194173824159217E-8</v>
      </c>
      <c r="F68" s="209" t="s">
        <v>714</v>
      </c>
      <c r="G68" s="208">
        <v>2.6344466526164578E-16</v>
      </c>
      <c r="H68" s="210">
        <v>3.6009384261300401E-15</v>
      </c>
      <c r="I68" s="208">
        <v>1.591404987344853E-24</v>
      </c>
      <c r="J68" s="208">
        <v>1.591404987344853E-24</v>
      </c>
      <c r="K68" s="208">
        <v>1.591404987344853E-24</v>
      </c>
      <c r="L68" s="208">
        <v>0</v>
      </c>
      <c r="M68" s="208">
        <v>0</v>
      </c>
      <c r="N68" s="208">
        <v>0</v>
      </c>
      <c r="O68" s="3">
        <v>360</v>
      </c>
      <c r="P68" s="3">
        <v>360</v>
      </c>
      <c r="Q68" s="3">
        <v>360</v>
      </c>
      <c r="S68" s="4">
        <v>0</v>
      </c>
      <c r="T68" s="4">
        <v>32</v>
      </c>
      <c r="U68" s="210"/>
      <c r="V68" s="210">
        <v>3.6009384261300401E-15</v>
      </c>
      <c r="W68" s="3">
        <v>0</v>
      </c>
      <c r="X68" s="3">
        <v>0</v>
      </c>
      <c r="Y68" s="3">
        <f t="shared" si="11"/>
        <v>1</v>
      </c>
      <c r="Z68" s="3">
        <f t="shared" si="12"/>
        <v>1</v>
      </c>
      <c r="AA68" s="3" t="str">
        <f t="shared" si="13"/>
        <v/>
      </c>
      <c r="AB68" s="3" t="str">
        <f t="shared" si="14"/>
        <v/>
      </c>
      <c r="AC68" s="3" t="str">
        <f t="shared" si="15"/>
        <v/>
      </c>
      <c r="AD68" s="3" t="str">
        <f t="shared" si="0"/>
        <v>0</v>
      </c>
      <c r="AE68" s="3">
        <f t="shared" si="1"/>
        <v>0</v>
      </c>
      <c r="AF68" s="3">
        <f t="shared" si="2"/>
        <v>0</v>
      </c>
      <c r="AM68" s="3" t="str">
        <f t="shared" si="3"/>
        <v/>
      </c>
      <c r="AN68" s="3" t="str">
        <f t="shared" si="4"/>
        <v/>
      </c>
      <c r="AO68" s="3" t="str">
        <f t="shared" si="5"/>
        <v/>
      </c>
      <c r="AP68" s="3">
        <f t="shared" si="6"/>
        <v>0</v>
      </c>
      <c r="AQ68" s="3">
        <f t="shared" si="7"/>
        <v>0</v>
      </c>
      <c r="AR68" s="3">
        <f t="shared" si="17"/>
        <v>0</v>
      </c>
      <c r="AS68" s="3" t="e">
        <f t="shared" si="18"/>
        <v>#REF!</v>
      </c>
      <c r="AT68" s="3" t="str">
        <f t="shared" si="8"/>
        <v/>
      </c>
      <c r="AU68" s="3">
        <f t="shared" si="9"/>
        <v>0</v>
      </c>
      <c r="AV68" s="3">
        <f t="shared" si="10"/>
        <v>0</v>
      </c>
      <c r="AW68" s="3">
        <v>128</v>
      </c>
      <c r="AX68" s="3" t="e">
        <f>IF(AND(#REF!="N",OR(AW68=$AX$1,AW68=$AX$2,AW68=$AX$3,AW68=$AX$4,AW68=$AY$1,AW68=$AY$2,AW68=$AY$3,AW68=$AY$4)),0,1)</f>
        <v>#REF!</v>
      </c>
    </row>
    <row r="69" spans="2:50" x14ac:dyDescent="0.2">
      <c r="B69" s="4">
        <v>130</v>
      </c>
      <c r="C69" s="208">
        <v>4.4194173824159217E-8</v>
      </c>
      <c r="D69" s="208">
        <v>4.4194173824159217E-8</v>
      </c>
      <c r="E69" s="208">
        <v>4.4194173824159217E-8</v>
      </c>
      <c r="F69" s="209" t="s">
        <v>714</v>
      </c>
      <c r="G69" s="208">
        <v>7.4002798733979949E-16</v>
      </c>
      <c r="H69" s="210">
        <v>1.0115199005365925E-14</v>
      </c>
      <c r="I69" s="208">
        <v>4.4703286310910412E-24</v>
      </c>
      <c r="J69" s="208">
        <v>4.4703286310910412E-24</v>
      </c>
      <c r="K69" s="208">
        <v>4.4703286310910412E-24</v>
      </c>
      <c r="L69" s="208">
        <v>0</v>
      </c>
      <c r="M69" s="208">
        <v>0</v>
      </c>
      <c r="N69" s="208">
        <v>0</v>
      </c>
      <c r="O69" s="3">
        <v>360</v>
      </c>
      <c r="P69" s="3">
        <v>360</v>
      </c>
      <c r="Q69" s="3">
        <v>360</v>
      </c>
      <c r="S69" s="4">
        <v>0</v>
      </c>
      <c r="T69" s="4">
        <v>32.5</v>
      </c>
      <c r="U69" s="210"/>
      <c r="V69" s="210">
        <v>1.0115199005365927E-14</v>
      </c>
      <c r="W69" s="3">
        <v>0</v>
      </c>
      <c r="X69" s="3">
        <v>0</v>
      </c>
      <c r="Y69" s="3">
        <f t="shared" si="11"/>
        <v>1</v>
      </c>
      <c r="Z69" s="3">
        <f t="shared" si="12"/>
        <v>1</v>
      </c>
      <c r="AA69" s="3" t="str">
        <f t="shared" ref="AA69:AA132" si="19">IF(R69="","",$AB$1*(C69/$C$3)^2)</f>
        <v/>
      </c>
      <c r="AB69" s="3" t="str">
        <f t="shared" ref="AB69:AB132" si="20">IF(R69="","",$AB$2*(C69/$C$3)^2)</f>
        <v/>
      </c>
      <c r="AC69" s="3" t="str">
        <f t="shared" ref="AC69:AC132" si="21">IF(R69="","",$AB$3*(C69/$C$3/T69)^2)</f>
        <v/>
      </c>
      <c r="AD69" s="3" t="str">
        <f t="shared" ref="AD69:AD132" si="22">IF(R69="",COMPLEX(0,0),IMDIV(IMPRODUCT(COMPLEX(AA69,AB69),COMPLEX(0,AC69)),COMPLEX(AA69,AB69+AC69)))</f>
        <v>0</v>
      </c>
      <c r="AE69" s="3">
        <f t="shared" ref="AE69:AE132" si="23">IMREAL(AD69)</f>
        <v>0</v>
      </c>
      <c r="AF69" s="3">
        <f t="shared" ref="AF69:AF132" si="24">IMAGINARY(AD69)</f>
        <v>0</v>
      </c>
      <c r="AM69" s="3" t="str">
        <f t="shared" ref="AM69:AM132" si="25">IF(R69="","",IMPRODUCT(COMPLEX(AA69,Y69*AB69),COMPLEX(0,AC69)))</f>
        <v/>
      </c>
      <c r="AN69" s="3" t="str">
        <f t="shared" ref="AN69:AN132" si="26">IF(R69="","",COMPLEX(AA69,Y69*(AB69+AC69)))</f>
        <v/>
      </c>
      <c r="AO69" s="3" t="str">
        <f t="shared" ref="AO69:AO132" si="27">IF(R69="","",IMDIV(AM69,AN69))</f>
        <v/>
      </c>
      <c r="AP69" s="3">
        <f t="shared" ref="AP69:AP132" si="28">IF(R69="",0,IMREAL(AO69))</f>
        <v>0</v>
      </c>
      <c r="AQ69" s="3">
        <f t="shared" ref="AQ69:AQ132" si="29">IF(R69="",0,IMAGINARY(AO69))</f>
        <v>0</v>
      </c>
      <c r="AR69" s="3">
        <f t="shared" si="17"/>
        <v>0</v>
      </c>
      <c r="AS69" s="3" t="e">
        <f t="shared" si="18"/>
        <v>#REF!</v>
      </c>
      <c r="AT69" s="3" t="str">
        <f t="shared" ref="AT69:AT132" si="30">IF(R69="","",IMDIV($AP$3,IMSUM(AO69,$AP$2)))</f>
        <v/>
      </c>
      <c r="AU69" s="3">
        <f t="shared" ref="AU69:AU132" si="31">IF(R69="",0,IMREAL(AT69))</f>
        <v>0</v>
      </c>
      <c r="AV69" s="3">
        <f t="shared" ref="AV69:AV132" si="32">IF(R69="",0,IMAGINARY(AT69))</f>
        <v>0</v>
      </c>
      <c r="AW69" s="3">
        <v>130</v>
      </c>
      <c r="AX69" s="3" t="e">
        <f>IF(AND(#REF!="N",OR(AW69=$AX$1,AW69=$AX$2,AW69=$AX$3,AW69=$AX$4,AW69=$AY$1,AW69=$AY$2,AW69=$AY$3,AW69=$AY$4)),0,1)</f>
        <v>#REF!</v>
      </c>
    </row>
    <row r="70" spans="2:50" x14ac:dyDescent="0.2">
      <c r="B70" s="4">
        <v>132</v>
      </c>
      <c r="C70" s="208">
        <v>0.27059805007309856</v>
      </c>
      <c r="D70" s="208">
        <v>0.27059805007309856</v>
      </c>
      <c r="E70" s="208">
        <v>0.27059805007309856</v>
      </c>
      <c r="F70" s="209" t="s">
        <v>714</v>
      </c>
      <c r="G70" s="208">
        <v>3.06867612672135E-16</v>
      </c>
      <c r="H70" s="210">
        <v>4.1944724031834711E-15</v>
      </c>
      <c r="I70" s="208">
        <v>1.1350160533868711E-17</v>
      </c>
      <c r="J70" s="208">
        <v>1.1350160533868711E-17</v>
      </c>
      <c r="K70" s="208">
        <v>1.1350160533868711E-17</v>
      </c>
      <c r="L70" s="208">
        <v>5.5813436496898525E-32</v>
      </c>
      <c r="M70" s="208">
        <v>1.1095496195473901E-31</v>
      </c>
      <c r="N70" s="208">
        <v>5.5150240648284439E-32</v>
      </c>
      <c r="O70" s="3">
        <v>360</v>
      </c>
      <c r="P70" s="3">
        <v>0</v>
      </c>
      <c r="Q70" s="3">
        <v>360</v>
      </c>
      <c r="S70" s="4">
        <v>0</v>
      </c>
      <c r="T70" s="4">
        <v>33</v>
      </c>
      <c r="U70" s="210"/>
      <c r="V70" s="210">
        <v>4.1944724031834711E-15</v>
      </c>
      <c r="W70" s="3">
        <v>0</v>
      </c>
      <c r="X70" s="3">
        <v>0</v>
      </c>
      <c r="Y70" s="3">
        <f t="shared" ref="Y70:Y133" si="33">IF($S$3="+",IF(X70&gt;W70,1-B70/$E$2*(1-$Y$1),1+B70/$E$2*(1-$Y$1)),IF(W70&gt;X70,1-B70/$E$2*(1-$Y$1),1+B70/$E$2*(1-$Y$1)))</f>
        <v>1</v>
      </c>
      <c r="Z70" s="3">
        <f t="shared" ref="Z70:Z133" si="34">2-Y70</f>
        <v>1</v>
      </c>
      <c r="AA70" s="3" t="str">
        <f t="shared" si="19"/>
        <v/>
      </c>
      <c r="AB70" s="3" t="str">
        <f t="shared" si="20"/>
        <v/>
      </c>
      <c r="AC70" s="3" t="str">
        <f t="shared" si="21"/>
        <v/>
      </c>
      <c r="AD70" s="3" t="str">
        <f t="shared" si="22"/>
        <v>0</v>
      </c>
      <c r="AE70" s="3">
        <f t="shared" si="23"/>
        <v>0</v>
      </c>
      <c r="AF70" s="3">
        <f t="shared" si="24"/>
        <v>0</v>
      </c>
      <c r="AM70" s="3" t="str">
        <f t="shared" si="25"/>
        <v/>
      </c>
      <c r="AN70" s="3" t="str">
        <f t="shared" si="26"/>
        <v/>
      </c>
      <c r="AO70" s="3" t="str">
        <f t="shared" si="27"/>
        <v/>
      </c>
      <c r="AP70" s="3">
        <f t="shared" si="28"/>
        <v>0</v>
      </c>
      <c r="AQ70" s="3">
        <f t="shared" si="29"/>
        <v>0</v>
      </c>
      <c r="AR70" s="3">
        <f t="shared" ref="AR70:AR133" si="35">IF(R70="",0,IF(X70&gt;W70,1,-1)*2*PI()*$Y$2/(B70/2))</f>
        <v>0</v>
      </c>
      <c r="AS70" s="3" t="e">
        <f t="shared" ref="AS70:AS133" si="36">IF(OR(R70="",S70=0),0,3*$AV$2^2*AP70/AR70)*AX70</f>
        <v>#REF!</v>
      </c>
      <c r="AT70" s="3" t="str">
        <f t="shared" si="30"/>
        <v/>
      </c>
      <c r="AU70" s="3">
        <f t="shared" si="31"/>
        <v>0</v>
      </c>
      <c r="AV70" s="3">
        <f t="shared" si="32"/>
        <v>0</v>
      </c>
      <c r="AW70" s="3">
        <v>132</v>
      </c>
      <c r="AX70" s="3" t="e">
        <f>IF(AND(#REF!="N",OR(AW70=$AX$1,AW70=$AX$2,AW70=$AX$3,AW70=$AX$4,AW70=$AY$1,AW70=$AY$2,AW70=$AY$3,AW70=$AY$4)),0,1)</f>
        <v>#REF!</v>
      </c>
    </row>
    <row r="71" spans="2:50" x14ac:dyDescent="0.2">
      <c r="B71" s="4">
        <v>134</v>
      </c>
      <c r="C71" s="208">
        <v>4.4194173824159217E-8</v>
      </c>
      <c r="D71" s="208">
        <v>4.4194173824159217E-8</v>
      </c>
      <c r="E71" s="208">
        <v>4.4194173824159217E-8</v>
      </c>
      <c r="F71" s="209" t="s">
        <v>714</v>
      </c>
      <c r="G71" s="208">
        <v>5.1808127964550849E-16</v>
      </c>
      <c r="H71" s="210">
        <v>7.0814825036646474E-15</v>
      </c>
      <c r="I71" s="208">
        <v>3.1296026869969766E-24</v>
      </c>
      <c r="J71" s="208">
        <v>3.1296026869969766E-24</v>
      </c>
      <c r="K71" s="208">
        <v>3.1296026869969766E-24</v>
      </c>
      <c r="L71" s="208">
        <v>0</v>
      </c>
      <c r="M71" s="208">
        <v>0</v>
      </c>
      <c r="N71" s="208">
        <v>0</v>
      </c>
      <c r="O71" s="3">
        <v>360</v>
      </c>
      <c r="P71" s="3">
        <v>360</v>
      </c>
      <c r="Q71" s="3">
        <v>360</v>
      </c>
      <c r="S71" s="4">
        <v>0</v>
      </c>
      <c r="T71" s="4">
        <v>33.5</v>
      </c>
      <c r="U71" s="210"/>
      <c r="V71" s="210">
        <v>7.0814825036646482E-15</v>
      </c>
      <c r="W71" s="3">
        <v>0</v>
      </c>
      <c r="X71" s="3">
        <v>0</v>
      </c>
      <c r="Y71" s="3">
        <f t="shared" si="33"/>
        <v>1</v>
      </c>
      <c r="Z71" s="3">
        <f t="shared" si="34"/>
        <v>1</v>
      </c>
      <c r="AA71" s="3" t="str">
        <f t="shared" si="19"/>
        <v/>
      </c>
      <c r="AB71" s="3" t="str">
        <f t="shared" si="20"/>
        <v/>
      </c>
      <c r="AC71" s="3" t="str">
        <f t="shared" si="21"/>
        <v/>
      </c>
      <c r="AD71" s="3" t="str">
        <f t="shared" si="22"/>
        <v>0</v>
      </c>
      <c r="AE71" s="3">
        <f t="shared" si="23"/>
        <v>0</v>
      </c>
      <c r="AF71" s="3">
        <f t="shared" si="24"/>
        <v>0</v>
      </c>
      <c r="AM71" s="3" t="str">
        <f t="shared" si="25"/>
        <v/>
      </c>
      <c r="AN71" s="3" t="str">
        <f t="shared" si="26"/>
        <v/>
      </c>
      <c r="AO71" s="3" t="str">
        <f t="shared" si="27"/>
        <v/>
      </c>
      <c r="AP71" s="3">
        <f t="shared" si="28"/>
        <v>0</v>
      </c>
      <c r="AQ71" s="3">
        <f t="shared" si="29"/>
        <v>0</v>
      </c>
      <c r="AR71" s="3">
        <f t="shared" si="35"/>
        <v>0</v>
      </c>
      <c r="AS71" s="3" t="e">
        <f t="shared" si="36"/>
        <v>#REF!</v>
      </c>
      <c r="AT71" s="3" t="str">
        <f t="shared" si="30"/>
        <v/>
      </c>
      <c r="AU71" s="3">
        <f t="shared" si="31"/>
        <v>0</v>
      </c>
      <c r="AV71" s="3">
        <f t="shared" si="32"/>
        <v>0</v>
      </c>
      <c r="AW71" s="3">
        <v>134</v>
      </c>
      <c r="AX71" s="3" t="e">
        <f>IF(AND(#REF!="N",OR(AW71=$AX$1,AW71=$AX$2,AW71=$AX$3,AW71=$AX$4,AW71=$AY$1,AW71=$AY$2,AW71=$AY$3,AW71=$AY$4)),0,1)</f>
        <v>#REF!</v>
      </c>
    </row>
    <row r="72" spans="2:50" x14ac:dyDescent="0.2">
      <c r="B72" s="4">
        <v>136</v>
      </c>
      <c r="C72" s="208">
        <v>4.4194173824159217E-8</v>
      </c>
      <c r="D72" s="208">
        <v>4.4194173824159217E-8</v>
      </c>
      <c r="E72" s="208">
        <v>4.4194173824159217E-8</v>
      </c>
      <c r="F72" s="209" t="s">
        <v>714</v>
      </c>
      <c r="G72" s="208">
        <v>3.0116885483054107E-16</v>
      </c>
      <c r="H72" s="210">
        <v>4.1165779577877949E-15</v>
      </c>
      <c r="I72" s="208">
        <v>1.8192876182717618E-24</v>
      </c>
      <c r="J72" s="208">
        <v>1.8192876182717618E-24</v>
      </c>
      <c r="K72" s="208">
        <v>1.8192876182717618E-24</v>
      </c>
      <c r="L72" s="208">
        <v>0</v>
      </c>
      <c r="M72" s="208">
        <v>0</v>
      </c>
      <c r="N72" s="208">
        <v>0</v>
      </c>
      <c r="O72" s="3">
        <v>360</v>
      </c>
      <c r="P72" s="3">
        <v>360</v>
      </c>
      <c r="Q72" s="3">
        <v>360</v>
      </c>
      <c r="S72" s="4">
        <v>0</v>
      </c>
      <c r="T72" s="4">
        <v>34</v>
      </c>
      <c r="U72" s="210"/>
      <c r="V72" s="210">
        <v>4.1165779577877949E-15</v>
      </c>
      <c r="W72" s="3">
        <v>0</v>
      </c>
      <c r="X72" s="3">
        <v>0</v>
      </c>
      <c r="Y72" s="3">
        <f t="shared" si="33"/>
        <v>1</v>
      </c>
      <c r="Z72" s="3">
        <f t="shared" si="34"/>
        <v>1</v>
      </c>
      <c r="AA72" s="3" t="str">
        <f t="shared" si="19"/>
        <v/>
      </c>
      <c r="AB72" s="3" t="str">
        <f t="shared" si="20"/>
        <v/>
      </c>
      <c r="AC72" s="3" t="str">
        <f t="shared" si="21"/>
        <v/>
      </c>
      <c r="AD72" s="3" t="str">
        <f t="shared" si="22"/>
        <v>0</v>
      </c>
      <c r="AE72" s="3">
        <f t="shared" si="23"/>
        <v>0</v>
      </c>
      <c r="AF72" s="3">
        <f t="shared" si="24"/>
        <v>0</v>
      </c>
      <c r="AM72" s="3" t="str">
        <f t="shared" si="25"/>
        <v/>
      </c>
      <c r="AN72" s="3" t="str">
        <f t="shared" si="26"/>
        <v/>
      </c>
      <c r="AO72" s="3" t="str">
        <f t="shared" si="27"/>
        <v/>
      </c>
      <c r="AP72" s="3">
        <f t="shared" si="28"/>
        <v>0</v>
      </c>
      <c r="AQ72" s="3">
        <f t="shared" si="29"/>
        <v>0</v>
      </c>
      <c r="AR72" s="3">
        <f t="shared" si="35"/>
        <v>0</v>
      </c>
      <c r="AS72" s="3" t="e">
        <f t="shared" si="36"/>
        <v>#REF!</v>
      </c>
      <c r="AT72" s="3" t="str">
        <f t="shared" si="30"/>
        <v/>
      </c>
      <c r="AU72" s="3">
        <f t="shared" si="31"/>
        <v>0</v>
      </c>
      <c r="AV72" s="3">
        <f t="shared" si="32"/>
        <v>0</v>
      </c>
      <c r="AW72" s="3">
        <v>136</v>
      </c>
      <c r="AX72" s="3" t="e">
        <f>IF(AND(#REF!="N",OR(AW72=$AX$1,AW72=$AX$2,AW72=$AX$3,AW72=$AX$4,AW72=$AY$1,AW72=$AY$2,AW72=$AY$3,AW72=$AY$4)),0,1)</f>
        <v>#REF!</v>
      </c>
    </row>
    <row r="73" spans="2:50" x14ac:dyDescent="0.2">
      <c r="B73" s="4">
        <v>138</v>
      </c>
      <c r="C73" s="208">
        <v>4.4194173824159217E-8</v>
      </c>
      <c r="D73" s="208">
        <v>4.4194173824159217E-8</v>
      </c>
      <c r="E73" s="208">
        <v>4.4194173824159217E-8</v>
      </c>
      <c r="F73" s="209" t="s">
        <v>714</v>
      </c>
      <c r="G73" s="208">
        <v>1.81440761333732E-16</v>
      </c>
      <c r="H73" s="210">
        <v>2.480054051973417E-15</v>
      </c>
      <c r="I73" s="208">
        <v>1.096039398662236E-24</v>
      </c>
      <c r="J73" s="208">
        <v>1.096039398662236E-24</v>
      </c>
      <c r="K73" s="208">
        <v>1.096039398662236E-24</v>
      </c>
      <c r="L73" s="208">
        <v>0</v>
      </c>
      <c r="M73" s="208">
        <v>0</v>
      </c>
      <c r="N73" s="208">
        <v>0</v>
      </c>
      <c r="O73" s="3">
        <v>360</v>
      </c>
      <c r="P73" s="3">
        <v>360</v>
      </c>
      <c r="Q73" s="3">
        <v>360</v>
      </c>
      <c r="S73" s="4">
        <v>0</v>
      </c>
      <c r="T73" s="4">
        <v>34.5</v>
      </c>
      <c r="U73" s="210"/>
      <c r="V73" s="210">
        <v>2.480054051973417E-15</v>
      </c>
      <c r="W73" s="3">
        <v>0</v>
      </c>
      <c r="X73" s="3">
        <v>0</v>
      </c>
      <c r="Y73" s="3">
        <f t="shared" si="33"/>
        <v>1</v>
      </c>
      <c r="Z73" s="3">
        <f t="shared" si="34"/>
        <v>1</v>
      </c>
      <c r="AA73" s="3" t="str">
        <f t="shared" si="19"/>
        <v/>
      </c>
      <c r="AB73" s="3" t="str">
        <f t="shared" si="20"/>
        <v/>
      </c>
      <c r="AC73" s="3" t="str">
        <f t="shared" si="21"/>
        <v/>
      </c>
      <c r="AD73" s="3" t="str">
        <f t="shared" si="22"/>
        <v>0</v>
      </c>
      <c r="AE73" s="3">
        <f t="shared" si="23"/>
        <v>0</v>
      </c>
      <c r="AF73" s="3">
        <f t="shared" si="24"/>
        <v>0</v>
      </c>
      <c r="AM73" s="3" t="str">
        <f t="shared" si="25"/>
        <v/>
      </c>
      <c r="AN73" s="3" t="str">
        <f t="shared" si="26"/>
        <v/>
      </c>
      <c r="AO73" s="3" t="str">
        <f t="shared" si="27"/>
        <v/>
      </c>
      <c r="AP73" s="3">
        <f t="shared" si="28"/>
        <v>0</v>
      </c>
      <c r="AQ73" s="3">
        <f t="shared" si="29"/>
        <v>0</v>
      </c>
      <c r="AR73" s="3">
        <f t="shared" si="35"/>
        <v>0</v>
      </c>
      <c r="AS73" s="3" t="e">
        <f t="shared" si="36"/>
        <v>#REF!</v>
      </c>
      <c r="AT73" s="3" t="str">
        <f t="shared" si="30"/>
        <v/>
      </c>
      <c r="AU73" s="3">
        <f t="shared" si="31"/>
        <v>0</v>
      </c>
      <c r="AV73" s="3">
        <f t="shared" si="32"/>
        <v>0</v>
      </c>
      <c r="AW73" s="3">
        <v>138</v>
      </c>
      <c r="AX73" s="3" t="e">
        <f>IF(AND(#REF!="N",OR(AW73=$AX$1,AW73=$AX$2,AW73=$AX$3,AW73=$AX$4,AW73=$AY$1,AW73=$AY$2,AW73=$AY$3,AW73=$AY$4)),0,1)</f>
        <v>#REF!</v>
      </c>
    </row>
    <row r="74" spans="2:50" x14ac:dyDescent="0.2">
      <c r="B74" s="4">
        <v>140</v>
      </c>
      <c r="C74" s="208">
        <v>0.1260786200725143</v>
      </c>
      <c r="D74" s="208">
        <v>0.12607862007251991</v>
      </c>
      <c r="E74" s="208">
        <v>0.12607862007252341</v>
      </c>
      <c r="F74" s="209" t="s">
        <v>714</v>
      </c>
      <c r="G74" s="208">
        <v>2.7519134540908853E-2</v>
      </c>
      <c r="H74" s="210">
        <v>0.37614999310683739</v>
      </c>
      <c r="I74" s="208">
        <v>4.7424472071195829E-4</v>
      </c>
      <c r="J74" s="208">
        <v>4.7424472071197938E-4</v>
      </c>
      <c r="K74" s="208">
        <v>4.7424472071199249E-4</v>
      </c>
      <c r="L74" s="208">
        <v>8.2141595149445292E-4</v>
      </c>
      <c r="M74" s="208">
        <v>8.2141595149444067E-4</v>
      </c>
      <c r="N74" s="208">
        <v>8.2141595149447418E-4</v>
      </c>
      <c r="O74" s="3">
        <v>120</v>
      </c>
      <c r="P74" s="3">
        <v>120</v>
      </c>
      <c r="Q74" s="3">
        <v>120</v>
      </c>
      <c r="R74" s="4" t="s">
        <v>172</v>
      </c>
      <c r="S74" s="4" t="s">
        <v>172</v>
      </c>
      <c r="T74" s="4">
        <v>35</v>
      </c>
      <c r="U74" s="210"/>
      <c r="V74" s="210">
        <v>0.37614999310683739</v>
      </c>
      <c r="W74" s="3">
        <v>0.37614999310684616</v>
      </c>
      <c r="X74" s="3">
        <v>0</v>
      </c>
      <c r="Y74" s="3">
        <f t="shared" si="33"/>
        <v>1</v>
      </c>
      <c r="Z74" s="3">
        <f t="shared" si="34"/>
        <v>1</v>
      </c>
      <c r="AA74" s="3">
        <f t="shared" si="19"/>
        <v>5.1997140362993868E-2</v>
      </c>
      <c r="AB74" s="3">
        <f t="shared" si="20"/>
        <v>2.5998570181496934E-2</v>
      </c>
      <c r="AC74" s="3">
        <f t="shared" si="21"/>
        <v>2.1223322597140355E-4</v>
      </c>
      <c r="AD74" s="3" t="str">
        <f t="shared" si="22"/>
        <v>6.90741762790119E-07+0.000211885035735875i</v>
      </c>
      <c r="AE74" s="3">
        <f t="shared" si="23"/>
        <v>6.9074176279011899E-7</v>
      </c>
      <c r="AF74" s="3">
        <f t="shared" si="24"/>
        <v>2.1188503573587499E-4</v>
      </c>
      <c r="AM74" s="3" t="str">
        <f t="shared" si="25"/>
        <v>-5.51776042026304E-06+0.0000110355208405261i</v>
      </c>
      <c r="AN74" s="3" t="str">
        <f t="shared" si="26"/>
        <v>0.0519971403629939+0.0262108034074683i</v>
      </c>
      <c r="AO74" s="3" t="str">
        <f t="shared" si="27"/>
        <v>6.90741762790119E-07+0.000211885035735875i</v>
      </c>
      <c r="AP74" s="3">
        <f t="shared" si="28"/>
        <v>6.9074176279011899E-7</v>
      </c>
      <c r="AQ74" s="3">
        <f t="shared" si="29"/>
        <v>2.1188503573587499E-4</v>
      </c>
      <c r="AR74" s="3">
        <f t="shared" si="35"/>
        <v>-4.4879895051282759</v>
      </c>
      <c r="AS74" s="3" t="e">
        <f t="shared" si="36"/>
        <v>#REF!</v>
      </c>
      <c r="AT74" s="3" t="e">
        <f t="shared" si="30"/>
        <v>#REF!</v>
      </c>
      <c r="AU74" s="3" t="e">
        <f t="shared" si="31"/>
        <v>#REF!</v>
      </c>
      <c r="AV74" s="3" t="e">
        <f t="shared" si="32"/>
        <v>#REF!</v>
      </c>
      <c r="AW74" s="3">
        <v>140</v>
      </c>
      <c r="AX74" s="3" t="e">
        <f>IF(AND(#REF!="N",OR(AW74=$AX$1,AW74=$AX$2,AW74=$AX$3,AW74=$AX$4,AW74=$AY$1,AW74=$AY$2,AW74=$AY$3,AW74=$AY$4)),0,1)</f>
        <v>#REF!</v>
      </c>
    </row>
    <row r="75" spans="2:50" x14ac:dyDescent="0.2">
      <c r="B75" s="4">
        <v>142</v>
      </c>
      <c r="C75" s="208">
        <v>4.4194173824159217E-8</v>
      </c>
      <c r="D75" s="208">
        <v>4.4194173824159217E-8</v>
      </c>
      <c r="E75" s="208">
        <v>4.4194173824159217E-8</v>
      </c>
      <c r="F75" s="209" t="s">
        <v>714</v>
      </c>
      <c r="G75" s="208">
        <v>4.7854322366095821E-16</v>
      </c>
      <c r="H75" s="210">
        <v>6.5410498289401631E-15</v>
      </c>
      <c r="I75" s="208">
        <v>2.8907629313266845E-24</v>
      </c>
      <c r="J75" s="208">
        <v>2.8907629313266845E-24</v>
      </c>
      <c r="K75" s="208">
        <v>2.8907629313266845E-24</v>
      </c>
      <c r="L75" s="208">
        <v>0</v>
      </c>
      <c r="M75" s="208">
        <v>0</v>
      </c>
      <c r="N75" s="208">
        <v>0</v>
      </c>
      <c r="O75" s="3">
        <v>360</v>
      </c>
      <c r="P75" s="3">
        <v>360</v>
      </c>
      <c r="Q75" s="3">
        <v>360</v>
      </c>
      <c r="S75" s="4">
        <v>0</v>
      </c>
      <c r="T75" s="4">
        <v>35.5</v>
      </c>
      <c r="U75" s="210"/>
      <c r="V75" s="210">
        <v>6.5410498289401631E-15</v>
      </c>
      <c r="W75" s="3">
        <v>0</v>
      </c>
      <c r="X75" s="3">
        <v>0</v>
      </c>
      <c r="Y75" s="3">
        <f t="shared" si="33"/>
        <v>1</v>
      </c>
      <c r="Z75" s="3">
        <f t="shared" si="34"/>
        <v>1</v>
      </c>
      <c r="AA75" s="3" t="str">
        <f t="shared" si="19"/>
        <v/>
      </c>
      <c r="AB75" s="3" t="str">
        <f t="shared" si="20"/>
        <v/>
      </c>
      <c r="AC75" s="3" t="str">
        <f t="shared" si="21"/>
        <v/>
      </c>
      <c r="AD75" s="3" t="str">
        <f t="shared" si="22"/>
        <v>0</v>
      </c>
      <c r="AE75" s="3">
        <f t="shared" si="23"/>
        <v>0</v>
      </c>
      <c r="AF75" s="3">
        <f t="shared" si="24"/>
        <v>0</v>
      </c>
      <c r="AM75" s="3" t="str">
        <f t="shared" si="25"/>
        <v/>
      </c>
      <c r="AN75" s="3" t="str">
        <f t="shared" si="26"/>
        <v/>
      </c>
      <c r="AO75" s="3" t="str">
        <f t="shared" si="27"/>
        <v/>
      </c>
      <c r="AP75" s="3">
        <f t="shared" si="28"/>
        <v>0</v>
      </c>
      <c r="AQ75" s="3">
        <f t="shared" si="29"/>
        <v>0</v>
      </c>
      <c r="AR75" s="3">
        <f t="shared" si="35"/>
        <v>0</v>
      </c>
      <c r="AS75" s="3" t="e">
        <f t="shared" si="36"/>
        <v>#REF!</v>
      </c>
      <c r="AT75" s="3" t="str">
        <f t="shared" si="30"/>
        <v/>
      </c>
      <c r="AU75" s="3">
        <f t="shared" si="31"/>
        <v>0</v>
      </c>
      <c r="AV75" s="3">
        <f t="shared" si="32"/>
        <v>0</v>
      </c>
      <c r="AW75" s="3">
        <v>142</v>
      </c>
      <c r="AX75" s="3" t="e">
        <f>IF(AND(#REF!="N",OR(AW75=$AX$1,AW75=$AX$2,AW75=$AX$3,AW75=$AX$4,AW75=$AY$1,AW75=$AY$2,AW75=$AY$3,AW75=$AY$4)),0,1)</f>
        <v>#REF!</v>
      </c>
    </row>
    <row r="76" spans="2:50" x14ac:dyDescent="0.2">
      <c r="B76" s="4">
        <v>144</v>
      </c>
      <c r="C76" s="208">
        <v>4.4194173824159217E-8</v>
      </c>
      <c r="D76" s="208">
        <v>4.4194173824159217E-8</v>
      </c>
      <c r="E76" s="208">
        <v>4.4194173824159217E-8</v>
      </c>
      <c r="F76" s="209" t="s">
        <v>714</v>
      </c>
      <c r="G76" s="208">
        <v>1.0994510009997338E-15</v>
      </c>
      <c r="H76" s="210">
        <v>1.5028033887932622E-14</v>
      </c>
      <c r="I76" s="208">
        <v>6.6415154187864954E-24</v>
      </c>
      <c r="J76" s="208">
        <v>6.6415154187864954E-24</v>
      </c>
      <c r="K76" s="208">
        <v>6.6415154187864954E-24</v>
      </c>
      <c r="L76" s="208">
        <v>0</v>
      </c>
      <c r="M76" s="208">
        <v>0</v>
      </c>
      <c r="N76" s="208">
        <v>0</v>
      </c>
      <c r="O76" s="3">
        <v>360</v>
      </c>
      <c r="P76" s="3">
        <v>360</v>
      </c>
      <c r="Q76" s="3">
        <v>360</v>
      </c>
      <c r="S76" s="4">
        <v>0</v>
      </c>
      <c r="T76" s="4">
        <v>36</v>
      </c>
      <c r="U76" s="210"/>
      <c r="V76" s="210">
        <v>1.5028033887932622E-14</v>
      </c>
      <c r="W76" s="3">
        <v>0</v>
      </c>
      <c r="X76" s="3">
        <v>0</v>
      </c>
      <c r="Y76" s="3">
        <f t="shared" si="33"/>
        <v>1</v>
      </c>
      <c r="Z76" s="3">
        <f t="shared" si="34"/>
        <v>1</v>
      </c>
      <c r="AA76" s="3" t="str">
        <f t="shared" si="19"/>
        <v/>
      </c>
      <c r="AB76" s="3" t="str">
        <f t="shared" si="20"/>
        <v/>
      </c>
      <c r="AC76" s="3" t="str">
        <f t="shared" si="21"/>
        <v/>
      </c>
      <c r="AD76" s="3" t="str">
        <f t="shared" si="22"/>
        <v>0</v>
      </c>
      <c r="AE76" s="3">
        <f t="shared" si="23"/>
        <v>0</v>
      </c>
      <c r="AF76" s="3">
        <f t="shared" si="24"/>
        <v>0</v>
      </c>
      <c r="AM76" s="3" t="str">
        <f t="shared" si="25"/>
        <v/>
      </c>
      <c r="AN76" s="3" t="str">
        <f t="shared" si="26"/>
        <v/>
      </c>
      <c r="AO76" s="3" t="str">
        <f t="shared" si="27"/>
        <v/>
      </c>
      <c r="AP76" s="3">
        <f t="shared" si="28"/>
        <v>0</v>
      </c>
      <c r="AQ76" s="3">
        <f t="shared" si="29"/>
        <v>0</v>
      </c>
      <c r="AR76" s="3">
        <f t="shared" si="35"/>
        <v>0</v>
      </c>
      <c r="AS76" s="3" t="e">
        <f t="shared" si="36"/>
        <v>#REF!</v>
      </c>
      <c r="AT76" s="3" t="str">
        <f t="shared" si="30"/>
        <v/>
      </c>
      <c r="AU76" s="3">
        <f t="shared" si="31"/>
        <v>0</v>
      </c>
      <c r="AV76" s="3">
        <f t="shared" si="32"/>
        <v>0</v>
      </c>
      <c r="AW76" s="3">
        <v>144</v>
      </c>
      <c r="AX76" s="3" t="e">
        <f>IF(AND(#REF!="N",OR(AW76=$AX$1,AW76=$AX$2,AW76=$AX$3,AW76=$AX$4,AW76=$AY$1,AW76=$AY$2,AW76=$AY$3,AW76=$AY$4)),0,1)</f>
        <v>#REF!</v>
      </c>
    </row>
    <row r="77" spans="2:50" x14ac:dyDescent="0.2">
      <c r="B77" s="4">
        <v>146</v>
      </c>
      <c r="C77" s="208">
        <v>4.4194173824159217E-8</v>
      </c>
      <c r="D77" s="208">
        <v>4.4194173824159217E-8</v>
      </c>
      <c r="E77" s="208">
        <v>4.4194173824159217E-8</v>
      </c>
      <c r="F77" s="209" t="s">
        <v>714</v>
      </c>
      <c r="G77" s="208">
        <v>3.2184638218469574E-17</v>
      </c>
      <c r="H77" s="210">
        <v>4.3992122739276968E-16</v>
      </c>
      <c r="I77" s="208">
        <v>1.9441955192333536E-25</v>
      </c>
      <c r="J77" s="208">
        <v>1.9441955192333536E-25</v>
      </c>
      <c r="K77" s="208">
        <v>1.9441955192333536E-25</v>
      </c>
      <c r="L77" s="208">
        <v>0</v>
      </c>
      <c r="M77" s="208">
        <v>0</v>
      </c>
      <c r="N77" s="208">
        <v>0</v>
      </c>
      <c r="O77" s="3">
        <v>360</v>
      </c>
      <c r="P77" s="3">
        <v>360</v>
      </c>
      <c r="Q77" s="3">
        <v>360</v>
      </c>
      <c r="S77" s="4">
        <v>0</v>
      </c>
      <c r="T77" s="4">
        <v>36.5</v>
      </c>
      <c r="U77" s="210"/>
      <c r="V77" s="210">
        <v>4.3992122739276968E-16</v>
      </c>
      <c r="W77" s="3">
        <v>0</v>
      </c>
      <c r="X77" s="3">
        <v>0</v>
      </c>
      <c r="Y77" s="3">
        <f t="shared" si="33"/>
        <v>1</v>
      </c>
      <c r="Z77" s="3">
        <f t="shared" si="34"/>
        <v>1</v>
      </c>
      <c r="AA77" s="3" t="str">
        <f t="shared" si="19"/>
        <v/>
      </c>
      <c r="AB77" s="3" t="str">
        <f t="shared" si="20"/>
        <v/>
      </c>
      <c r="AC77" s="3" t="str">
        <f t="shared" si="21"/>
        <v/>
      </c>
      <c r="AD77" s="3" t="str">
        <f t="shared" si="22"/>
        <v>0</v>
      </c>
      <c r="AE77" s="3">
        <f t="shared" si="23"/>
        <v>0</v>
      </c>
      <c r="AF77" s="3">
        <f t="shared" si="24"/>
        <v>0</v>
      </c>
      <c r="AM77" s="3" t="str">
        <f t="shared" si="25"/>
        <v/>
      </c>
      <c r="AN77" s="3" t="str">
        <f t="shared" si="26"/>
        <v/>
      </c>
      <c r="AO77" s="3" t="str">
        <f t="shared" si="27"/>
        <v/>
      </c>
      <c r="AP77" s="3">
        <f t="shared" si="28"/>
        <v>0</v>
      </c>
      <c r="AQ77" s="3">
        <f t="shared" si="29"/>
        <v>0</v>
      </c>
      <c r="AR77" s="3">
        <f t="shared" si="35"/>
        <v>0</v>
      </c>
      <c r="AS77" s="3" t="e">
        <f t="shared" si="36"/>
        <v>#REF!</v>
      </c>
      <c r="AT77" s="3" t="str">
        <f t="shared" si="30"/>
        <v/>
      </c>
      <c r="AU77" s="3">
        <f t="shared" si="31"/>
        <v>0</v>
      </c>
      <c r="AV77" s="3">
        <f t="shared" si="32"/>
        <v>0</v>
      </c>
      <c r="AW77" s="3">
        <v>146</v>
      </c>
      <c r="AX77" s="3" t="e">
        <f>IF(AND(#REF!="N",OR(AW77=$AX$1,AW77=$AX$2,AW77=$AX$3,AW77=$AX$4,AW77=$AY$1,AW77=$AY$2,AW77=$AY$3,AW77=$AY$4)),0,1)</f>
        <v>#REF!</v>
      </c>
    </row>
    <row r="78" spans="2:50" x14ac:dyDescent="0.2">
      <c r="B78" s="4">
        <v>148</v>
      </c>
      <c r="C78" s="208">
        <v>0.12607862007251838</v>
      </c>
      <c r="D78" s="208">
        <v>0.12607862007251441</v>
      </c>
      <c r="E78" s="208">
        <v>0.12607862007252182</v>
      </c>
      <c r="F78" s="209" t="s">
        <v>714</v>
      </c>
      <c r="G78" s="208">
        <v>2.6031613754914244E-2</v>
      </c>
      <c r="H78" s="210">
        <v>0.35581756104701467</v>
      </c>
      <c r="I78" s="208">
        <v>4.486098709437668E-4</v>
      </c>
      <c r="J78" s="208">
        <v>4.4860987094375271E-4</v>
      </c>
      <c r="K78" s="208">
        <v>4.4860987094377905E-4</v>
      </c>
      <c r="L78" s="208">
        <v>7.7701508925153817E-4</v>
      </c>
      <c r="M78" s="208">
        <v>7.7701508925150456E-4</v>
      </c>
      <c r="N78" s="208">
        <v>7.7701508925151724E-4</v>
      </c>
      <c r="O78" s="3">
        <v>240</v>
      </c>
      <c r="P78" s="3">
        <v>240</v>
      </c>
      <c r="Q78" s="3">
        <v>240</v>
      </c>
      <c r="R78" s="4" t="s">
        <v>168</v>
      </c>
      <c r="S78" s="4" t="s">
        <v>168</v>
      </c>
      <c r="T78" s="4">
        <v>37</v>
      </c>
      <c r="U78" s="210"/>
      <c r="V78" s="210">
        <v>0.35581756104701467</v>
      </c>
      <c r="W78" s="3">
        <v>0</v>
      </c>
      <c r="X78" s="3">
        <v>0.3558175610470129</v>
      </c>
      <c r="Y78" s="3">
        <f t="shared" si="33"/>
        <v>1</v>
      </c>
      <c r="Z78" s="3">
        <f t="shared" si="34"/>
        <v>1</v>
      </c>
      <c r="AA78" s="3">
        <f t="shared" si="19"/>
        <v>5.1997140362997227E-2</v>
      </c>
      <c r="AB78" s="3">
        <f t="shared" si="20"/>
        <v>2.5998570181498613E-2</v>
      </c>
      <c r="AC78" s="3">
        <f t="shared" si="21"/>
        <v>1.899092051241681E-4</v>
      </c>
      <c r="AD78" s="3" t="str">
        <f t="shared" si="22"/>
        <v>5.53262008579369E-07+0.000189630553440519i</v>
      </c>
      <c r="AE78" s="3">
        <f t="shared" si="23"/>
        <v>5.5326200857936905E-7</v>
      </c>
      <c r="AF78" s="3">
        <f t="shared" si="24"/>
        <v>1.8963055344051901E-4</v>
      </c>
      <c r="AM78" s="3" t="str">
        <f t="shared" si="25"/>
        <v>-4.93736779753329E-06+9.87473559506659E-06i</v>
      </c>
      <c r="AN78" s="3" t="str">
        <f t="shared" si="26"/>
        <v>0.0519971403629972+0.0261884793866228i</v>
      </c>
      <c r="AO78" s="3" t="str">
        <f t="shared" si="27"/>
        <v>5.53262008579369E-07+0.000189630553440519i</v>
      </c>
      <c r="AP78" s="3">
        <f t="shared" si="28"/>
        <v>5.5326200857936905E-7</v>
      </c>
      <c r="AQ78" s="3">
        <f t="shared" si="29"/>
        <v>1.8963055344051901E-4</v>
      </c>
      <c r="AR78" s="3">
        <f t="shared" si="35"/>
        <v>4.2453954778240446</v>
      </c>
      <c r="AS78" s="3" t="e">
        <f t="shared" si="36"/>
        <v>#REF!</v>
      </c>
      <c r="AT78" s="3" t="e">
        <f t="shared" si="30"/>
        <v>#REF!</v>
      </c>
      <c r="AU78" s="3" t="e">
        <f t="shared" si="31"/>
        <v>#REF!</v>
      </c>
      <c r="AV78" s="3" t="e">
        <f t="shared" si="32"/>
        <v>#REF!</v>
      </c>
      <c r="AW78" s="3">
        <v>148</v>
      </c>
      <c r="AX78" s="3" t="e">
        <f>IF(AND(#REF!="N",OR(AW78=$AX$1,AW78=$AX$2,AW78=$AX$3,AW78=$AX$4,AW78=$AY$1,AW78=$AY$2,AW78=$AY$3,AW78=$AY$4)),0,1)</f>
        <v>#REF!</v>
      </c>
    </row>
    <row r="79" spans="2:50" x14ac:dyDescent="0.2">
      <c r="B79" s="4">
        <v>150</v>
      </c>
      <c r="C79" s="208">
        <v>4.4194173824159217E-8</v>
      </c>
      <c r="D79" s="208">
        <v>4.4194173824159217E-8</v>
      </c>
      <c r="E79" s="208">
        <v>4.4194173824159217E-8</v>
      </c>
      <c r="F79" s="209" t="s">
        <v>714</v>
      </c>
      <c r="G79" s="208">
        <v>2.0308430632752235E-16</v>
      </c>
      <c r="H79" s="210">
        <v>2.7758925452995555E-15</v>
      </c>
      <c r="I79" s="208">
        <v>1.2267827766415633E-24</v>
      </c>
      <c r="J79" s="208">
        <v>1.2267827766415633E-24</v>
      </c>
      <c r="K79" s="208">
        <v>1.2267827766415633E-24</v>
      </c>
      <c r="L79" s="208">
        <v>0</v>
      </c>
      <c r="M79" s="208">
        <v>0</v>
      </c>
      <c r="N79" s="208">
        <v>0</v>
      </c>
      <c r="O79" s="3">
        <v>360</v>
      </c>
      <c r="P79" s="3">
        <v>360</v>
      </c>
      <c r="Q79" s="3">
        <v>360</v>
      </c>
      <c r="S79" s="4">
        <v>0</v>
      </c>
      <c r="T79" s="4">
        <v>37.5</v>
      </c>
      <c r="U79" s="210"/>
      <c r="V79" s="210">
        <v>2.7758925452995555E-15</v>
      </c>
      <c r="W79" s="3">
        <v>0</v>
      </c>
      <c r="X79" s="3">
        <v>0</v>
      </c>
      <c r="Y79" s="3">
        <f t="shared" si="33"/>
        <v>1</v>
      </c>
      <c r="Z79" s="3">
        <f t="shared" si="34"/>
        <v>1</v>
      </c>
      <c r="AA79" s="3" t="str">
        <f t="shared" si="19"/>
        <v/>
      </c>
      <c r="AB79" s="3" t="str">
        <f t="shared" si="20"/>
        <v/>
      </c>
      <c r="AC79" s="3" t="str">
        <f t="shared" si="21"/>
        <v/>
      </c>
      <c r="AD79" s="3" t="str">
        <f t="shared" si="22"/>
        <v>0</v>
      </c>
      <c r="AE79" s="3">
        <f t="shared" si="23"/>
        <v>0</v>
      </c>
      <c r="AF79" s="3">
        <f t="shared" si="24"/>
        <v>0</v>
      </c>
      <c r="AM79" s="3" t="str">
        <f t="shared" si="25"/>
        <v/>
      </c>
      <c r="AN79" s="3" t="str">
        <f t="shared" si="26"/>
        <v/>
      </c>
      <c r="AO79" s="3" t="str">
        <f t="shared" si="27"/>
        <v/>
      </c>
      <c r="AP79" s="3">
        <f t="shared" si="28"/>
        <v>0</v>
      </c>
      <c r="AQ79" s="3">
        <f t="shared" si="29"/>
        <v>0</v>
      </c>
      <c r="AR79" s="3">
        <f t="shared" si="35"/>
        <v>0</v>
      </c>
      <c r="AS79" s="3" t="e">
        <f t="shared" si="36"/>
        <v>#REF!</v>
      </c>
      <c r="AT79" s="3" t="str">
        <f t="shared" si="30"/>
        <v/>
      </c>
      <c r="AU79" s="3">
        <f t="shared" si="31"/>
        <v>0</v>
      </c>
      <c r="AV79" s="3">
        <f t="shared" si="32"/>
        <v>0</v>
      </c>
      <c r="AW79" s="3">
        <v>150</v>
      </c>
      <c r="AX79" s="3" t="e">
        <f>IF(AND(#REF!="N",OR(AW79=$AX$1,AW79=$AX$2,AW79=$AX$3,AW79=$AX$4,AW79=$AY$1,AW79=$AY$2,AW79=$AY$3,AW79=$AY$4)),0,1)</f>
        <v>#REF!</v>
      </c>
    </row>
    <row r="80" spans="2:50" x14ac:dyDescent="0.2">
      <c r="B80" s="4">
        <v>152</v>
      </c>
      <c r="C80" s="208">
        <v>4.4194173824159217E-8</v>
      </c>
      <c r="D80" s="208">
        <v>4.4194173824159217E-8</v>
      </c>
      <c r="E80" s="208">
        <v>4.4194173824159217E-8</v>
      </c>
      <c r="F80" s="209" t="s">
        <v>714</v>
      </c>
      <c r="G80" s="208">
        <v>4.7155148678473091E-16</v>
      </c>
      <c r="H80" s="210">
        <v>6.4454820786576045E-15</v>
      </c>
      <c r="I80" s="208">
        <v>2.8485275536469723E-24</v>
      </c>
      <c r="J80" s="208">
        <v>2.8485275536469723E-24</v>
      </c>
      <c r="K80" s="208">
        <v>2.8485275536469723E-24</v>
      </c>
      <c r="L80" s="208">
        <v>0</v>
      </c>
      <c r="M80" s="208">
        <v>0</v>
      </c>
      <c r="N80" s="208">
        <v>0</v>
      </c>
      <c r="O80" s="3">
        <v>360</v>
      </c>
      <c r="P80" s="3">
        <v>360</v>
      </c>
      <c r="Q80" s="3">
        <v>360</v>
      </c>
      <c r="S80" s="4">
        <v>0</v>
      </c>
      <c r="T80" s="4">
        <v>38</v>
      </c>
      <c r="U80" s="210"/>
      <c r="V80" s="210">
        <v>6.4454820786576037E-15</v>
      </c>
      <c r="W80" s="3">
        <v>0</v>
      </c>
      <c r="X80" s="3">
        <v>0</v>
      </c>
      <c r="Y80" s="3">
        <f t="shared" si="33"/>
        <v>1</v>
      </c>
      <c r="Z80" s="3">
        <f t="shared" si="34"/>
        <v>1</v>
      </c>
      <c r="AA80" s="3" t="str">
        <f t="shared" si="19"/>
        <v/>
      </c>
      <c r="AB80" s="3" t="str">
        <f t="shared" si="20"/>
        <v/>
      </c>
      <c r="AC80" s="3" t="str">
        <f t="shared" si="21"/>
        <v/>
      </c>
      <c r="AD80" s="3" t="str">
        <f t="shared" si="22"/>
        <v>0</v>
      </c>
      <c r="AE80" s="3">
        <f t="shared" si="23"/>
        <v>0</v>
      </c>
      <c r="AF80" s="3">
        <f t="shared" si="24"/>
        <v>0</v>
      </c>
      <c r="AM80" s="3" t="str">
        <f t="shared" si="25"/>
        <v/>
      </c>
      <c r="AN80" s="3" t="str">
        <f t="shared" si="26"/>
        <v/>
      </c>
      <c r="AO80" s="3" t="str">
        <f t="shared" si="27"/>
        <v/>
      </c>
      <c r="AP80" s="3">
        <f t="shared" si="28"/>
        <v>0</v>
      </c>
      <c r="AQ80" s="3">
        <f t="shared" si="29"/>
        <v>0</v>
      </c>
      <c r="AR80" s="3">
        <f t="shared" si="35"/>
        <v>0</v>
      </c>
      <c r="AS80" s="3" t="e">
        <f t="shared" si="36"/>
        <v>#REF!</v>
      </c>
      <c r="AT80" s="3" t="str">
        <f t="shared" si="30"/>
        <v/>
      </c>
      <c r="AU80" s="3">
        <f t="shared" si="31"/>
        <v>0</v>
      </c>
      <c r="AV80" s="3">
        <f t="shared" si="32"/>
        <v>0</v>
      </c>
      <c r="AW80" s="3">
        <v>152</v>
      </c>
      <c r="AX80" s="3" t="e">
        <f>IF(AND(#REF!="N",OR(AW80=$AX$1,AW80=$AX$2,AW80=$AX$3,AW80=$AX$4,AW80=$AY$1,AW80=$AY$2,AW80=$AY$3,AW80=$AY$4)),0,1)</f>
        <v>#REF!</v>
      </c>
    </row>
    <row r="81" spans="2:50" x14ac:dyDescent="0.2">
      <c r="B81" s="4">
        <v>154</v>
      </c>
      <c r="C81" s="208">
        <v>4.4194173824159217E-8</v>
      </c>
      <c r="D81" s="208">
        <v>4.4194173824159217E-8</v>
      </c>
      <c r="E81" s="208">
        <v>4.4194173824159217E-8</v>
      </c>
      <c r="F81" s="209" t="s">
        <v>714</v>
      </c>
      <c r="G81" s="208">
        <v>4.6064630029321228E-16</v>
      </c>
      <c r="H81" s="210">
        <v>6.2964226735547423E-15</v>
      </c>
      <c r="I81" s="208">
        <v>2.7826519810545557E-24</v>
      </c>
      <c r="J81" s="208">
        <v>2.7826519810545557E-24</v>
      </c>
      <c r="K81" s="208">
        <v>2.7826519810545557E-24</v>
      </c>
      <c r="L81" s="208">
        <v>0</v>
      </c>
      <c r="M81" s="208">
        <v>0</v>
      </c>
      <c r="N81" s="208">
        <v>0</v>
      </c>
      <c r="O81" s="3">
        <v>360</v>
      </c>
      <c r="P81" s="3">
        <v>360</v>
      </c>
      <c r="Q81" s="3">
        <v>360</v>
      </c>
      <c r="S81" s="4">
        <v>0</v>
      </c>
      <c r="T81" s="4">
        <v>38.5</v>
      </c>
      <c r="U81" s="210"/>
      <c r="V81" s="210">
        <v>6.2964226735547415E-15</v>
      </c>
      <c r="W81" s="3">
        <v>0</v>
      </c>
      <c r="X81" s="3">
        <v>0</v>
      </c>
      <c r="Y81" s="3">
        <f t="shared" si="33"/>
        <v>1</v>
      </c>
      <c r="Z81" s="3">
        <f t="shared" si="34"/>
        <v>1</v>
      </c>
      <c r="AA81" s="3" t="str">
        <f t="shared" si="19"/>
        <v/>
      </c>
      <c r="AB81" s="3" t="str">
        <f t="shared" si="20"/>
        <v/>
      </c>
      <c r="AC81" s="3" t="str">
        <f t="shared" si="21"/>
        <v/>
      </c>
      <c r="AD81" s="3" t="str">
        <f t="shared" si="22"/>
        <v>0</v>
      </c>
      <c r="AE81" s="3">
        <f t="shared" si="23"/>
        <v>0</v>
      </c>
      <c r="AF81" s="3">
        <f t="shared" si="24"/>
        <v>0</v>
      </c>
      <c r="AM81" s="3" t="str">
        <f t="shared" si="25"/>
        <v/>
      </c>
      <c r="AN81" s="3" t="str">
        <f t="shared" si="26"/>
        <v/>
      </c>
      <c r="AO81" s="3" t="str">
        <f t="shared" si="27"/>
        <v/>
      </c>
      <c r="AP81" s="3">
        <f t="shared" si="28"/>
        <v>0</v>
      </c>
      <c r="AQ81" s="3">
        <f t="shared" si="29"/>
        <v>0</v>
      </c>
      <c r="AR81" s="3">
        <f t="shared" si="35"/>
        <v>0</v>
      </c>
      <c r="AS81" s="3" t="e">
        <f t="shared" si="36"/>
        <v>#REF!</v>
      </c>
      <c r="AT81" s="3" t="str">
        <f t="shared" si="30"/>
        <v/>
      </c>
      <c r="AU81" s="3">
        <f t="shared" si="31"/>
        <v>0</v>
      </c>
      <c r="AV81" s="3">
        <f t="shared" si="32"/>
        <v>0</v>
      </c>
      <c r="AW81" s="3">
        <v>154</v>
      </c>
      <c r="AX81" s="3" t="e">
        <f>IF(AND(#REF!="N",OR(AW81=$AX$1,AW81=$AX$2,AW81=$AX$3,AW81=$AX$4,AW81=$AY$1,AW81=$AY$2,AW81=$AY$3,AW81=$AY$4)),0,1)</f>
        <v>#REF!</v>
      </c>
    </row>
    <row r="82" spans="2:50" x14ac:dyDescent="0.2">
      <c r="B82" s="4">
        <v>156</v>
      </c>
      <c r="C82" s="208">
        <v>0.27059805007309828</v>
      </c>
      <c r="D82" s="208">
        <v>0.27059805007309767</v>
      </c>
      <c r="E82" s="208">
        <v>0.27059805007309934</v>
      </c>
      <c r="F82" s="209" t="s">
        <v>714</v>
      </c>
      <c r="G82" s="208">
        <v>3.1383625836071974E-16</v>
      </c>
      <c r="H82" s="210">
        <v>4.2897245276217774E-15</v>
      </c>
      <c r="I82" s="208">
        <v>1.1607910925251955E-17</v>
      </c>
      <c r="J82" s="208">
        <v>1.1607910925251929E-17</v>
      </c>
      <c r="K82" s="208">
        <v>1.1607910925252002E-17</v>
      </c>
      <c r="L82" s="208">
        <v>5.0844550531823027E-32</v>
      </c>
      <c r="M82" s="208">
        <v>2.3085465984700608E-31</v>
      </c>
      <c r="N82" s="208">
        <v>2.6069551635641784E-31</v>
      </c>
      <c r="O82" s="3">
        <v>0</v>
      </c>
      <c r="P82" s="3">
        <v>0</v>
      </c>
      <c r="Q82" s="3">
        <v>360</v>
      </c>
      <c r="S82" s="4">
        <v>0</v>
      </c>
      <c r="T82" s="4">
        <v>39</v>
      </c>
      <c r="U82" s="210"/>
      <c r="V82" s="210">
        <v>4.2897245276217774E-15</v>
      </c>
      <c r="W82" s="3">
        <v>0</v>
      </c>
      <c r="X82" s="3">
        <v>0</v>
      </c>
      <c r="Y82" s="3">
        <f t="shared" si="33"/>
        <v>1</v>
      </c>
      <c r="Z82" s="3">
        <f t="shared" si="34"/>
        <v>1</v>
      </c>
      <c r="AA82" s="3" t="str">
        <f t="shared" si="19"/>
        <v/>
      </c>
      <c r="AB82" s="3" t="str">
        <f t="shared" si="20"/>
        <v/>
      </c>
      <c r="AC82" s="3" t="str">
        <f t="shared" si="21"/>
        <v/>
      </c>
      <c r="AD82" s="3" t="str">
        <f t="shared" si="22"/>
        <v>0</v>
      </c>
      <c r="AE82" s="3">
        <f t="shared" si="23"/>
        <v>0</v>
      </c>
      <c r="AF82" s="3">
        <f t="shared" si="24"/>
        <v>0</v>
      </c>
      <c r="AM82" s="3" t="str">
        <f t="shared" si="25"/>
        <v/>
      </c>
      <c r="AN82" s="3" t="str">
        <f t="shared" si="26"/>
        <v/>
      </c>
      <c r="AO82" s="3" t="str">
        <f t="shared" si="27"/>
        <v/>
      </c>
      <c r="AP82" s="3">
        <f t="shared" si="28"/>
        <v>0</v>
      </c>
      <c r="AQ82" s="3">
        <f t="shared" si="29"/>
        <v>0</v>
      </c>
      <c r="AR82" s="3">
        <f t="shared" si="35"/>
        <v>0</v>
      </c>
      <c r="AS82" s="3" t="e">
        <f t="shared" si="36"/>
        <v>#REF!</v>
      </c>
      <c r="AT82" s="3" t="str">
        <f t="shared" si="30"/>
        <v/>
      </c>
      <c r="AU82" s="3">
        <f t="shared" si="31"/>
        <v>0</v>
      </c>
      <c r="AV82" s="3">
        <f t="shared" si="32"/>
        <v>0</v>
      </c>
      <c r="AW82" s="3">
        <v>156</v>
      </c>
      <c r="AX82" s="3" t="e">
        <f>IF(AND(#REF!="N",OR(AW82=$AX$1,AW82=$AX$2,AW82=$AX$3,AW82=$AX$4,AW82=$AY$1,AW82=$AY$2,AW82=$AY$3,AW82=$AY$4)),0,1)</f>
        <v>#REF!</v>
      </c>
    </row>
    <row r="83" spans="2:50" x14ac:dyDescent="0.2">
      <c r="B83" s="4">
        <v>158</v>
      </c>
      <c r="C83" s="208">
        <v>4.4194173824159217E-8</v>
      </c>
      <c r="D83" s="208">
        <v>4.4194173824159217E-8</v>
      </c>
      <c r="E83" s="208">
        <v>4.4194173824159217E-8</v>
      </c>
      <c r="F83" s="209" t="s">
        <v>714</v>
      </c>
      <c r="G83" s="208">
        <v>1.3253363407296879E-16</v>
      </c>
      <c r="H83" s="210">
        <v>1.8115586254670377E-15</v>
      </c>
      <c r="I83" s="208">
        <v>8.00603367865452E-25</v>
      </c>
      <c r="J83" s="208">
        <v>8.00603367865452E-25</v>
      </c>
      <c r="K83" s="208">
        <v>8.00603367865452E-25</v>
      </c>
      <c r="L83" s="208">
        <v>0</v>
      </c>
      <c r="M83" s="208">
        <v>0</v>
      </c>
      <c r="N83" s="208">
        <v>0</v>
      </c>
      <c r="O83" s="3">
        <v>360</v>
      </c>
      <c r="P83" s="3">
        <v>360</v>
      </c>
      <c r="Q83" s="3">
        <v>360</v>
      </c>
      <c r="S83" s="4">
        <v>0</v>
      </c>
      <c r="T83" s="4">
        <v>39.5</v>
      </c>
      <c r="U83" s="210"/>
      <c r="V83" s="210">
        <v>1.8115586254670377E-15</v>
      </c>
      <c r="W83" s="3">
        <v>0</v>
      </c>
      <c r="X83" s="3">
        <v>0</v>
      </c>
      <c r="Y83" s="3">
        <f t="shared" si="33"/>
        <v>1</v>
      </c>
      <c r="Z83" s="3">
        <f t="shared" si="34"/>
        <v>1</v>
      </c>
      <c r="AA83" s="3" t="str">
        <f t="shared" si="19"/>
        <v/>
      </c>
      <c r="AB83" s="3" t="str">
        <f t="shared" si="20"/>
        <v/>
      </c>
      <c r="AC83" s="3" t="str">
        <f t="shared" si="21"/>
        <v/>
      </c>
      <c r="AD83" s="3" t="str">
        <f t="shared" si="22"/>
        <v>0</v>
      </c>
      <c r="AE83" s="3">
        <f t="shared" si="23"/>
        <v>0</v>
      </c>
      <c r="AF83" s="3">
        <f t="shared" si="24"/>
        <v>0</v>
      </c>
      <c r="AM83" s="3" t="str">
        <f t="shared" si="25"/>
        <v/>
      </c>
      <c r="AN83" s="3" t="str">
        <f t="shared" si="26"/>
        <v/>
      </c>
      <c r="AO83" s="3" t="str">
        <f t="shared" si="27"/>
        <v/>
      </c>
      <c r="AP83" s="3">
        <f t="shared" si="28"/>
        <v>0</v>
      </c>
      <c r="AQ83" s="3">
        <f t="shared" si="29"/>
        <v>0</v>
      </c>
      <c r="AR83" s="3">
        <f t="shared" si="35"/>
        <v>0</v>
      </c>
      <c r="AS83" s="3" t="e">
        <f t="shared" si="36"/>
        <v>#REF!</v>
      </c>
      <c r="AT83" s="3" t="str">
        <f t="shared" si="30"/>
        <v/>
      </c>
      <c r="AU83" s="3">
        <f t="shared" si="31"/>
        <v>0</v>
      </c>
      <c r="AV83" s="3">
        <f t="shared" si="32"/>
        <v>0</v>
      </c>
      <c r="AW83" s="3">
        <v>158</v>
      </c>
      <c r="AX83" s="3" t="e">
        <f>IF(AND(#REF!="N",OR(AW83=$AX$1,AW83=$AX$2,AW83=$AX$3,AW83=$AX$4,AW83=$AY$1,AW83=$AY$2,AW83=$AY$3,AW83=$AY$4)),0,1)</f>
        <v>#REF!</v>
      </c>
    </row>
    <row r="84" spans="2:50" x14ac:dyDescent="0.2">
      <c r="B84" s="4">
        <v>160</v>
      </c>
      <c r="C84" s="208">
        <v>4.4194173824159217E-8</v>
      </c>
      <c r="D84" s="208">
        <v>4.4194173824159217E-8</v>
      </c>
      <c r="E84" s="208">
        <v>4.4194173824159217E-8</v>
      </c>
      <c r="F84" s="209" t="s">
        <v>714</v>
      </c>
      <c r="G84" s="208">
        <v>2.9878149571393694E-16</v>
      </c>
      <c r="H84" s="210">
        <v>4.0839459317362769E-15</v>
      </c>
      <c r="I84" s="208">
        <v>1.804866163956209E-24</v>
      </c>
      <c r="J84" s="208">
        <v>1.804866163956209E-24</v>
      </c>
      <c r="K84" s="208">
        <v>1.804866163956209E-24</v>
      </c>
      <c r="L84" s="208">
        <v>0</v>
      </c>
      <c r="M84" s="208">
        <v>0</v>
      </c>
      <c r="N84" s="208">
        <v>0</v>
      </c>
      <c r="O84" s="3">
        <v>360</v>
      </c>
      <c r="P84" s="3">
        <v>360</v>
      </c>
      <c r="Q84" s="3">
        <v>360</v>
      </c>
      <c r="S84" s="4">
        <v>0</v>
      </c>
      <c r="T84" s="4">
        <v>40</v>
      </c>
      <c r="U84" s="210"/>
      <c r="V84" s="210">
        <v>4.0839459317362761E-15</v>
      </c>
      <c r="W84" s="3">
        <v>0</v>
      </c>
      <c r="X84" s="3">
        <v>0</v>
      </c>
      <c r="Y84" s="3">
        <f t="shared" si="33"/>
        <v>1</v>
      </c>
      <c r="Z84" s="3">
        <f t="shared" si="34"/>
        <v>1</v>
      </c>
      <c r="AA84" s="3" t="str">
        <f t="shared" si="19"/>
        <v/>
      </c>
      <c r="AB84" s="3" t="str">
        <f t="shared" si="20"/>
        <v/>
      </c>
      <c r="AC84" s="3" t="str">
        <f t="shared" si="21"/>
        <v/>
      </c>
      <c r="AD84" s="3" t="str">
        <f t="shared" si="22"/>
        <v>0</v>
      </c>
      <c r="AE84" s="3">
        <f t="shared" si="23"/>
        <v>0</v>
      </c>
      <c r="AF84" s="3">
        <f t="shared" si="24"/>
        <v>0</v>
      </c>
      <c r="AM84" s="3" t="str">
        <f t="shared" si="25"/>
        <v/>
      </c>
      <c r="AN84" s="3" t="str">
        <f t="shared" si="26"/>
        <v/>
      </c>
      <c r="AO84" s="3" t="str">
        <f t="shared" si="27"/>
        <v/>
      </c>
      <c r="AP84" s="3">
        <f t="shared" si="28"/>
        <v>0</v>
      </c>
      <c r="AQ84" s="3">
        <f t="shared" si="29"/>
        <v>0</v>
      </c>
      <c r="AR84" s="3">
        <f t="shared" si="35"/>
        <v>0</v>
      </c>
      <c r="AS84" s="3" t="e">
        <f t="shared" si="36"/>
        <v>#REF!</v>
      </c>
      <c r="AT84" s="3" t="str">
        <f t="shared" si="30"/>
        <v/>
      </c>
      <c r="AU84" s="3">
        <f t="shared" si="31"/>
        <v>0</v>
      </c>
      <c r="AV84" s="3">
        <f t="shared" si="32"/>
        <v>0</v>
      </c>
      <c r="AW84" s="3">
        <v>160</v>
      </c>
      <c r="AX84" s="3" t="e">
        <f>IF(AND(#REF!="N",OR(AW84=$AX$1,AW84=$AX$2,AW84=$AX$3,AW84=$AX$4,AW84=$AY$1,AW84=$AY$2,AW84=$AY$3,AW84=$AY$4)),0,1)</f>
        <v>#REF!</v>
      </c>
    </row>
    <row r="85" spans="2:50" x14ac:dyDescent="0.2">
      <c r="B85" s="4">
        <v>162</v>
      </c>
      <c r="C85" s="208">
        <v>4.4194173824159217E-8</v>
      </c>
      <c r="D85" s="208">
        <v>4.4194173824159217E-8</v>
      </c>
      <c r="E85" s="208">
        <v>4.4194173824159217E-8</v>
      </c>
      <c r="F85" s="209" t="s">
        <v>714</v>
      </c>
      <c r="G85" s="208">
        <v>3.8024201053212699E-16</v>
      </c>
      <c r="H85" s="210">
        <v>5.1974028989890565E-15</v>
      </c>
      <c r="I85" s="208">
        <v>2.2969492715211139E-24</v>
      </c>
      <c r="J85" s="208">
        <v>2.2969492715211139E-24</v>
      </c>
      <c r="K85" s="208">
        <v>2.2969492715211139E-24</v>
      </c>
      <c r="L85" s="208">
        <v>0</v>
      </c>
      <c r="M85" s="208">
        <v>0</v>
      </c>
      <c r="N85" s="208">
        <v>0</v>
      </c>
      <c r="O85" s="3">
        <v>360</v>
      </c>
      <c r="P85" s="3">
        <v>360</v>
      </c>
      <c r="Q85" s="3">
        <v>360</v>
      </c>
      <c r="S85" s="4">
        <v>0</v>
      </c>
      <c r="T85" s="4">
        <v>40.5</v>
      </c>
      <c r="U85" s="210"/>
      <c r="V85" s="210">
        <v>5.1974028989890565E-15</v>
      </c>
      <c r="W85" s="3">
        <v>0</v>
      </c>
      <c r="X85" s="3">
        <v>0</v>
      </c>
      <c r="Y85" s="3">
        <f t="shared" si="33"/>
        <v>1</v>
      </c>
      <c r="Z85" s="3">
        <f t="shared" si="34"/>
        <v>1</v>
      </c>
      <c r="AA85" s="3" t="str">
        <f t="shared" si="19"/>
        <v/>
      </c>
      <c r="AB85" s="3" t="str">
        <f t="shared" si="20"/>
        <v/>
      </c>
      <c r="AC85" s="3" t="str">
        <f t="shared" si="21"/>
        <v/>
      </c>
      <c r="AD85" s="3" t="str">
        <f t="shared" si="22"/>
        <v>0</v>
      </c>
      <c r="AE85" s="3">
        <f t="shared" si="23"/>
        <v>0</v>
      </c>
      <c r="AF85" s="3">
        <f t="shared" si="24"/>
        <v>0</v>
      </c>
      <c r="AM85" s="3" t="str">
        <f t="shared" si="25"/>
        <v/>
      </c>
      <c r="AN85" s="3" t="str">
        <f t="shared" si="26"/>
        <v/>
      </c>
      <c r="AO85" s="3" t="str">
        <f t="shared" si="27"/>
        <v/>
      </c>
      <c r="AP85" s="3">
        <f t="shared" si="28"/>
        <v>0</v>
      </c>
      <c r="AQ85" s="3">
        <f t="shared" si="29"/>
        <v>0</v>
      </c>
      <c r="AR85" s="3">
        <f t="shared" si="35"/>
        <v>0</v>
      </c>
      <c r="AS85" s="3" t="e">
        <f t="shared" si="36"/>
        <v>#REF!</v>
      </c>
      <c r="AT85" s="3" t="str">
        <f t="shared" si="30"/>
        <v/>
      </c>
      <c r="AU85" s="3">
        <f t="shared" si="31"/>
        <v>0</v>
      </c>
      <c r="AV85" s="3">
        <f t="shared" si="32"/>
        <v>0</v>
      </c>
      <c r="AW85" s="3">
        <v>162</v>
      </c>
      <c r="AX85" s="3" t="e">
        <f>IF(AND(#REF!="N",OR(AW85=$AX$1,AW85=$AX$2,AW85=$AX$3,AW85=$AX$4,AW85=$AY$1,AW85=$AY$2,AW85=$AY$3,AW85=$AY$4)),0,1)</f>
        <v>#REF!</v>
      </c>
    </row>
    <row r="86" spans="2:50" x14ac:dyDescent="0.2">
      <c r="B86" s="4">
        <v>164</v>
      </c>
      <c r="C86" s="208">
        <v>0.15755905175128188</v>
      </c>
      <c r="D86" s="208">
        <v>0.15755905175128557</v>
      </c>
      <c r="E86" s="208">
        <v>0.15755905175128487</v>
      </c>
      <c r="F86" s="209" t="s">
        <v>714</v>
      </c>
      <c r="G86" s="208">
        <v>2.9357621754250059E-2</v>
      </c>
      <c r="H86" s="210">
        <v>0.40127966975409085</v>
      </c>
      <c r="I86" s="208">
        <v>6.3225244253522106E-4</v>
      </c>
      <c r="J86" s="208">
        <v>6.3225244253523581E-4</v>
      </c>
      <c r="K86" s="208">
        <v>6.322524425352331E-4</v>
      </c>
      <c r="L86" s="208">
        <v>1.0950933536805281E-3</v>
      </c>
      <c r="M86" s="208">
        <v>1.0950933536805515E-3</v>
      </c>
      <c r="N86" s="208">
        <v>1.0950933536805413E-3</v>
      </c>
      <c r="O86" s="3">
        <v>120</v>
      </c>
      <c r="P86" s="3">
        <v>120</v>
      </c>
      <c r="Q86" s="3">
        <v>120</v>
      </c>
      <c r="R86" s="4" t="s">
        <v>172</v>
      </c>
      <c r="S86" s="4" t="s">
        <v>172</v>
      </c>
      <c r="T86" s="4">
        <v>41</v>
      </c>
      <c r="U86" s="210"/>
      <c r="V86" s="210">
        <v>0.40127966975409085</v>
      </c>
      <c r="W86" s="3">
        <v>0.40127966975409085</v>
      </c>
      <c r="X86" s="3">
        <v>0</v>
      </c>
      <c r="Y86" s="3">
        <f t="shared" si="33"/>
        <v>1</v>
      </c>
      <c r="Z86" s="3">
        <f t="shared" si="34"/>
        <v>1</v>
      </c>
      <c r="AA86" s="3">
        <f t="shared" si="19"/>
        <v>8.1205095784413095E-2</v>
      </c>
      <c r="AB86" s="3">
        <f t="shared" si="20"/>
        <v>4.0602547892206547E-2</v>
      </c>
      <c r="AC86" s="3">
        <f t="shared" si="21"/>
        <v>2.4153806003692179E-4</v>
      </c>
      <c r="AD86" s="3" t="str">
        <f t="shared" si="22"/>
        <v>5.73380070181372E-07+0.00024124966452869i</v>
      </c>
      <c r="AE86" s="3">
        <f t="shared" si="23"/>
        <v>5.7338007018137199E-7</v>
      </c>
      <c r="AF86" s="3">
        <f t="shared" si="24"/>
        <v>2.4124966452868999E-4</v>
      </c>
      <c r="AM86" s="3" t="str">
        <f t="shared" si="25"/>
        <v>-9.80706065043978E-06+0.0000196141213008796i</v>
      </c>
      <c r="AN86" s="3" t="str">
        <f t="shared" si="26"/>
        <v>0.0812050957844131+0.0408440859522435i</v>
      </c>
      <c r="AO86" s="3" t="str">
        <f t="shared" si="27"/>
        <v>5.73380070181372E-07+0.00024124966452869i</v>
      </c>
      <c r="AP86" s="3">
        <f t="shared" si="28"/>
        <v>5.7338007018137199E-7</v>
      </c>
      <c r="AQ86" s="3">
        <f t="shared" si="29"/>
        <v>2.4124966452868999E-4</v>
      </c>
      <c r="AR86" s="3">
        <f t="shared" si="35"/>
        <v>-3.8312105531582845</v>
      </c>
      <c r="AS86" s="3" t="e">
        <f t="shared" si="36"/>
        <v>#REF!</v>
      </c>
      <c r="AT86" s="3" t="e">
        <f t="shared" si="30"/>
        <v>#REF!</v>
      </c>
      <c r="AU86" s="3" t="e">
        <f t="shared" si="31"/>
        <v>#REF!</v>
      </c>
      <c r="AV86" s="3" t="e">
        <f t="shared" si="32"/>
        <v>#REF!</v>
      </c>
      <c r="AW86" s="3">
        <v>164</v>
      </c>
      <c r="AX86" s="3" t="e">
        <f>IF(AND(#REF!="N",OR(AW86=$AX$1,AW86=$AX$2,AW86=$AX$3,AW86=$AX$4,AW86=$AY$1,AW86=$AY$2,AW86=$AY$3,AW86=$AY$4)),0,1)</f>
        <v>#REF!</v>
      </c>
    </row>
    <row r="87" spans="2:50" x14ac:dyDescent="0.2">
      <c r="B87" s="4">
        <v>166</v>
      </c>
      <c r="C87" s="208">
        <v>4.4194173824159217E-8</v>
      </c>
      <c r="D87" s="208">
        <v>4.4194173824159217E-8</v>
      </c>
      <c r="E87" s="208">
        <v>4.4194173824159217E-8</v>
      </c>
      <c r="F87" s="209" t="s">
        <v>714</v>
      </c>
      <c r="G87" s="208">
        <v>4.3150327577840457E-16</v>
      </c>
      <c r="H87" s="210">
        <v>5.8980762628396291E-15</v>
      </c>
      <c r="I87" s="208">
        <v>2.6066060758808196E-24</v>
      </c>
      <c r="J87" s="208">
        <v>2.6066060758808196E-24</v>
      </c>
      <c r="K87" s="208">
        <v>2.6066060758808196E-24</v>
      </c>
      <c r="L87" s="208">
        <v>0</v>
      </c>
      <c r="M87" s="208">
        <v>0</v>
      </c>
      <c r="N87" s="208">
        <v>0</v>
      </c>
      <c r="O87" s="3">
        <v>360</v>
      </c>
      <c r="P87" s="3">
        <v>360</v>
      </c>
      <c r="Q87" s="3">
        <v>360</v>
      </c>
      <c r="S87" s="4">
        <v>0</v>
      </c>
      <c r="T87" s="4">
        <v>41.5</v>
      </c>
      <c r="U87" s="210"/>
      <c r="V87" s="210">
        <v>5.8980762628396291E-15</v>
      </c>
      <c r="W87" s="3">
        <v>0</v>
      </c>
      <c r="X87" s="3">
        <v>0</v>
      </c>
      <c r="Y87" s="3">
        <f t="shared" si="33"/>
        <v>1</v>
      </c>
      <c r="Z87" s="3">
        <f t="shared" si="34"/>
        <v>1</v>
      </c>
      <c r="AA87" s="3" t="str">
        <f t="shared" si="19"/>
        <v/>
      </c>
      <c r="AB87" s="3" t="str">
        <f t="shared" si="20"/>
        <v/>
      </c>
      <c r="AC87" s="3" t="str">
        <f t="shared" si="21"/>
        <v/>
      </c>
      <c r="AD87" s="3" t="str">
        <f t="shared" si="22"/>
        <v>0</v>
      </c>
      <c r="AE87" s="3">
        <f t="shared" si="23"/>
        <v>0</v>
      </c>
      <c r="AF87" s="3">
        <f t="shared" si="24"/>
        <v>0</v>
      </c>
      <c r="AM87" s="3" t="str">
        <f t="shared" si="25"/>
        <v/>
      </c>
      <c r="AN87" s="3" t="str">
        <f t="shared" si="26"/>
        <v/>
      </c>
      <c r="AO87" s="3" t="str">
        <f t="shared" si="27"/>
        <v/>
      </c>
      <c r="AP87" s="3">
        <f t="shared" si="28"/>
        <v>0</v>
      </c>
      <c r="AQ87" s="3">
        <f t="shared" si="29"/>
        <v>0</v>
      </c>
      <c r="AR87" s="3">
        <f t="shared" si="35"/>
        <v>0</v>
      </c>
      <c r="AS87" s="3" t="e">
        <f t="shared" si="36"/>
        <v>#REF!</v>
      </c>
      <c r="AT87" s="3" t="str">
        <f t="shared" si="30"/>
        <v/>
      </c>
      <c r="AU87" s="3">
        <f t="shared" si="31"/>
        <v>0</v>
      </c>
      <c r="AV87" s="3">
        <f t="shared" si="32"/>
        <v>0</v>
      </c>
      <c r="AW87" s="3">
        <v>166</v>
      </c>
      <c r="AX87" s="3" t="e">
        <f>IF(AND(#REF!="N",OR(AW87=$AX$1,AW87=$AX$2,AW87=$AX$3,AW87=$AX$4,AW87=$AY$1,AW87=$AY$2,AW87=$AY$3,AW87=$AY$4)),0,1)</f>
        <v>#REF!</v>
      </c>
    </row>
    <row r="88" spans="2:50" x14ac:dyDescent="0.2">
      <c r="B88" s="4">
        <v>168</v>
      </c>
      <c r="C88" s="208">
        <v>4.4194173824159217E-8</v>
      </c>
      <c r="D88" s="208">
        <v>4.4194173824159217E-8</v>
      </c>
      <c r="E88" s="208">
        <v>4.4194173824159217E-8</v>
      </c>
      <c r="F88" s="209" t="s">
        <v>714</v>
      </c>
      <c r="G88" s="208">
        <v>2.3862759768321401E-16</v>
      </c>
      <c r="H88" s="210">
        <v>3.2617220970451961E-15</v>
      </c>
      <c r="I88" s="208">
        <v>1.4414911332291652E-24</v>
      </c>
      <c r="J88" s="208">
        <v>1.4414911332291652E-24</v>
      </c>
      <c r="K88" s="208">
        <v>1.4414911332291652E-24</v>
      </c>
      <c r="L88" s="208">
        <v>0</v>
      </c>
      <c r="M88" s="208">
        <v>0</v>
      </c>
      <c r="N88" s="208">
        <v>0</v>
      </c>
      <c r="O88" s="3">
        <v>360</v>
      </c>
      <c r="P88" s="3">
        <v>360</v>
      </c>
      <c r="Q88" s="3">
        <v>360</v>
      </c>
      <c r="S88" s="4">
        <v>0</v>
      </c>
      <c r="T88" s="4">
        <v>42</v>
      </c>
      <c r="U88" s="210"/>
      <c r="V88" s="210">
        <v>3.2617220970451961E-15</v>
      </c>
      <c r="W88" s="3">
        <v>0</v>
      </c>
      <c r="X88" s="3">
        <v>0</v>
      </c>
      <c r="Y88" s="3">
        <f t="shared" si="33"/>
        <v>1</v>
      </c>
      <c r="Z88" s="3">
        <f t="shared" si="34"/>
        <v>1</v>
      </c>
      <c r="AA88" s="3" t="str">
        <f t="shared" si="19"/>
        <v/>
      </c>
      <c r="AB88" s="3" t="str">
        <f t="shared" si="20"/>
        <v/>
      </c>
      <c r="AC88" s="3" t="str">
        <f t="shared" si="21"/>
        <v/>
      </c>
      <c r="AD88" s="3" t="str">
        <f t="shared" si="22"/>
        <v>0</v>
      </c>
      <c r="AE88" s="3">
        <f t="shared" si="23"/>
        <v>0</v>
      </c>
      <c r="AF88" s="3">
        <f t="shared" si="24"/>
        <v>0</v>
      </c>
      <c r="AM88" s="3" t="str">
        <f t="shared" si="25"/>
        <v/>
      </c>
      <c r="AN88" s="3" t="str">
        <f t="shared" si="26"/>
        <v/>
      </c>
      <c r="AO88" s="3" t="str">
        <f t="shared" si="27"/>
        <v/>
      </c>
      <c r="AP88" s="3">
        <f t="shared" si="28"/>
        <v>0</v>
      </c>
      <c r="AQ88" s="3">
        <f t="shared" si="29"/>
        <v>0</v>
      </c>
      <c r="AR88" s="3">
        <f t="shared" si="35"/>
        <v>0</v>
      </c>
      <c r="AS88" s="3" t="e">
        <f t="shared" si="36"/>
        <v>#REF!</v>
      </c>
      <c r="AT88" s="3" t="str">
        <f t="shared" si="30"/>
        <v/>
      </c>
      <c r="AU88" s="3">
        <f t="shared" si="31"/>
        <v>0</v>
      </c>
      <c r="AV88" s="3">
        <f t="shared" si="32"/>
        <v>0</v>
      </c>
      <c r="AW88" s="3">
        <v>168</v>
      </c>
      <c r="AX88" s="3" t="e">
        <f>IF(AND(#REF!="N",OR(AW88=$AX$1,AW88=$AX$2,AW88=$AX$3,AW88=$AX$4,AW88=$AY$1,AW88=$AY$2,AW88=$AY$3,AW88=$AY$4)),0,1)</f>
        <v>#REF!</v>
      </c>
    </row>
    <row r="89" spans="2:50" x14ac:dyDescent="0.2">
      <c r="B89" s="4">
        <v>170</v>
      </c>
      <c r="C89" s="208">
        <v>4.4194173824159217E-8</v>
      </c>
      <c r="D89" s="208">
        <v>4.4194173824159217E-8</v>
      </c>
      <c r="E89" s="208">
        <v>4.4194173824159217E-8</v>
      </c>
      <c r="F89" s="209" t="s">
        <v>714</v>
      </c>
      <c r="G89" s="208">
        <v>4.7308874874226097E-16</v>
      </c>
      <c r="H89" s="210">
        <v>6.4664944064206279E-15</v>
      </c>
      <c r="I89" s="208">
        <v>2.8578137783030652E-24</v>
      </c>
      <c r="J89" s="208">
        <v>2.8578137783030652E-24</v>
      </c>
      <c r="K89" s="208">
        <v>2.8578137783030652E-24</v>
      </c>
      <c r="L89" s="208">
        <v>0</v>
      </c>
      <c r="M89" s="208">
        <v>0</v>
      </c>
      <c r="N89" s="208">
        <v>0</v>
      </c>
      <c r="O89" s="3">
        <v>360</v>
      </c>
      <c r="P89" s="3">
        <v>360</v>
      </c>
      <c r="Q89" s="3">
        <v>360</v>
      </c>
      <c r="S89" s="4">
        <v>0</v>
      </c>
      <c r="T89" s="4">
        <v>42.5</v>
      </c>
      <c r="U89" s="210"/>
      <c r="V89" s="210">
        <v>6.4664944064206279E-15</v>
      </c>
      <c r="W89" s="3">
        <v>0</v>
      </c>
      <c r="X89" s="3">
        <v>0</v>
      </c>
      <c r="Y89" s="3">
        <f t="shared" si="33"/>
        <v>1</v>
      </c>
      <c r="Z89" s="3">
        <f t="shared" si="34"/>
        <v>1</v>
      </c>
      <c r="AA89" s="3" t="str">
        <f t="shared" si="19"/>
        <v/>
      </c>
      <c r="AB89" s="3" t="str">
        <f t="shared" si="20"/>
        <v/>
      </c>
      <c r="AC89" s="3" t="str">
        <f t="shared" si="21"/>
        <v/>
      </c>
      <c r="AD89" s="3" t="str">
        <f t="shared" si="22"/>
        <v>0</v>
      </c>
      <c r="AE89" s="3">
        <f t="shared" si="23"/>
        <v>0</v>
      </c>
      <c r="AF89" s="3">
        <f t="shared" si="24"/>
        <v>0</v>
      </c>
      <c r="AM89" s="3" t="str">
        <f t="shared" si="25"/>
        <v/>
      </c>
      <c r="AN89" s="3" t="str">
        <f t="shared" si="26"/>
        <v/>
      </c>
      <c r="AO89" s="3" t="str">
        <f t="shared" si="27"/>
        <v/>
      </c>
      <c r="AP89" s="3">
        <f t="shared" si="28"/>
        <v>0</v>
      </c>
      <c r="AQ89" s="3">
        <f t="shared" si="29"/>
        <v>0</v>
      </c>
      <c r="AR89" s="3">
        <f t="shared" si="35"/>
        <v>0</v>
      </c>
      <c r="AS89" s="3" t="e">
        <f t="shared" si="36"/>
        <v>#REF!</v>
      </c>
      <c r="AT89" s="3" t="str">
        <f t="shared" si="30"/>
        <v/>
      </c>
      <c r="AU89" s="3">
        <f t="shared" si="31"/>
        <v>0</v>
      </c>
      <c r="AV89" s="3">
        <f t="shared" si="32"/>
        <v>0</v>
      </c>
      <c r="AW89" s="3">
        <v>170</v>
      </c>
      <c r="AX89" s="3" t="e">
        <f>IF(AND(#REF!="N",OR(AW89=$AX$1,AW89=$AX$2,AW89=$AX$3,AW89=$AX$4,AW89=$AY$1,AW89=$AY$2,AW89=$AY$3,AW89=$AY$4)),0,1)</f>
        <v>#REF!</v>
      </c>
    </row>
    <row r="90" spans="2:50" x14ac:dyDescent="0.2">
      <c r="B90" s="4">
        <v>172</v>
      </c>
      <c r="C90" s="208">
        <v>0.20533495396307749</v>
      </c>
      <c r="D90" s="208">
        <v>0.20533495396308135</v>
      </c>
      <c r="E90" s="208">
        <v>0.20533495396307749</v>
      </c>
      <c r="F90" s="209" t="s">
        <v>714</v>
      </c>
      <c r="G90" s="208">
        <v>3.6480081390999883E-2</v>
      </c>
      <c r="H90" s="210">
        <v>0.49863422642753968</v>
      </c>
      <c r="I90" s="208">
        <v>1.0238703592791362E-3</v>
      </c>
      <c r="J90" s="208">
        <v>1.0238703592791555E-3</v>
      </c>
      <c r="K90" s="208">
        <v>1.0238703592791362E-3</v>
      </c>
      <c r="L90" s="208">
        <v>1.7733954826352658E-3</v>
      </c>
      <c r="M90" s="208">
        <v>1.7733954826352834E-3</v>
      </c>
      <c r="N90" s="208">
        <v>1.7733954826352775E-3</v>
      </c>
      <c r="O90" s="3">
        <v>240</v>
      </c>
      <c r="P90" s="3">
        <v>240</v>
      </c>
      <c r="Q90" s="3">
        <v>240</v>
      </c>
      <c r="R90" s="4" t="s">
        <v>168</v>
      </c>
      <c r="S90" s="4" t="s">
        <v>168</v>
      </c>
      <c r="T90" s="4">
        <v>43</v>
      </c>
      <c r="U90" s="210"/>
      <c r="V90" s="210">
        <v>0.49863422642753968</v>
      </c>
      <c r="W90" s="3">
        <v>0</v>
      </c>
      <c r="X90" s="3">
        <v>0.49863422642754129</v>
      </c>
      <c r="Y90" s="3">
        <f t="shared" si="33"/>
        <v>1</v>
      </c>
      <c r="Z90" s="3">
        <f t="shared" si="34"/>
        <v>1</v>
      </c>
      <c r="AA90" s="3">
        <f t="shared" si="19"/>
        <v>0.13791844010203883</v>
      </c>
      <c r="AB90" s="3">
        <f t="shared" si="20"/>
        <v>6.8959220051019413E-2</v>
      </c>
      <c r="AC90" s="3">
        <f t="shared" si="21"/>
        <v>3.72954137647482E-4</v>
      </c>
      <c r="AD90" s="3" t="str">
        <f t="shared" si="22"/>
        <v>8.05077087073366E-07+0.000372549422043137i</v>
      </c>
      <c r="AE90" s="3">
        <f t="shared" si="23"/>
        <v>8.05077087073366E-7</v>
      </c>
      <c r="AF90" s="3">
        <f t="shared" si="24"/>
        <v>3.72549422043137E-4</v>
      </c>
      <c r="AM90" s="3" t="str">
        <f t="shared" si="25"/>
        <v>-0.0000257186264469709+0.0000514372528939419i</v>
      </c>
      <c r="AN90" s="3" t="str">
        <f t="shared" si="26"/>
        <v>0.137918440102039+0.0693321741886669i</v>
      </c>
      <c r="AO90" s="3" t="str">
        <f t="shared" si="27"/>
        <v>8.05077087073366E-07+0.000372549422043137i</v>
      </c>
      <c r="AP90" s="3">
        <f t="shared" si="28"/>
        <v>8.05077087073366E-7</v>
      </c>
      <c r="AQ90" s="3">
        <f t="shared" si="29"/>
        <v>3.72549422043137E-4</v>
      </c>
      <c r="AR90" s="3">
        <f t="shared" si="35"/>
        <v>3.6530147134765039</v>
      </c>
      <c r="AS90" s="3" t="e">
        <f t="shared" si="36"/>
        <v>#REF!</v>
      </c>
      <c r="AT90" s="3" t="e">
        <f t="shared" si="30"/>
        <v>#REF!</v>
      </c>
      <c r="AU90" s="3" t="e">
        <f t="shared" si="31"/>
        <v>#REF!</v>
      </c>
      <c r="AV90" s="3" t="e">
        <f t="shared" si="32"/>
        <v>#REF!</v>
      </c>
      <c r="AW90" s="3">
        <v>172</v>
      </c>
      <c r="AX90" s="3" t="e">
        <f>IF(AND(#REF!="N",OR(AW90=$AX$1,AW90=$AX$2,AW90=$AX$3,AW90=$AX$4,AW90=$AY$1,AW90=$AY$2,AW90=$AY$3,AW90=$AY$4)),0,1)</f>
        <v>#REF!</v>
      </c>
    </row>
    <row r="91" spans="2:50" x14ac:dyDescent="0.2">
      <c r="B91" s="4">
        <v>174</v>
      </c>
      <c r="C91" s="208">
        <v>4.4194173824159217E-8</v>
      </c>
      <c r="D91" s="208">
        <v>4.4194173824159217E-8</v>
      </c>
      <c r="E91" s="208">
        <v>4.4194173824159217E-8</v>
      </c>
      <c r="F91" s="209" t="s">
        <v>714</v>
      </c>
      <c r="G91" s="208">
        <v>1.5704874308215833E-16</v>
      </c>
      <c r="H91" s="210">
        <v>2.1466475822477064E-15</v>
      </c>
      <c r="I91" s="208">
        <v>9.4869316389066254E-25</v>
      </c>
      <c r="J91" s="208">
        <v>9.4869316389066254E-25</v>
      </c>
      <c r="K91" s="208">
        <v>9.4869316389066254E-25</v>
      </c>
      <c r="L91" s="208">
        <v>0</v>
      </c>
      <c r="M91" s="208">
        <v>0</v>
      </c>
      <c r="N91" s="208">
        <v>0</v>
      </c>
      <c r="O91" s="3">
        <v>360</v>
      </c>
      <c r="P91" s="3">
        <v>360</v>
      </c>
      <c r="Q91" s="3">
        <v>360</v>
      </c>
      <c r="S91" s="4">
        <v>0</v>
      </c>
      <c r="T91" s="4">
        <v>43.5</v>
      </c>
      <c r="U91" s="210"/>
      <c r="V91" s="210">
        <v>2.1466475822477064E-15</v>
      </c>
      <c r="W91" s="3">
        <v>0</v>
      </c>
      <c r="X91" s="3">
        <v>0</v>
      </c>
      <c r="Y91" s="3">
        <f t="shared" si="33"/>
        <v>1</v>
      </c>
      <c r="Z91" s="3">
        <f t="shared" si="34"/>
        <v>1</v>
      </c>
      <c r="AA91" s="3" t="str">
        <f t="shared" si="19"/>
        <v/>
      </c>
      <c r="AB91" s="3" t="str">
        <f t="shared" si="20"/>
        <v/>
      </c>
      <c r="AC91" s="3" t="str">
        <f t="shared" si="21"/>
        <v/>
      </c>
      <c r="AD91" s="3" t="str">
        <f t="shared" si="22"/>
        <v>0</v>
      </c>
      <c r="AE91" s="3">
        <f t="shared" si="23"/>
        <v>0</v>
      </c>
      <c r="AF91" s="3">
        <f t="shared" si="24"/>
        <v>0</v>
      </c>
      <c r="AM91" s="3" t="str">
        <f t="shared" si="25"/>
        <v/>
      </c>
      <c r="AN91" s="3" t="str">
        <f t="shared" si="26"/>
        <v/>
      </c>
      <c r="AO91" s="3" t="str">
        <f t="shared" si="27"/>
        <v/>
      </c>
      <c r="AP91" s="3">
        <f t="shared" si="28"/>
        <v>0</v>
      </c>
      <c r="AQ91" s="3">
        <f t="shared" si="29"/>
        <v>0</v>
      </c>
      <c r="AR91" s="3">
        <f t="shared" si="35"/>
        <v>0</v>
      </c>
      <c r="AS91" s="3" t="e">
        <f t="shared" si="36"/>
        <v>#REF!</v>
      </c>
      <c r="AT91" s="3" t="str">
        <f t="shared" si="30"/>
        <v/>
      </c>
      <c r="AU91" s="3">
        <f t="shared" si="31"/>
        <v>0</v>
      </c>
      <c r="AV91" s="3">
        <f t="shared" si="32"/>
        <v>0</v>
      </c>
      <c r="AW91" s="3">
        <v>174</v>
      </c>
      <c r="AX91" s="3" t="e">
        <f>IF(AND(#REF!="N",OR(AW91=$AX$1,AW91=$AX$2,AW91=$AX$3,AW91=$AX$4,AW91=$AY$1,AW91=$AY$2,AW91=$AY$3,AW91=$AY$4)),0,1)</f>
        <v>#REF!</v>
      </c>
    </row>
    <row r="92" spans="2:50" x14ac:dyDescent="0.2">
      <c r="B92" s="4">
        <v>176</v>
      </c>
      <c r="C92" s="208">
        <v>4.4194173824159217E-8</v>
      </c>
      <c r="D92" s="208">
        <v>4.4194173824159217E-8</v>
      </c>
      <c r="E92" s="208">
        <v>4.4194173824159217E-8</v>
      </c>
      <c r="F92" s="209" t="s">
        <v>714</v>
      </c>
      <c r="G92" s="208">
        <v>6.4786196264252338E-16</v>
      </c>
      <c r="H92" s="210">
        <v>8.8554119469092514E-15</v>
      </c>
      <c r="I92" s="208">
        <v>3.9135761486624367E-24</v>
      </c>
      <c r="J92" s="208">
        <v>3.9135761486624367E-24</v>
      </c>
      <c r="K92" s="208">
        <v>3.9135761486624367E-24</v>
      </c>
      <c r="L92" s="208">
        <v>0</v>
      </c>
      <c r="M92" s="208">
        <v>0</v>
      </c>
      <c r="N92" s="208">
        <v>0</v>
      </c>
      <c r="O92" s="3">
        <v>360</v>
      </c>
      <c r="P92" s="3">
        <v>360</v>
      </c>
      <c r="Q92" s="3">
        <v>360</v>
      </c>
      <c r="S92" s="4">
        <v>0</v>
      </c>
      <c r="T92" s="4">
        <v>44</v>
      </c>
      <c r="U92" s="210"/>
      <c r="V92" s="210">
        <v>8.8554119469092529E-15</v>
      </c>
      <c r="W92" s="3">
        <v>0</v>
      </c>
      <c r="X92" s="3">
        <v>0</v>
      </c>
      <c r="Y92" s="3">
        <f t="shared" si="33"/>
        <v>1</v>
      </c>
      <c r="Z92" s="3">
        <f t="shared" si="34"/>
        <v>1</v>
      </c>
      <c r="AA92" s="3" t="str">
        <f t="shared" si="19"/>
        <v/>
      </c>
      <c r="AB92" s="3" t="str">
        <f t="shared" si="20"/>
        <v/>
      </c>
      <c r="AC92" s="3" t="str">
        <f t="shared" si="21"/>
        <v/>
      </c>
      <c r="AD92" s="3" t="str">
        <f t="shared" si="22"/>
        <v>0</v>
      </c>
      <c r="AE92" s="3">
        <f t="shared" si="23"/>
        <v>0</v>
      </c>
      <c r="AF92" s="3">
        <f t="shared" si="24"/>
        <v>0</v>
      </c>
      <c r="AM92" s="3" t="str">
        <f t="shared" si="25"/>
        <v/>
      </c>
      <c r="AN92" s="3" t="str">
        <f t="shared" si="26"/>
        <v/>
      </c>
      <c r="AO92" s="3" t="str">
        <f t="shared" si="27"/>
        <v/>
      </c>
      <c r="AP92" s="3">
        <f t="shared" si="28"/>
        <v>0</v>
      </c>
      <c r="AQ92" s="3">
        <f t="shared" si="29"/>
        <v>0</v>
      </c>
      <c r="AR92" s="3">
        <f t="shared" si="35"/>
        <v>0</v>
      </c>
      <c r="AS92" s="3" t="e">
        <f t="shared" si="36"/>
        <v>#REF!</v>
      </c>
      <c r="AT92" s="3" t="str">
        <f t="shared" si="30"/>
        <v/>
      </c>
      <c r="AU92" s="3">
        <f t="shared" si="31"/>
        <v>0</v>
      </c>
      <c r="AV92" s="3">
        <f t="shared" si="32"/>
        <v>0</v>
      </c>
      <c r="AW92" s="3">
        <v>176</v>
      </c>
      <c r="AX92" s="3" t="e">
        <f>IF(AND(#REF!="N",OR(AW92=$AX$1,AW92=$AX$2,AW92=$AX$3,AW92=$AX$4,AW92=$AY$1,AW92=$AY$2,AW92=$AY$3,AW92=$AY$4)),0,1)</f>
        <v>#REF!</v>
      </c>
    </row>
    <row r="93" spans="2:50" x14ac:dyDescent="0.2">
      <c r="B93" s="4">
        <v>178</v>
      </c>
      <c r="C93" s="208">
        <v>4.4194173824159217E-8</v>
      </c>
      <c r="D93" s="208">
        <v>4.4194173824159217E-8</v>
      </c>
      <c r="E93" s="208">
        <v>4.4194173824159217E-8</v>
      </c>
      <c r="F93" s="209" t="s">
        <v>714</v>
      </c>
      <c r="G93" s="208">
        <v>1.4296006441048848E-16</v>
      </c>
      <c r="H93" s="210">
        <v>1.9540740702662487E-15</v>
      </c>
      <c r="I93" s="208">
        <v>8.6358689126628899E-25</v>
      </c>
      <c r="J93" s="208">
        <v>8.6358689126628899E-25</v>
      </c>
      <c r="K93" s="208">
        <v>8.6358689126628899E-25</v>
      </c>
      <c r="L93" s="208">
        <v>0</v>
      </c>
      <c r="M93" s="208">
        <v>0</v>
      </c>
      <c r="N93" s="208">
        <v>0</v>
      </c>
      <c r="O93" s="3">
        <v>360</v>
      </c>
      <c r="P93" s="3">
        <v>360</v>
      </c>
      <c r="Q93" s="3">
        <v>360</v>
      </c>
      <c r="S93" s="4">
        <v>0</v>
      </c>
      <c r="T93" s="4">
        <v>44.5</v>
      </c>
      <c r="U93" s="210"/>
      <c r="V93" s="210">
        <v>1.9540740702662487E-15</v>
      </c>
      <c r="W93" s="3">
        <v>0</v>
      </c>
      <c r="X93" s="3">
        <v>0</v>
      </c>
      <c r="Y93" s="3">
        <f t="shared" si="33"/>
        <v>1</v>
      </c>
      <c r="Z93" s="3">
        <f t="shared" si="34"/>
        <v>1</v>
      </c>
      <c r="AA93" s="3" t="str">
        <f t="shared" si="19"/>
        <v/>
      </c>
      <c r="AB93" s="3" t="str">
        <f t="shared" si="20"/>
        <v/>
      </c>
      <c r="AC93" s="3" t="str">
        <f t="shared" si="21"/>
        <v/>
      </c>
      <c r="AD93" s="3" t="str">
        <f t="shared" si="22"/>
        <v>0</v>
      </c>
      <c r="AE93" s="3">
        <f t="shared" si="23"/>
        <v>0</v>
      </c>
      <c r="AF93" s="3">
        <f t="shared" si="24"/>
        <v>0</v>
      </c>
      <c r="AM93" s="3" t="str">
        <f t="shared" si="25"/>
        <v/>
      </c>
      <c r="AN93" s="3" t="str">
        <f t="shared" si="26"/>
        <v/>
      </c>
      <c r="AO93" s="3" t="str">
        <f t="shared" si="27"/>
        <v/>
      </c>
      <c r="AP93" s="3">
        <f t="shared" si="28"/>
        <v>0</v>
      </c>
      <c r="AQ93" s="3">
        <f t="shared" si="29"/>
        <v>0</v>
      </c>
      <c r="AR93" s="3">
        <f t="shared" si="35"/>
        <v>0</v>
      </c>
      <c r="AS93" s="3" t="e">
        <f t="shared" si="36"/>
        <v>#REF!</v>
      </c>
      <c r="AT93" s="3" t="str">
        <f t="shared" si="30"/>
        <v/>
      </c>
      <c r="AU93" s="3">
        <f t="shared" si="31"/>
        <v>0</v>
      </c>
      <c r="AV93" s="3">
        <f t="shared" si="32"/>
        <v>0</v>
      </c>
      <c r="AW93" s="3">
        <v>178</v>
      </c>
      <c r="AX93" s="3" t="e">
        <f>IF(AND(#REF!="N",OR(AW93=$AX$1,AW93=$AX$2,AW93=$AX$3,AW93=$AX$4,AW93=$AY$1,AW93=$AY$2,AW93=$AY$3,AW93=$AY$4)),0,1)</f>
        <v>#REF!</v>
      </c>
    </row>
    <row r="94" spans="2:50" x14ac:dyDescent="0.2">
      <c r="B94" s="4">
        <v>180</v>
      </c>
      <c r="C94" s="208">
        <v>0.65328148243819228</v>
      </c>
      <c r="D94" s="208">
        <v>0.65328148243818718</v>
      </c>
      <c r="E94" s="208">
        <v>0.65328148243818795</v>
      </c>
      <c r="F94" s="209" t="s">
        <v>714</v>
      </c>
      <c r="G94" s="208">
        <v>6.1741130922643005E-16</v>
      </c>
      <c r="H94" s="210">
        <v>8.4391919871014633E-15</v>
      </c>
      <c r="I94" s="208">
        <v>5.5131678519141577E-17</v>
      </c>
      <c r="J94" s="208">
        <v>5.5131678519141146E-17</v>
      </c>
      <c r="K94" s="208">
        <v>5.5131678519141213E-17</v>
      </c>
      <c r="L94" s="208">
        <v>3.7438492957804859E-31</v>
      </c>
      <c r="M94" s="208">
        <v>4.8390154020258773E-31</v>
      </c>
      <c r="N94" s="208">
        <v>1.5907761640925434E-31</v>
      </c>
      <c r="O94" s="3">
        <v>360</v>
      </c>
      <c r="P94" s="3">
        <v>360</v>
      </c>
      <c r="Q94" s="3">
        <v>360</v>
      </c>
      <c r="S94" s="4">
        <v>0</v>
      </c>
      <c r="T94" s="4">
        <v>45</v>
      </c>
      <c r="U94" s="210"/>
      <c r="V94" s="210">
        <v>8.4391919871014633E-15</v>
      </c>
      <c r="W94" s="3">
        <v>0</v>
      </c>
      <c r="X94" s="3">
        <v>0</v>
      </c>
      <c r="Y94" s="3">
        <f t="shared" si="33"/>
        <v>1</v>
      </c>
      <c r="Z94" s="3">
        <f t="shared" si="34"/>
        <v>1</v>
      </c>
      <c r="AA94" s="3" t="str">
        <f t="shared" si="19"/>
        <v/>
      </c>
      <c r="AB94" s="3" t="str">
        <f t="shared" si="20"/>
        <v/>
      </c>
      <c r="AC94" s="3" t="str">
        <f t="shared" si="21"/>
        <v/>
      </c>
      <c r="AD94" s="3" t="str">
        <f t="shared" si="22"/>
        <v>0</v>
      </c>
      <c r="AE94" s="3">
        <f t="shared" si="23"/>
        <v>0</v>
      </c>
      <c r="AF94" s="3">
        <f t="shared" si="24"/>
        <v>0</v>
      </c>
      <c r="AM94" s="3" t="str">
        <f t="shared" si="25"/>
        <v/>
      </c>
      <c r="AN94" s="3" t="str">
        <f t="shared" si="26"/>
        <v/>
      </c>
      <c r="AO94" s="3" t="str">
        <f t="shared" si="27"/>
        <v/>
      </c>
      <c r="AP94" s="3">
        <f t="shared" si="28"/>
        <v>0</v>
      </c>
      <c r="AQ94" s="3">
        <f t="shared" si="29"/>
        <v>0</v>
      </c>
      <c r="AR94" s="3">
        <f t="shared" si="35"/>
        <v>0</v>
      </c>
      <c r="AS94" s="3" t="e">
        <f t="shared" si="36"/>
        <v>#REF!</v>
      </c>
      <c r="AT94" s="3" t="str">
        <f t="shared" si="30"/>
        <v/>
      </c>
      <c r="AU94" s="3">
        <f t="shared" si="31"/>
        <v>0</v>
      </c>
      <c r="AV94" s="3">
        <f t="shared" si="32"/>
        <v>0</v>
      </c>
      <c r="AW94" s="3">
        <v>180</v>
      </c>
      <c r="AX94" s="3" t="e">
        <f>IF(AND(#REF!="N",OR(AW94=$AX$1,AW94=$AX$2,AW94=$AX$3,AW94=$AX$4,AW94=$AY$1,AW94=$AY$2,AW94=$AY$3,AW94=$AY$4)),0,1)</f>
        <v>#REF!</v>
      </c>
    </row>
    <row r="95" spans="2:50" x14ac:dyDescent="0.2">
      <c r="B95" s="4">
        <v>182</v>
      </c>
      <c r="C95" s="208">
        <v>4.4194173824159217E-8</v>
      </c>
      <c r="D95" s="208">
        <v>4.4194173824159217E-8</v>
      </c>
      <c r="E95" s="208">
        <v>4.4194173824159217E-8</v>
      </c>
      <c r="F95" s="209" t="s">
        <v>714</v>
      </c>
      <c r="G95" s="208">
        <v>1.5814891913141372E-16</v>
      </c>
      <c r="H95" s="210">
        <v>2.1616855265816218E-15</v>
      </c>
      <c r="I95" s="208">
        <v>9.5533905914917349E-25</v>
      </c>
      <c r="J95" s="208">
        <v>9.5533905914917349E-25</v>
      </c>
      <c r="K95" s="208">
        <v>9.5533905914917349E-25</v>
      </c>
      <c r="L95" s="208">
        <v>0</v>
      </c>
      <c r="M95" s="208">
        <v>0</v>
      </c>
      <c r="N95" s="208">
        <v>0</v>
      </c>
      <c r="O95" s="3">
        <v>360</v>
      </c>
      <c r="P95" s="3">
        <v>360</v>
      </c>
      <c r="Q95" s="3">
        <v>360</v>
      </c>
      <c r="S95" s="4">
        <v>0</v>
      </c>
      <c r="T95" s="4">
        <v>45.5</v>
      </c>
      <c r="U95" s="210"/>
      <c r="V95" s="210">
        <v>2.1616855265816218E-15</v>
      </c>
      <c r="W95" s="3">
        <v>0</v>
      </c>
      <c r="X95" s="3">
        <v>0</v>
      </c>
      <c r="Y95" s="3">
        <f t="shared" si="33"/>
        <v>1</v>
      </c>
      <c r="Z95" s="3">
        <f t="shared" si="34"/>
        <v>1</v>
      </c>
      <c r="AA95" s="3" t="str">
        <f t="shared" si="19"/>
        <v/>
      </c>
      <c r="AB95" s="3" t="str">
        <f t="shared" si="20"/>
        <v/>
      </c>
      <c r="AC95" s="3" t="str">
        <f t="shared" si="21"/>
        <v/>
      </c>
      <c r="AD95" s="3" t="str">
        <f t="shared" si="22"/>
        <v>0</v>
      </c>
      <c r="AE95" s="3">
        <f t="shared" si="23"/>
        <v>0</v>
      </c>
      <c r="AF95" s="3">
        <f t="shared" si="24"/>
        <v>0</v>
      </c>
      <c r="AM95" s="3" t="str">
        <f t="shared" si="25"/>
        <v/>
      </c>
      <c r="AN95" s="3" t="str">
        <f t="shared" si="26"/>
        <v/>
      </c>
      <c r="AO95" s="3" t="str">
        <f t="shared" si="27"/>
        <v/>
      </c>
      <c r="AP95" s="3">
        <f t="shared" si="28"/>
        <v>0</v>
      </c>
      <c r="AQ95" s="3">
        <f t="shared" si="29"/>
        <v>0</v>
      </c>
      <c r="AR95" s="3">
        <f t="shared" si="35"/>
        <v>0</v>
      </c>
      <c r="AS95" s="3" t="e">
        <f t="shared" si="36"/>
        <v>#REF!</v>
      </c>
      <c r="AT95" s="3" t="str">
        <f t="shared" si="30"/>
        <v/>
      </c>
      <c r="AU95" s="3">
        <f t="shared" si="31"/>
        <v>0</v>
      </c>
      <c r="AV95" s="3">
        <f t="shared" si="32"/>
        <v>0</v>
      </c>
      <c r="AW95" s="3">
        <v>182</v>
      </c>
      <c r="AX95" s="3" t="e">
        <f>IF(AND(#REF!="N",OR(AW95=$AX$1,AW95=$AX$2,AW95=$AX$3,AW95=$AX$4,AW95=$AY$1,AW95=$AY$2,AW95=$AY$3,AW95=$AY$4)),0,1)</f>
        <v>#REF!</v>
      </c>
    </row>
    <row r="96" spans="2:50" x14ac:dyDescent="0.2">
      <c r="B96" s="4">
        <v>184</v>
      </c>
      <c r="C96" s="208">
        <v>4.4194173824159217E-8</v>
      </c>
      <c r="D96" s="208">
        <v>4.4194173824159217E-8</v>
      </c>
      <c r="E96" s="208">
        <v>4.4194173824159217E-8</v>
      </c>
      <c r="F96" s="209" t="s">
        <v>714</v>
      </c>
      <c r="G96" s="208">
        <v>9.8968728490243586E-16</v>
      </c>
      <c r="H96" s="210">
        <v>1.3527709777375912E-14</v>
      </c>
      <c r="I96" s="208">
        <v>5.9784595734412921E-24</v>
      </c>
      <c r="J96" s="208">
        <v>5.9784595734412921E-24</v>
      </c>
      <c r="K96" s="208">
        <v>5.9784595734412921E-24</v>
      </c>
      <c r="L96" s="208">
        <v>0</v>
      </c>
      <c r="M96" s="208">
        <v>0</v>
      </c>
      <c r="N96" s="208">
        <v>0</v>
      </c>
      <c r="O96" s="3">
        <v>360</v>
      </c>
      <c r="P96" s="3">
        <v>360</v>
      </c>
      <c r="Q96" s="3">
        <v>360</v>
      </c>
      <c r="S96" s="4">
        <v>0</v>
      </c>
      <c r="T96" s="4">
        <v>46</v>
      </c>
      <c r="U96" s="210"/>
      <c r="V96" s="210">
        <v>1.3527709777375912E-14</v>
      </c>
      <c r="W96" s="3">
        <v>0</v>
      </c>
      <c r="X96" s="3">
        <v>0</v>
      </c>
      <c r="Y96" s="3">
        <f t="shared" si="33"/>
        <v>1</v>
      </c>
      <c r="Z96" s="3">
        <f t="shared" si="34"/>
        <v>1</v>
      </c>
      <c r="AA96" s="3" t="str">
        <f t="shared" si="19"/>
        <v/>
      </c>
      <c r="AB96" s="3" t="str">
        <f t="shared" si="20"/>
        <v/>
      </c>
      <c r="AC96" s="3" t="str">
        <f t="shared" si="21"/>
        <v/>
      </c>
      <c r="AD96" s="3" t="str">
        <f t="shared" si="22"/>
        <v>0</v>
      </c>
      <c r="AE96" s="3">
        <f t="shared" si="23"/>
        <v>0</v>
      </c>
      <c r="AF96" s="3">
        <f t="shared" si="24"/>
        <v>0</v>
      </c>
      <c r="AM96" s="3" t="str">
        <f t="shared" si="25"/>
        <v/>
      </c>
      <c r="AN96" s="3" t="str">
        <f t="shared" si="26"/>
        <v/>
      </c>
      <c r="AO96" s="3" t="str">
        <f t="shared" si="27"/>
        <v/>
      </c>
      <c r="AP96" s="3">
        <f t="shared" si="28"/>
        <v>0</v>
      </c>
      <c r="AQ96" s="3">
        <f t="shared" si="29"/>
        <v>0</v>
      </c>
      <c r="AR96" s="3">
        <f t="shared" si="35"/>
        <v>0</v>
      </c>
      <c r="AS96" s="3" t="e">
        <f t="shared" si="36"/>
        <v>#REF!</v>
      </c>
      <c r="AT96" s="3" t="str">
        <f t="shared" si="30"/>
        <v/>
      </c>
      <c r="AU96" s="3">
        <f t="shared" si="31"/>
        <v>0</v>
      </c>
      <c r="AV96" s="3">
        <f t="shared" si="32"/>
        <v>0</v>
      </c>
      <c r="AW96" s="3">
        <v>184</v>
      </c>
      <c r="AX96" s="3" t="e">
        <f>IF(AND(#REF!="N",OR(AW96=$AX$1,AW96=$AX$2,AW96=$AX$3,AW96=$AX$4,AW96=$AY$1,AW96=$AY$2,AW96=$AY$3,AW96=$AY$4)),0,1)</f>
        <v>#REF!</v>
      </c>
    </row>
    <row r="97" spans="2:50" x14ac:dyDescent="0.2">
      <c r="B97" s="4">
        <v>186</v>
      </c>
      <c r="C97" s="208">
        <v>4.4194173824159217E-8</v>
      </c>
      <c r="D97" s="208">
        <v>4.4194173824159217E-8</v>
      </c>
      <c r="E97" s="208">
        <v>4.4194173824159217E-8</v>
      </c>
      <c r="F97" s="209" t="s">
        <v>714</v>
      </c>
      <c r="G97" s="208">
        <v>1.2802789623413212E-15</v>
      </c>
      <c r="H97" s="210">
        <v>1.7499711778494477E-14</v>
      </c>
      <c r="I97" s="208">
        <v>7.7338530421147132E-24</v>
      </c>
      <c r="J97" s="208">
        <v>7.7338530421147132E-24</v>
      </c>
      <c r="K97" s="208">
        <v>7.7338530421147132E-24</v>
      </c>
      <c r="L97" s="208">
        <v>0</v>
      </c>
      <c r="M97" s="208">
        <v>0</v>
      </c>
      <c r="N97" s="208">
        <v>0</v>
      </c>
      <c r="O97" s="3">
        <v>360</v>
      </c>
      <c r="P97" s="3">
        <v>360</v>
      </c>
      <c r="Q97" s="3">
        <v>360</v>
      </c>
      <c r="S97" s="4">
        <v>0</v>
      </c>
      <c r="T97" s="4">
        <v>46.5</v>
      </c>
      <c r="U97" s="210"/>
      <c r="V97" s="210">
        <v>1.7499711778494477E-14</v>
      </c>
      <c r="W97" s="3">
        <v>0</v>
      </c>
      <c r="X97" s="3">
        <v>0</v>
      </c>
      <c r="Y97" s="3">
        <f t="shared" si="33"/>
        <v>1</v>
      </c>
      <c r="Z97" s="3">
        <f t="shared" si="34"/>
        <v>1</v>
      </c>
      <c r="AA97" s="3" t="str">
        <f t="shared" si="19"/>
        <v/>
      </c>
      <c r="AB97" s="3" t="str">
        <f t="shared" si="20"/>
        <v/>
      </c>
      <c r="AC97" s="3" t="str">
        <f t="shared" si="21"/>
        <v/>
      </c>
      <c r="AD97" s="3" t="str">
        <f t="shared" si="22"/>
        <v>0</v>
      </c>
      <c r="AE97" s="3">
        <f t="shared" si="23"/>
        <v>0</v>
      </c>
      <c r="AF97" s="3">
        <f t="shared" si="24"/>
        <v>0</v>
      </c>
      <c r="AM97" s="3" t="str">
        <f t="shared" si="25"/>
        <v/>
      </c>
      <c r="AN97" s="3" t="str">
        <f t="shared" si="26"/>
        <v/>
      </c>
      <c r="AO97" s="3" t="str">
        <f t="shared" si="27"/>
        <v/>
      </c>
      <c r="AP97" s="3">
        <f t="shared" si="28"/>
        <v>0</v>
      </c>
      <c r="AQ97" s="3">
        <f t="shared" si="29"/>
        <v>0</v>
      </c>
      <c r="AR97" s="3">
        <f t="shared" si="35"/>
        <v>0</v>
      </c>
      <c r="AS97" s="3" t="e">
        <f t="shared" si="36"/>
        <v>#REF!</v>
      </c>
      <c r="AT97" s="3" t="str">
        <f t="shared" si="30"/>
        <v/>
      </c>
      <c r="AU97" s="3">
        <f t="shared" si="31"/>
        <v>0</v>
      </c>
      <c r="AV97" s="3">
        <f t="shared" si="32"/>
        <v>0</v>
      </c>
      <c r="AW97" s="3">
        <v>186</v>
      </c>
      <c r="AX97" s="3" t="e">
        <f>IF(AND(#REF!="N",OR(AW97=$AX$1,AW97=$AX$2,AW97=$AX$3,AW97=$AX$4,AW97=$AY$1,AW97=$AY$2,AW97=$AY$3,AW97=$AY$4)),0,1)</f>
        <v>#REF!</v>
      </c>
    </row>
    <row r="98" spans="2:50" x14ac:dyDescent="0.2">
      <c r="B98" s="4">
        <v>188</v>
      </c>
      <c r="C98" s="208">
        <v>0.95766219694254573</v>
      </c>
      <c r="D98" s="208">
        <v>0.95766219694254984</v>
      </c>
      <c r="E98" s="208">
        <v>0.95766219694254906</v>
      </c>
      <c r="F98" s="209" t="s">
        <v>714</v>
      </c>
      <c r="G98" s="208">
        <v>0.1556595803802383</v>
      </c>
      <c r="H98" s="210">
        <v>2.1276595744680753</v>
      </c>
      <c r="I98" s="208">
        <v>2.037579142430939E-2</v>
      </c>
      <c r="J98" s="208">
        <v>2.0375791424309477E-2</v>
      </c>
      <c r="K98" s="208">
        <v>2.037579142430946E-2</v>
      </c>
      <c r="L98" s="208">
        <v>3.5291905991330058E-2</v>
      </c>
      <c r="M98" s="208">
        <v>3.5291905991330141E-2</v>
      </c>
      <c r="N98" s="208">
        <v>3.5291905991330315E-2</v>
      </c>
      <c r="O98" s="3">
        <v>120</v>
      </c>
      <c r="P98" s="3">
        <v>120</v>
      </c>
      <c r="Q98" s="3">
        <v>120</v>
      </c>
      <c r="R98" s="4" t="s">
        <v>172</v>
      </c>
      <c r="S98" s="4" t="s">
        <v>172</v>
      </c>
      <c r="T98" s="4">
        <v>47</v>
      </c>
      <c r="U98" s="210"/>
      <c r="V98" s="210">
        <v>2.1276595744680753</v>
      </c>
      <c r="W98" s="3">
        <v>2.1276595744680833</v>
      </c>
      <c r="X98" s="3">
        <v>0</v>
      </c>
      <c r="Y98" s="3">
        <f t="shared" si="33"/>
        <v>1</v>
      </c>
      <c r="Z98" s="3">
        <f t="shared" si="34"/>
        <v>1</v>
      </c>
      <c r="AA98" s="3">
        <f t="shared" si="19"/>
        <v>2.9999999999999827</v>
      </c>
      <c r="AB98" s="3">
        <f t="shared" si="20"/>
        <v>1.4999999999999913</v>
      </c>
      <c r="AC98" s="3">
        <f t="shared" si="21"/>
        <v>6.7904028972385292E-3</v>
      </c>
      <c r="AD98" s="3" t="str">
        <f t="shared" si="22"/>
        <v>0.0000122736106937676+0.00678423831097112i</v>
      </c>
      <c r="AE98" s="3">
        <f t="shared" si="23"/>
        <v>1.22736106937676E-5</v>
      </c>
      <c r="AF98" s="3">
        <f t="shared" si="24"/>
        <v>6.7842383109711201E-3</v>
      </c>
      <c r="AM98" s="3" t="str">
        <f t="shared" si="25"/>
        <v>-0.0101856043458577+0.0203712086917155i</v>
      </c>
      <c r="AN98" s="3" t="str">
        <f t="shared" si="26"/>
        <v>2.99999999999998+1.50679040289723i</v>
      </c>
      <c r="AO98" s="3" t="str">
        <f t="shared" si="27"/>
        <v>0.0000122736106937676+0.00678423831097112i</v>
      </c>
      <c r="AP98" s="3">
        <f t="shared" si="28"/>
        <v>1.22736106937676E-5</v>
      </c>
      <c r="AQ98" s="3">
        <f t="shared" si="29"/>
        <v>6.7842383109711201E-3</v>
      </c>
      <c r="AR98" s="3">
        <f t="shared" si="35"/>
        <v>-3.3421198442444608</v>
      </c>
      <c r="AS98" s="3" t="e">
        <f t="shared" si="36"/>
        <v>#REF!</v>
      </c>
      <c r="AT98" s="3" t="e">
        <f t="shared" si="30"/>
        <v>#REF!</v>
      </c>
      <c r="AU98" s="3" t="e">
        <f t="shared" si="31"/>
        <v>#REF!</v>
      </c>
      <c r="AV98" s="3" t="e">
        <f t="shared" si="32"/>
        <v>#REF!</v>
      </c>
      <c r="AW98" s="3">
        <v>188</v>
      </c>
      <c r="AX98" s="3" t="e">
        <f>IF(AND(#REF!="N",OR(AW98=$AX$1,AW98=$AX$2,AW98=$AX$3,AW98=$AX$4,AW98=$AY$1,AW98=$AY$2,AW98=$AY$3,AW98=$AY$4)),0,1)</f>
        <v>#REF!</v>
      </c>
    </row>
    <row r="99" spans="2:50" x14ac:dyDescent="0.2">
      <c r="B99" s="4">
        <v>190</v>
      </c>
      <c r="C99" s="208">
        <v>4.4194173824159217E-8</v>
      </c>
      <c r="D99" s="208">
        <v>4.4194173824159217E-8</v>
      </c>
      <c r="E99" s="208">
        <v>4.4194173824159217E-8</v>
      </c>
      <c r="F99" s="209" t="s">
        <v>714</v>
      </c>
      <c r="G99" s="208">
        <v>8.3462521779601965E-16</v>
      </c>
      <c r="H99" s="210">
        <v>1.1408217415197719E-14</v>
      </c>
      <c r="I99" s="208">
        <v>5.0417674347104838E-24</v>
      </c>
      <c r="J99" s="208">
        <v>5.0417674347104838E-24</v>
      </c>
      <c r="K99" s="208">
        <v>5.0417674347104838E-24</v>
      </c>
      <c r="L99" s="208">
        <v>0</v>
      </c>
      <c r="M99" s="208">
        <v>0</v>
      </c>
      <c r="N99" s="208">
        <v>0</v>
      </c>
      <c r="O99" s="3">
        <v>360</v>
      </c>
      <c r="P99" s="3">
        <v>360</v>
      </c>
      <c r="Q99" s="3">
        <v>360</v>
      </c>
      <c r="S99" s="4">
        <v>0</v>
      </c>
      <c r="T99" s="4">
        <v>47.5</v>
      </c>
      <c r="U99" s="210"/>
      <c r="V99" s="210">
        <v>1.1408217415197719E-14</v>
      </c>
      <c r="W99" s="3">
        <v>0</v>
      </c>
      <c r="X99" s="3">
        <v>0</v>
      </c>
      <c r="Y99" s="3">
        <f t="shared" si="33"/>
        <v>1</v>
      </c>
      <c r="Z99" s="3">
        <f t="shared" si="34"/>
        <v>1</v>
      </c>
      <c r="AA99" s="3" t="str">
        <f t="shared" si="19"/>
        <v/>
      </c>
      <c r="AB99" s="3" t="str">
        <f t="shared" si="20"/>
        <v/>
      </c>
      <c r="AC99" s="3" t="str">
        <f t="shared" si="21"/>
        <v/>
      </c>
      <c r="AD99" s="3" t="str">
        <f t="shared" si="22"/>
        <v>0</v>
      </c>
      <c r="AE99" s="3">
        <f t="shared" si="23"/>
        <v>0</v>
      </c>
      <c r="AF99" s="3">
        <f t="shared" si="24"/>
        <v>0</v>
      </c>
      <c r="AM99" s="3" t="str">
        <f t="shared" si="25"/>
        <v/>
      </c>
      <c r="AN99" s="3" t="str">
        <f t="shared" si="26"/>
        <v/>
      </c>
      <c r="AO99" s="3" t="str">
        <f t="shared" si="27"/>
        <v/>
      </c>
      <c r="AP99" s="3">
        <f t="shared" si="28"/>
        <v>0</v>
      </c>
      <c r="AQ99" s="3">
        <f t="shared" si="29"/>
        <v>0</v>
      </c>
      <c r="AR99" s="3">
        <f t="shared" si="35"/>
        <v>0</v>
      </c>
      <c r="AS99" s="3" t="e">
        <f t="shared" si="36"/>
        <v>#REF!</v>
      </c>
      <c r="AT99" s="3" t="str">
        <f t="shared" si="30"/>
        <v/>
      </c>
      <c r="AU99" s="3">
        <f t="shared" si="31"/>
        <v>0</v>
      </c>
      <c r="AV99" s="3">
        <f t="shared" si="32"/>
        <v>0</v>
      </c>
      <c r="AW99" s="3">
        <v>190</v>
      </c>
      <c r="AX99" s="3" t="e">
        <f>IF(AND(#REF!="N",OR(AW99=$AX$1,AW99=$AX$2,AW99=$AX$3,AW99=$AX$4,AW99=$AY$1,AW99=$AY$2,AW99=$AY$3,AW99=$AY$4)),0,1)</f>
        <v>#REF!</v>
      </c>
    </row>
    <row r="100" spans="2:50" x14ac:dyDescent="0.2">
      <c r="B100" s="4">
        <v>192</v>
      </c>
      <c r="C100" s="208">
        <v>4.4194173824159217E-8</v>
      </c>
      <c r="D100" s="208">
        <v>4.4194173824159217E-8</v>
      </c>
      <c r="E100" s="208">
        <v>4.4194173824159217E-8</v>
      </c>
      <c r="F100" s="209" t="s">
        <v>714</v>
      </c>
      <c r="G100" s="208">
        <v>4.5341853543325409E-16</v>
      </c>
      <c r="H100" s="210">
        <v>6.1976287344426823E-15</v>
      </c>
      <c r="I100" s="208">
        <v>2.7389908158756378E-24</v>
      </c>
      <c r="J100" s="208">
        <v>2.7389908158756378E-24</v>
      </c>
      <c r="K100" s="208">
        <v>2.7389908158756378E-24</v>
      </c>
      <c r="L100" s="208">
        <v>0</v>
      </c>
      <c r="M100" s="208">
        <v>0</v>
      </c>
      <c r="N100" s="208">
        <v>0</v>
      </c>
      <c r="O100" s="3">
        <v>360</v>
      </c>
      <c r="P100" s="3">
        <v>360</v>
      </c>
      <c r="Q100" s="3">
        <v>360</v>
      </c>
      <c r="S100" s="4">
        <v>0</v>
      </c>
      <c r="T100" s="4">
        <v>48</v>
      </c>
      <c r="U100" s="210"/>
      <c r="V100" s="210">
        <v>6.1976287344426823E-15</v>
      </c>
      <c r="W100" s="3">
        <v>0</v>
      </c>
      <c r="X100" s="3">
        <v>0</v>
      </c>
      <c r="Y100" s="3">
        <f t="shared" si="33"/>
        <v>1</v>
      </c>
      <c r="Z100" s="3">
        <f t="shared" si="34"/>
        <v>1</v>
      </c>
      <c r="AA100" s="3" t="str">
        <f t="shared" si="19"/>
        <v/>
      </c>
      <c r="AB100" s="3" t="str">
        <f t="shared" si="20"/>
        <v/>
      </c>
      <c r="AC100" s="3" t="str">
        <f t="shared" si="21"/>
        <v/>
      </c>
      <c r="AD100" s="3" t="str">
        <f t="shared" si="22"/>
        <v>0</v>
      </c>
      <c r="AE100" s="3">
        <f t="shared" si="23"/>
        <v>0</v>
      </c>
      <c r="AF100" s="3">
        <f t="shared" si="24"/>
        <v>0</v>
      </c>
      <c r="AM100" s="3" t="str">
        <f t="shared" si="25"/>
        <v/>
      </c>
      <c r="AN100" s="3" t="str">
        <f t="shared" si="26"/>
        <v/>
      </c>
      <c r="AO100" s="3" t="str">
        <f t="shared" si="27"/>
        <v/>
      </c>
      <c r="AP100" s="3">
        <f t="shared" si="28"/>
        <v>0</v>
      </c>
      <c r="AQ100" s="3">
        <f t="shared" si="29"/>
        <v>0</v>
      </c>
      <c r="AR100" s="3">
        <f t="shared" si="35"/>
        <v>0</v>
      </c>
      <c r="AS100" s="3" t="e">
        <f t="shared" si="36"/>
        <v>#REF!</v>
      </c>
      <c r="AT100" s="3" t="str">
        <f t="shared" si="30"/>
        <v/>
      </c>
      <c r="AU100" s="3">
        <f t="shared" si="31"/>
        <v>0</v>
      </c>
      <c r="AV100" s="3">
        <f t="shared" si="32"/>
        <v>0</v>
      </c>
      <c r="AW100" s="3">
        <v>192</v>
      </c>
      <c r="AX100" s="3" t="e">
        <f>IF(AND(#REF!="N",OR(AW100=$AX$1,AW100=$AX$2,AW100=$AX$3,AW100=$AX$4,AW100=$AY$1,AW100=$AY$2,AW100=$AY$3,AW100=$AY$4)),0,1)</f>
        <v>#REF!</v>
      </c>
    </row>
    <row r="101" spans="2:50" x14ac:dyDescent="0.2">
      <c r="B101" s="4">
        <v>194</v>
      </c>
      <c r="C101" s="208">
        <v>4.4194173824159217E-8</v>
      </c>
      <c r="D101" s="208">
        <v>4.4194173824159217E-8</v>
      </c>
      <c r="E101" s="208">
        <v>4.4194173824159217E-8</v>
      </c>
      <c r="F101" s="209" t="s">
        <v>714</v>
      </c>
      <c r="G101" s="208">
        <v>1.5022668046234852E-15</v>
      </c>
      <c r="H101" s="210">
        <v>2.0533990535339425E-14</v>
      </c>
      <c r="I101" s="208">
        <v>9.0748274702243073E-24</v>
      </c>
      <c r="J101" s="208">
        <v>9.0748274702243073E-24</v>
      </c>
      <c r="K101" s="208">
        <v>9.0748274702243073E-24</v>
      </c>
      <c r="L101" s="208">
        <v>0</v>
      </c>
      <c r="M101" s="208">
        <v>0</v>
      </c>
      <c r="N101" s="208">
        <v>0</v>
      </c>
      <c r="O101" s="3">
        <v>360</v>
      </c>
      <c r="P101" s="3">
        <v>360</v>
      </c>
      <c r="Q101" s="3">
        <v>360</v>
      </c>
      <c r="S101" s="4">
        <v>0</v>
      </c>
      <c r="T101" s="4">
        <v>48.5</v>
      </c>
      <c r="U101" s="210"/>
      <c r="V101" s="210">
        <v>2.0533990535339425E-14</v>
      </c>
      <c r="W101" s="3">
        <v>0</v>
      </c>
      <c r="X101" s="3">
        <v>0</v>
      </c>
      <c r="Y101" s="3">
        <f t="shared" si="33"/>
        <v>1</v>
      </c>
      <c r="Z101" s="3">
        <f t="shared" si="34"/>
        <v>1</v>
      </c>
      <c r="AA101" s="3" t="str">
        <f t="shared" si="19"/>
        <v/>
      </c>
      <c r="AB101" s="3" t="str">
        <f t="shared" si="20"/>
        <v/>
      </c>
      <c r="AC101" s="3" t="str">
        <f t="shared" si="21"/>
        <v/>
      </c>
      <c r="AD101" s="3" t="str">
        <f t="shared" si="22"/>
        <v>0</v>
      </c>
      <c r="AE101" s="3">
        <f t="shared" si="23"/>
        <v>0</v>
      </c>
      <c r="AF101" s="3">
        <f t="shared" si="24"/>
        <v>0</v>
      </c>
      <c r="AM101" s="3" t="str">
        <f t="shared" si="25"/>
        <v/>
      </c>
      <c r="AN101" s="3" t="str">
        <f t="shared" si="26"/>
        <v/>
      </c>
      <c r="AO101" s="3" t="str">
        <f t="shared" si="27"/>
        <v/>
      </c>
      <c r="AP101" s="3">
        <f t="shared" si="28"/>
        <v>0</v>
      </c>
      <c r="AQ101" s="3">
        <f t="shared" si="29"/>
        <v>0</v>
      </c>
      <c r="AR101" s="3">
        <f t="shared" si="35"/>
        <v>0</v>
      </c>
      <c r="AS101" s="3" t="e">
        <f t="shared" si="36"/>
        <v>#REF!</v>
      </c>
      <c r="AT101" s="3" t="str">
        <f t="shared" si="30"/>
        <v/>
      </c>
      <c r="AU101" s="3">
        <f t="shared" si="31"/>
        <v>0</v>
      </c>
      <c r="AV101" s="3">
        <f t="shared" si="32"/>
        <v>0</v>
      </c>
      <c r="AW101" s="3">
        <v>194</v>
      </c>
      <c r="AX101" s="3" t="e">
        <f>IF(AND(#REF!="N",OR(AW101=$AX$1,AW101=$AX$2,AW101=$AX$3,AW101=$AX$4,AW101=$AY$1,AW101=$AY$2,AW101=$AY$3,AW101=$AY$4)),0,1)</f>
        <v>#REF!</v>
      </c>
    </row>
    <row r="102" spans="2:50" x14ac:dyDescent="0.2">
      <c r="B102" s="4">
        <v>196</v>
      </c>
      <c r="C102" s="208">
        <v>0.95766219694254784</v>
      </c>
      <c r="D102" s="208">
        <v>0.95766219694254917</v>
      </c>
      <c r="E102" s="208">
        <v>0.95766219694255117</v>
      </c>
      <c r="F102" s="209" t="s">
        <v>714</v>
      </c>
      <c r="G102" s="208">
        <v>0.14930612811982116</v>
      </c>
      <c r="H102" s="210">
        <v>2.0408163265306132</v>
      </c>
      <c r="I102" s="208">
        <v>1.9544126468215271E-2</v>
      </c>
      <c r="J102" s="208">
        <v>1.9544126468215298E-2</v>
      </c>
      <c r="K102" s="208">
        <v>1.954412646821534E-2</v>
      </c>
      <c r="L102" s="208">
        <v>3.385142003250062E-2</v>
      </c>
      <c r="M102" s="208">
        <v>3.3851420032500523E-2</v>
      </c>
      <c r="N102" s="208">
        <v>3.3851420032500606E-2</v>
      </c>
      <c r="O102" s="3">
        <v>240</v>
      </c>
      <c r="P102" s="3">
        <v>240</v>
      </c>
      <c r="Q102" s="3">
        <v>240</v>
      </c>
      <c r="R102" s="4" t="s">
        <v>168</v>
      </c>
      <c r="S102" s="4" t="s">
        <v>168</v>
      </c>
      <c r="T102" s="4">
        <v>49</v>
      </c>
      <c r="U102" s="210"/>
      <c r="V102" s="210">
        <v>2.0408163265306132</v>
      </c>
      <c r="W102" s="3">
        <v>0</v>
      </c>
      <c r="X102" s="3">
        <v>2.0408163265306145</v>
      </c>
      <c r="Y102" s="3">
        <f t="shared" si="33"/>
        <v>1</v>
      </c>
      <c r="Z102" s="3">
        <f t="shared" si="34"/>
        <v>1</v>
      </c>
      <c r="AA102" s="3">
        <f t="shared" si="19"/>
        <v>2.999999999999996</v>
      </c>
      <c r="AB102" s="3">
        <f t="shared" si="20"/>
        <v>1.499999999999998</v>
      </c>
      <c r="AC102" s="3">
        <f t="shared" si="21"/>
        <v>6.247396917950847E-3</v>
      </c>
      <c r="AD102" s="3" t="str">
        <f t="shared" si="22"/>
        <v>0.0000103906449559955+0.00624217995731178i</v>
      </c>
      <c r="AE102" s="3">
        <f t="shared" si="23"/>
        <v>1.03906449559955E-5</v>
      </c>
      <c r="AF102" s="3">
        <f t="shared" si="24"/>
        <v>6.2421799573117798E-3</v>
      </c>
      <c r="AM102" s="3" t="str">
        <f t="shared" si="25"/>
        <v>-0.00937109537692628+0.0187421907538526i</v>
      </c>
      <c r="AN102" s="3" t="str">
        <f t="shared" si="26"/>
        <v>3+1.50624739691795i</v>
      </c>
      <c r="AO102" s="3" t="str">
        <f t="shared" si="27"/>
        <v>0.0000103906449559955+0.00624217995731178i</v>
      </c>
      <c r="AP102" s="3">
        <f t="shared" si="28"/>
        <v>1.03906449559955E-5</v>
      </c>
      <c r="AQ102" s="3">
        <f t="shared" si="29"/>
        <v>6.2421799573117798E-3</v>
      </c>
      <c r="AR102" s="3">
        <f t="shared" si="35"/>
        <v>3.2057067893773401</v>
      </c>
      <c r="AS102" s="3" t="e">
        <f t="shared" si="36"/>
        <v>#REF!</v>
      </c>
      <c r="AT102" s="3" t="e">
        <f t="shared" si="30"/>
        <v>#REF!</v>
      </c>
      <c r="AU102" s="3" t="e">
        <f t="shared" si="31"/>
        <v>#REF!</v>
      </c>
      <c r="AV102" s="3" t="e">
        <f t="shared" si="32"/>
        <v>#REF!</v>
      </c>
      <c r="AW102" s="3">
        <v>196</v>
      </c>
      <c r="AX102" s="3" t="e">
        <f>IF(AND(#REF!="N",OR(AW102=$AX$1,AW102=$AX$2,AW102=$AX$3,AW102=$AX$4,AW102=$AY$1,AW102=$AY$2,AW102=$AY$3,AW102=$AY$4)),0,1)</f>
        <v>#REF!</v>
      </c>
    </row>
    <row r="103" spans="2:50" x14ac:dyDescent="0.2">
      <c r="B103" s="4">
        <v>198</v>
      </c>
      <c r="C103" s="208">
        <v>4.4194173824159217E-8</v>
      </c>
      <c r="D103" s="208">
        <v>4.4194173824159217E-8</v>
      </c>
      <c r="E103" s="208">
        <v>4.4194173824159217E-8</v>
      </c>
      <c r="F103" s="209" t="s">
        <v>714</v>
      </c>
      <c r="G103" s="208">
        <v>4.4047165715666972E-16</v>
      </c>
      <c r="H103" s="210">
        <v>6.0206621162791355E-15</v>
      </c>
      <c r="I103" s="208">
        <v>2.6607818810337041E-24</v>
      </c>
      <c r="J103" s="208">
        <v>2.6607818810337041E-24</v>
      </c>
      <c r="K103" s="208">
        <v>2.6607818810337041E-24</v>
      </c>
      <c r="L103" s="208">
        <v>0</v>
      </c>
      <c r="M103" s="208">
        <v>0</v>
      </c>
      <c r="N103" s="208">
        <v>0</v>
      </c>
      <c r="O103" s="3">
        <v>360</v>
      </c>
      <c r="P103" s="3">
        <v>360</v>
      </c>
      <c r="Q103" s="3">
        <v>360</v>
      </c>
      <c r="S103" s="4">
        <v>0</v>
      </c>
      <c r="T103" s="4">
        <v>49.5</v>
      </c>
      <c r="U103" s="210"/>
      <c r="V103" s="210">
        <v>6.0206621162791363E-15</v>
      </c>
      <c r="W103" s="3">
        <v>0</v>
      </c>
      <c r="X103" s="3">
        <v>0</v>
      </c>
      <c r="Y103" s="3">
        <f t="shared" si="33"/>
        <v>1</v>
      </c>
      <c r="Z103" s="3">
        <f t="shared" si="34"/>
        <v>1</v>
      </c>
      <c r="AA103" s="3" t="str">
        <f t="shared" si="19"/>
        <v/>
      </c>
      <c r="AB103" s="3" t="str">
        <f t="shared" si="20"/>
        <v/>
      </c>
      <c r="AC103" s="3" t="str">
        <f t="shared" si="21"/>
        <v/>
      </c>
      <c r="AD103" s="3" t="str">
        <f t="shared" si="22"/>
        <v>0</v>
      </c>
      <c r="AE103" s="3">
        <f t="shared" si="23"/>
        <v>0</v>
      </c>
      <c r="AF103" s="3">
        <f t="shared" si="24"/>
        <v>0</v>
      </c>
      <c r="AM103" s="3" t="str">
        <f t="shared" si="25"/>
        <v/>
      </c>
      <c r="AN103" s="3" t="str">
        <f t="shared" si="26"/>
        <v/>
      </c>
      <c r="AO103" s="3" t="str">
        <f t="shared" si="27"/>
        <v/>
      </c>
      <c r="AP103" s="3">
        <f t="shared" si="28"/>
        <v>0</v>
      </c>
      <c r="AQ103" s="3">
        <f t="shared" si="29"/>
        <v>0</v>
      </c>
      <c r="AR103" s="3">
        <f t="shared" si="35"/>
        <v>0</v>
      </c>
      <c r="AS103" s="3" t="e">
        <f t="shared" si="36"/>
        <v>#REF!</v>
      </c>
      <c r="AT103" s="3" t="str">
        <f t="shared" si="30"/>
        <v/>
      </c>
      <c r="AU103" s="3">
        <f t="shared" si="31"/>
        <v>0</v>
      </c>
      <c r="AV103" s="3">
        <f t="shared" si="32"/>
        <v>0</v>
      </c>
      <c r="AW103" s="3">
        <v>198</v>
      </c>
      <c r="AX103" s="3" t="e">
        <f>IF(AND(#REF!="N",OR(AW103=$AX$1,AW103=$AX$2,AW103=$AX$3,AW103=$AX$4,AW103=$AY$1,AW103=$AY$2,AW103=$AY$3,AW103=$AY$4)),0,1)</f>
        <v>#REF!</v>
      </c>
    </row>
    <row r="104" spans="2:50" x14ac:dyDescent="0.2">
      <c r="B104" s="4">
        <v>200</v>
      </c>
      <c r="C104" s="208">
        <v>4.4194173824159217E-8</v>
      </c>
      <c r="D104" s="208">
        <v>4.4194173824159217E-8</v>
      </c>
      <c r="E104" s="208">
        <v>4.4194173824159217E-8</v>
      </c>
      <c r="F104" s="209" t="s">
        <v>714</v>
      </c>
      <c r="G104" s="208">
        <v>5.1330922734749711E-16</v>
      </c>
      <c r="H104" s="210">
        <v>7.0162548913524195E-15</v>
      </c>
      <c r="I104" s="208">
        <v>3.1007758826303619E-24</v>
      </c>
      <c r="J104" s="208">
        <v>3.1007758826303619E-24</v>
      </c>
      <c r="K104" s="208">
        <v>3.1007758826303619E-24</v>
      </c>
      <c r="L104" s="208">
        <v>0</v>
      </c>
      <c r="M104" s="208">
        <v>0</v>
      </c>
      <c r="N104" s="208">
        <v>0</v>
      </c>
      <c r="O104" s="3">
        <v>360</v>
      </c>
      <c r="P104" s="3">
        <v>360</v>
      </c>
      <c r="Q104" s="3">
        <v>360</v>
      </c>
      <c r="S104" s="4">
        <v>0</v>
      </c>
      <c r="T104" s="4">
        <v>50</v>
      </c>
      <c r="U104" s="210"/>
      <c r="V104" s="210">
        <v>7.0162548913524203E-15</v>
      </c>
      <c r="W104" s="3">
        <v>0</v>
      </c>
      <c r="X104" s="3">
        <v>0</v>
      </c>
      <c r="Y104" s="3">
        <f t="shared" si="33"/>
        <v>1</v>
      </c>
      <c r="Z104" s="3">
        <f t="shared" si="34"/>
        <v>1</v>
      </c>
      <c r="AA104" s="3" t="str">
        <f t="shared" si="19"/>
        <v/>
      </c>
      <c r="AB104" s="3" t="str">
        <f t="shared" si="20"/>
        <v/>
      </c>
      <c r="AC104" s="3" t="str">
        <f t="shared" si="21"/>
        <v/>
      </c>
      <c r="AD104" s="3" t="str">
        <f t="shared" si="22"/>
        <v>0</v>
      </c>
      <c r="AE104" s="3">
        <f t="shared" si="23"/>
        <v>0</v>
      </c>
      <c r="AF104" s="3">
        <f t="shared" si="24"/>
        <v>0</v>
      </c>
      <c r="AM104" s="3" t="str">
        <f t="shared" si="25"/>
        <v/>
      </c>
      <c r="AN104" s="3" t="str">
        <f t="shared" si="26"/>
        <v/>
      </c>
      <c r="AO104" s="3" t="str">
        <f t="shared" si="27"/>
        <v/>
      </c>
      <c r="AP104" s="3">
        <f t="shared" si="28"/>
        <v>0</v>
      </c>
      <c r="AQ104" s="3">
        <f t="shared" si="29"/>
        <v>0</v>
      </c>
      <c r="AR104" s="3">
        <f t="shared" si="35"/>
        <v>0</v>
      </c>
      <c r="AS104" s="3" t="e">
        <f t="shared" si="36"/>
        <v>#REF!</v>
      </c>
      <c r="AT104" s="3" t="str">
        <f t="shared" si="30"/>
        <v/>
      </c>
      <c r="AU104" s="3">
        <f t="shared" si="31"/>
        <v>0</v>
      </c>
      <c r="AV104" s="3">
        <f t="shared" si="32"/>
        <v>0</v>
      </c>
      <c r="AW104" s="3">
        <v>200</v>
      </c>
      <c r="AX104" s="3" t="e">
        <f>IF(AND(#REF!="N",OR(AW104=$AX$1,AW104=$AX$2,AW104=$AX$3,AW104=$AX$4,AW104=$AY$1,AW104=$AY$2,AW104=$AY$3,AW104=$AY$4)),0,1)</f>
        <v>#REF!</v>
      </c>
    </row>
    <row r="105" spans="2:50" x14ac:dyDescent="0.2">
      <c r="B105" s="4">
        <v>202</v>
      </c>
      <c r="C105" s="208">
        <v>4.4194173824159217E-8</v>
      </c>
      <c r="D105" s="208">
        <v>4.4194173824159217E-8</v>
      </c>
      <c r="E105" s="208">
        <v>4.4194173824159217E-8</v>
      </c>
      <c r="F105" s="209" t="s">
        <v>714</v>
      </c>
      <c r="G105" s="208">
        <v>2.0504025285384396E-16</v>
      </c>
      <c r="H105" s="210">
        <v>2.8026277346384323E-15</v>
      </c>
      <c r="I105" s="208">
        <v>1.2385981726902045E-24</v>
      </c>
      <c r="J105" s="208">
        <v>1.2385981726902045E-24</v>
      </c>
      <c r="K105" s="208">
        <v>1.2385981726902045E-24</v>
      </c>
      <c r="L105" s="208">
        <v>0</v>
      </c>
      <c r="M105" s="208">
        <v>0</v>
      </c>
      <c r="N105" s="208">
        <v>0</v>
      </c>
      <c r="O105" s="3">
        <v>360</v>
      </c>
      <c r="P105" s="3">
        <v>360</v>
      </c>
      <c r="Q105" s="3">
        <v>360</v>
      </c>
      <c r="S105" s="4">
        <v>0</v>
      </c>
      <c r="T105" s="4">
        <v>50.5</v>
      </c>
      <c r="U105" s="210"/>
      <c r="V105" s="210">
        <v>2.8026277346384319E-15</v>
      </c>
      <c r="W105" s="3">
        <v>0</v>
      </c>
      <c r="X105" s="3">
        <v>0</v>
      </c>
      <c r="Y105" s="3">
        <f t="shared" si="33"/>
        <v>1</v>
      </c>
      <c r="Z105" s="3">
        <f t="shared" si="34"/>
        <v>1</v>
      </c>
      <c r="AA105" s="3" t="str">
        <f t="shared" si="19"/>
        <v/>
      </c>
      <c r="AB105" s="3" t="str">
        <f t="shared" si="20"/>
        <v/>
      </c>
      <c r="AC105" s="3" t="str">
        <f t="shared" si="21"/>
        <v/>
      </c>
      <c r="AD105" s="3" t="str">
        <f t="shared" si="22"/>
        <v>0</v>
      </c>
      <c r="AE105" s="3">
        <f t="shared" si="23"/>
        <v>0</v>
      </c>
      <c r="AF105" s="3">
        <f t="shared" si="24"/>
        <v>0</v>
      </c>
      <c r="AM105" s="3" t="str">
        <f t="shared" si="25"/>
        <v/>
      </c>
      <c r="AN105" s="3" t="str">
        <f t="shared" si="26"/>
        <v/>
      </c>
      <c r="AO105" s="3" t="str">
        <f t="shared" si="27"/>
        <v/>
      </c>
      <c r="AP105" s="3">
        <f t="shared" si="28"/>
        <v>0</v>
      </c>
      <c r="AQ105" s="3">
        <f t="shared" si="29"/>
        <v>0</v>
      </c>
      <c r="AR105" s="3">
        <f t="shared" si="35"/>
        <v>0</v>
      </c>
      <c r="AS105" s="3" t="e">
        <f t="shared" si="36"/>
        <v>#REF!</v>
      </c>
      <c r="AT105" s="3" t="str">
        <f t="shared" si="30"/>
        <v/>
      </c>
      <c r="AU105" s="3">
        <f t="shared" si="31"/>
        <v>0</v>
      </c>
      <c r="AV105" s="3">
        <f t="shared" si="32"/>
        <v>0</v>
      </c>
      <c r="AW105" s="3">
        <v>202</v>
      </c>
      <c r="AX105" s="3" t="e">
        <f>IF(AND(#REF!="N",OR(AW105=$AX$1,AW105=$AX$2,AW105=$AX$3,AW105=$AX$4,AW105=$AY$1,AW105=$AY$2,AW105=$AY$3,AW105=$AY$4)),0,1)</f>
        <v>#REF!</v>
      </c>
    </row>
    <row r="106" spans="2:50" x14ac:dyDescent="0.2">
      <c r="B106" s="4">
        <v>204</v>
      </c>
      <c r="C106" s="208">
        <v>0.6532814824381894</v>
      </c>
      <c r="D106" s="208">
        <v>0.65328148243818851</v>
      </c>
      <c r="E106" s="208">
        <v>0.65328148243818673</v>
      </c>
      <c r="F106" s="209" t="s">
        <v>714</v>
      </c>
      <c r="G106" s="208">
        <v>2.3276948706753115E-16</v>
      </c>
      <c r="H106" s="210">
        <v>3.1816495110257298E-15</v>
      </c>
      <c r="I106" s="208">
        <v>2.078512709161629E-17</v>
      </c>
      <c r="J106" s="208">
        <v>2.0785127091616262E-17</v>
      </c>
      <c r="K106" s="208">
        <v>2.0785127091616207E-17</v>
      </c>
      <c r="L106" s="208">
        <v>8.3385427274989803E-32</v>
      </c>
      <c r="M106" s="208">
        <v>7.5496453819979645E-32</v>
      </c>
      <c r="N106" s="208">
        <v>9.5724724468959456E-32</v>
      </c>
      <c r="O106" s="3">
        <v>360</v>
      </c>
      <c r="P106" s="3">
        <v>360</v>
      </c>
      <c r="Q106" s="3">
        <v>0</v>
      </c>
      <c r="S106" s="4">
        <v>0</v>
      </c>
      <c r="T106" s="4">
        <v>51</v>
      </c>
      <c r="U106" s="210"/>
      <c r="V106" s="210">
        <v>3.1816495110257294E-15</v>
      </c>
      <c r="W106" s="3">
        <v>0</v>
      </c>
      <c r="X106" s="3">
        <v>0</v>
      </c>
      <c r="Y106" s="3">
        <f t="shared" si="33"/>
        <v>1</v>
      </c>
      <c r="Z106" s="3">
        <f t="shared" si="34"/>
        <v>1</v>
      </c>
      <c r="AA106" s="3" t="str">
        <f t="shared" si="19"/>
        <v/>
      </c>
      <c r="AB106" s="3" t="str">
        <f t="shared" si="20"/>
        <v/>
      </c>
      <c r="AC106" s="3" t="str">
        <f t="shared" si="21"/>
        <v/>
      </c>
      <c r="AD106" s="3" t="str">
        <f t="shared" si="22"/>
        <v>0</v>
      </c>
      <c r="AE106" s="3">
        <f t="shared" si="23"/>
        <v>0</v>
      </c>
      <c r="AF106" s="3">
        <f t="shared" si="24"/>
        <v>0</v>
      </c>
      <c r="AM106" s="3" t="str">
        <f t="shared" si="25"/>
        <v/>
      </c>
      <c r="AN106" s="3" t="str">
        <f t="shared" si="26"/>
        <v/>
      </c>
      <c r="AO106" s="3" t="str">
        <f t="shared" si="27"/>
        <v/>
      </c>
      <c r="AP106" s="3">
        <f t="shared" si="28"/>
        <v>0</v>
      </c>
      <c r="AQ106" s="3">
        <f t="shared" si="29"/>
        <v>0</v>
      </c>
      <c r="AR106" s="3">
        <f t="shared" si="35"/>
        <v>0</v>
      </c>
      <c r="AS106" s="3" t="e">
        <f t="shared" si="36"/>
        <v>#REF!</v>
      </c>
      <c r="AT106" s="3" t="str">
        <f t="shared" si="30"/>
        <v/>
      </c>
      <c r="AU106" s="3">
        <f t="shared" si="31"/>
        <v>0</v>
      </c>
      <c r="AV106" s="3">
        <f t="shared" si="32"/>
        <v>0</v>
      </c>
      <c r="AW106" s="3">
        <v>204</v>
      </c>
      <c r="AX106" s="3" t="e">
        <f>IF(AND(#REF!="N",OR(AW106=$AX$1,AW106=$AX$2,AW106=$AX$3,AW106=$AX$4,AW106=$AY$1,AW106=$AY$2,AW106=$AY$3,AW106=$AY$4)),0,1)</f>
        <v>#REF!</v>
      </c>
    </row>
    <row r="107" spans="2:50" x14ac:dyDescent="0.2">
      <c r="B107" s="4">
        <v>206</v>
      </c>
      <c r="C107" s="208">
        <v>4.4194173824159217E-8</v>
      </c>
      <c r="D107" s="208">
        <v>4.4194173824159217E-8</v>
      </c>
      <c r="E107" s="208">
        <v>4.4194173824159217E-8</v>
      </c>
      <c r="F107" s="209" t="s">
        <v>714</v>
      </c>
      <c r="G107" s="208">
        <v>5.6173169866914654E-16</v>
      </c>
      <c r="H107" s="210">
        <v>7.6781257153341149E-15</v>
      </c>
      <c r="I107" s="208">
        <v>3.3932842250722266E-24</v>
      </c>
      <c r="J107" s="208">
        <v>3.3932842250722266E-24</v>
      </c>
      <c r="K107" s="208">
        <v>3.3932842250722266E-24</v>
      </c>
      <c r="L107" s="208">
        <v>0</v>
      </c>
      <c r="M107" s="208">
        <v>0</v>
      </c>
      <c r="N107" s="208">
        <v>0</v>
      </c>
      <c r="O107" s="3">
        <v>360</v>
      </c>
      <c r="P107" s="3">
        <v>360</v>
      </c>
      <c r="Q107" s="3">
        <v>360</v>
      </c>
      <c r="S107" s="4">
        <v>0</v>
      </c>
      <c r="T107" s="4">
        <v>51.5</v>
      </c>
      <c r="U107" s="210"/>
      <c r="V107" s="210">
        <v>7.6781257153341149E-15</v>
      </c>
      <c r="W107" s="3">
        <v>0</v>
      </c>
      <c r="X107" s="3">
        <v>0</v>
      </c>
      <c r="Y107" s="3">
        <f t="shared" si="33"/>
        <v>1</v>
      </c>
      <c r="Z107" s="3">
        <f t="shared" si="34"/>
        <v>1</v>
      </c>
      <c r="AA107" s="3" t="str">
        <f t="shared" si="19"/>
        <v/>
      </c>
      <c r="AB107" s="3" t="str">
        <f t="shared" si="20"/>
        <v/>
      </c>
      <c r="AC107" s="3" t="str">
        <f t="shared" si="21"/>
        <v/>
      </c>
      <c r="AD107" s="3" t="str">
        <f t="shared" si="22"/>
        <v>0</v>
      </c>
      <c r="AE107" s="3">
        <f t="shared" si="23"/>
        <v>0</v>
      </c>
      <c r="AF107" s="3">
        <f t="shared" si="24"/>
        <v>0</v>
      </c>
      <c r="AM107" s="3" t="str">
        <f t="shared" si="25"/>
        <v/>
      </c>
      <c r="AN107" s="3" t="str">
        <f t="shared" si="26"/>
        <v/>
      </c>
      <c r="AO107" s="3" t="str">
        <f t="shared" si="27"/>
        <v/>
      </c>
      <c r="AP107" s="3">
        <f t="shared" si="28"/>
        <v>0</v>
      </c>
      <c r="AQ107" s="3">
        <f t="shared" si="29"/>
        <v>0</v>
      </c>
      <c r="AR107" s="3">
        <f t="shared" si="35"/>
        <v>0</v>
      </c>
      <c r="AS107" s="3" t="e">
        <f t="shared" si="36"/>
        <v>#REF!</v>
      </c>
      <c r="AT107" s="3" t="str">
        <f t="shared" si="30"/>
        <v/>
      </c>
      <c r="AU107" s="3">
        <f t="shared" si="31"/>
        <v>0</v>
      </c>
      <c r="AV107" s="3">
        <f t="shared" si="32"/>
        <v>0</v>
      </c>
      <c r="AW107" s="3">
        <v>206</v>
      </c>
      <c r="AX107" s="3" t="e">
        <f>IF(AND(#REF!="N",OR(AW107=$AX$1,AW107=$AX$2,AW107=$AX$3,AW107=$AX$4,AW107=$AY$1,AW107=$AY$2,AW107=$AY$3,AW107=$AY$4)),0,1)</f>
        <v>#REF!</v>
      </c>
    </row>
    <row r="108" spans="2:50" x14ac:dyDescent="0.2">
      <c r="B108" s="4">
        <v>208</v>
      </c>
      <c r="C108" s="208">
        <v>4.4194173824159217E-8</v>
      </c>
      <c r="D108" s="208">
        <v>4.4194173824159217E-8</v>
      </c>
      <c r="E108" s="208">
        <v>4.4194173824159217E-8</v>
      </c>
      <c r="F108" s="209" t="s">
        <v>714</v>
      </c>
      <c r="G108" s="208">
        <v>1.2524858350974553E-16</v>
      </c>
      <c r="H108" s="210">
        <v>1.7119816669305761E-15</v>
      </c>
      <c r="I108" s="208">
        <v>7.5659615372103732E-25</v>
      </c>
      <c r="J108" s="208">
        <v>7.5659615372103732E-25</v>
      </c>
      <c r="K108" s="208">
        <v>7.5659615372103732E-25</v>
      </c>
      <c r="L108" s="208">
        <v>0</v>
      </c>
      <c r="M108" s="208">
        <v>0</v>
      </c>
      <c r="N108" s="208">
        <v>0</v>
      </c>
      <c r="O108" s="3">
        <v>360</v>
      </c>
      <c r="P108" s="3">
        <v>360</v>
      </c>
      <c r="Q108" s="3">
        <v>360</v>
      </c>
      <c r="S108" s="4">
        <v>0</v>
      </c>
      <c r="T108" s="4">
        <v>52</v>
      </c>
      <c r="U108" s="210"/>
      <c r="V108" s="210">
        <v>1.7119816669305761E-15</v>
      </c>
      <c r="W108" s="3">
        <v>0</v>
      </c>
      <c r="X108" s="3">
        <v>0</v>
      </c>
      <c r="Y108" s="3">
        <f t="shared" si="33"/>
        <v>1</v>
      </c>
      <c r="Z108" s="3">
        <f t="shared" si="34"/>
        <v>1</v>
      </c>
      <c r="AA108" s="3" t="str">
        <f t="shared" si="19"/>
        <v/>
      </c>
      <c r="AB108" s="3" t="str">
        <f t="shared" si="20"/>
        <v/>
      </c>
      <c r="AC108" s="3" t="str">
        <f t="shared" si="21"/>
        <v/>
      </c>
      <c r="AD108" s="3" t="str">
        <f t="shared" si="22"/>
        <v>0</v>
      </c>
      <c r="AE108" s="3">
        <f t="shared" si="23"/>
        <v>0</v>
      </c>
      <c r="AF108" s="3">
        <f t="shared" si="24"/>
        <v>0</v>
      </c>
      <c r="AM108" s="3" t="str">
        <f t="shared" si="25"/>
        <v/>
      </c>
      <c r="AN108" s="3" t="str">
        <f t="shared" si="26"/>
        <v/>
      </c>
      <c r="AO108" s="3" t="str">
        <f t="shared" si="27"/>
        <v/>
      </c>
      <c r="AP108" s="3">
        <f t="shared" si="28"/>
        <v>0</v>
      </c>
      <c r="AQ108" s="3">
        <f t="shared" si="29"/>
        <v>0</v>
      </c>
      <c r="AR108" s="3">
        <f t="shared" si="35"/>
        <v>0</v>
      </c>
      <c r="AS108" s="3" t="e">
        <f t="shared" si="36"/>
        <v>#REF!</v>
      </c>
      <c r="AT108" s="3" t="str">
        <f t="shared" si="30"/>
        <v/>
      </c>
      <c r="AU108" s="3">
        <f t="shared" si="31"/>
        <v>0</v>
      </c>
      <c r="AV108" s="3">
        <f t="shared" si="32"/>
        <v>0</v>
      </c>
      <c r="AW108" s="3">
        <v>208</v>
      </c>
      <c r="AX108" s="3" t="e">
        <f>IF(AND(#REF!="N",OR(AW108=$AX$1,AW108=$AX$2,AW108=$AX$3,AW108=$AX$4,AW108=$AY$1,AW108=$AY$2,AW108=$AY$3,AW108=$AY$4)),0,1)</f>
        <v>#REF!</v>
      </c>
    </row>
    <row r="109" spans="2:50" x14ac:dyDescent="0.2">
      <c r="B109" s="4">
        <v>210</v>
      </c>
      <c r="C109" s="208">
        <v>4.4194173824159217E-8</v>
      </c>
      <c r="D109" s="208">
        <v>4.4194173824159217E-8</v>
      </c>
      <c r="E109" s="208">
        <v>4.4194173824159217E-8</v>
      </c>
      <c r="F109" s="209" t="s">
        <v>714</v>
      </c>
      <c r="G109" s="208">
        <v>1.4617893259357637E-16</v>
      </c>
      <c r="H109" s="210">
        <v>1.9980717200862468E-15</v>
      </c>
      <c r="I109" s="208">
        <v>8.8303128910628397E-25</v>
      </c>
      <c r="J109" s="208">
        <v>8.8303128910628397E-25</v>
      </c>
      <c r="K109" s="208">
        <v>8.8303128910628397E-25</v>
      </c>
      <c r="L109" s="208">
        <v>0</v>
      </c>
      <c r="M109" s="208">
        <v>0</v>
      </c>
      <c r="N109" s="208">
        <v>0</v>
      </c>
      <c r="O109" s="3">
        <v>360</v>
      </c>
      <c r="P109" s="3">
        <v>360</v>
      </c>
      <c r="Q109" s="3">
        <v>360</v>
      </c>
      <c r="S109" s="4">
        <v>0</v>
      </c>
      <c r="T109" s="4">
        <v>52.5</v>
      </c>
      <c r="U109" s="210"/>
      <c r="V109" s="210">
        <v>1.9980717200862468E-15</v>
      </c>
      <c r="W109" s="3">
        <v>0</v>
      </c>
      <c r="X109" s="3">
        <v>0</v>
      </c>
      <c r="Y109" s="3">
        <f t="shared" si="33"/>
        <v>1</v>
      </c>
      <c r="Z109" s="3">
        <f t="shared" si="34"/>
        <v>1</v>
      </c>
      <c r="AA109" s="3" t="str">
        <f t="shared" si="19"/>
        <v/>
      </c>
      <c r="AB109" s="3" t="str">
        <f t="shared" si="20"/>
        <v/>
      </c>
      <c r="AC109" s="3" t="str">
        <f t="shared" si="21"/>
        <v/>
      </c>
      <c r="AD109" s="3" t="str">
        <f t="shared" si="22"/>
        <v>0</v>
      </c>
      <c r="AE109" s="3">
        <f t="shared" si="23"/>
        <v>0</v>
      </c>
      <c r="AF109" s="3">
        <f t="shared" si="24"/>
        <v>0</v>
      </c>
      <c r="AM109" s="3" t="str">
        <f t="shared" si="25"/>
        <v/>
      </c>
      <c r="AN109" s="3" t="str">
        <f t="shared" si="26"/>
        <v/>
      </c>
      <c r="AO109" s="3" t="str">
        <f t="shared" si="27"/>
        <v/>
      </c>
      <c r="AP109" s="3">
        <f t="shared" si="28"/>
        <v>0</v>
      </c>
      <c r="AQ109" s="3">
        <f t="shared" si="29"/>
        <v>0</v>
      </c>
      <c r="AR109" s="3">
        <f t="shared" si="35"/>
        <v>0</v>
      </c>
      <c r="AS109" s="3" t="e">
        <f t="shared" si="36"/>
        <v>#REF!</v>
      </c>
      <c r="AT109" s="3" t="str">
        <f t="shared" si="30"/>
        <v/>
      </c>
      <c r="AU109" s="3">
        <f t="shared" si="31"/>
        <v>0</v>
      </c>
      <c r="AV109" s="3">
        <f t="shared" si="32"/>
        <v>0</v>
      </c>
      <c r="AW109" s="3">
        <v>210</v>
      </c>
      <c r="AX109" s="3" t="e">
        <f>IF(AND(#REF!="N",OR(AW109=$AX$1,AW109=$AX$2,AW109=$AX$3,AW109=$AX$4,AW109=$AY$1,AW109=$AY$2,AW109=$AY$3,AW109=$AY$4)),0,1)</f>
        <v>#REF!</v>
      </c>
    </row>
    <row r="110" spans="2:50" x14ac:dyDescent="0.2">
      <c r="B110" s="4">
        <v>212</v>
      </c>
      <c r="C110" s="208">
        <v>0.20533495396306747</v>
      </c>
      <c r="D110" s="208">
        <v>0.20533495396306745</v>
      </c>
      <c r="E110" s="208">
        <v>0.20533495396306742</v>
      </c>
      <c r="F110" s="209" t="s">
        <v>714</v>
      </c>
      <c r="G110" s="208">
        <v>2.959704716628133E-2</v>
      </c>
      <c r="H110" s="210">
        <v>0.4045522969128878</v>
      </c>
      <c r="I110" s="208">
        <v>8.3068727262261023E-4</v>
      </c>
      <c r="J110" s="208">
        <v>8.3068727262261013E-4</v>
      </c>
      <c r="K110" s="208">
        <v>8.3068727262261002E-4</v>
      </c>
      <c r="L110" s="208">
        <v>1.4387925613831795E-3</v>
      </c>
      <c r="M110" s="208">
        <v>1.4387925613831808E-3</v>
      </c>
      <c r="N110" s="208">
        <v>1.4387925613831797E-3</v>
      </c>
      <c r="O110" s="3">
        <v>120</v>
      </c>
      <c r="P110" s="3">
        <v>120</v>
      </c>
      <c r="Q110" s="3">
        <v>120</v>
      </c>
      <c r="R110" s="4" t="s">
        <v>172</v>
      </c>
      <c r="S110" s="4" t="s">
        <v>172</v>
      </c>
      <c r="T110" s="4">
        <v>53</v>
      </c>
      <c r="U110" s="210"/>
      <c r="V110" s="210">
        <v>0.4045522969128878</v>
      </c>
      <c r="W110" s="3">
        <v>0.40455229691288774</v>
      </c>
      <c r="X110" s="3">
        <v>0</v>
      </c>
      <c r="Y110" s="3">
        <f t="shared" si="33"/>
        <v>1</v>
      </c>
      <c r="Z110" s="3">
        <f t="shared" si="34"/>
        <v>1</v>
      </c>
      <c r="AA110" s="3">
        <f t="shared" si="19"/>
        <v>0.13791844010202536</v>
      </c>
      <c r="AB110" s="3">
        <f t="shared" si="20"/>
        <v>6.8959220051012682E-2</v>
      </c>
      <c r="AC110" s="3">
        <f t="shared" si="21"/>
        <v>2.4549384140623955E-4</v>
      </c>
      <c r="AD110" s="3" t="str">
        <f t="shared" si="22"/>
        <v>3.49083853593187E-07+0.000245318678112669i</v>
      </c>
      <c r="AE110" s="3">
        <f t="shared" si="23"/>
        <v>3.4908385359318702E-7</v>
      </c>
      <c r="AF110" s="3">
        <f t="shared" si="24"/>
        <v>2.45318678112669E-4</v>
      </c>
      <c r="AM110" s="3" t="str">
        <f t="shared" si="25"/>
        <v>-0.0000169290638307013+0.0000338581276614025i</v>
      </c>
      <c r="AN110" s="3" t="str">
        <f t="shared" si="26"/>
        <v>0.137918440102025+0.0692047138924189i</v>
      </c>
      <c r="AO110" s="3" t="str">
        <f t="shared" si="27"/>
        <v>3.49083853593187E-07+0.000245318678112669i</v>
      </c>
      <c r="AP110" s="3">
        <f t="shared" si="28"/>
        <v>3.4908385359318702E-7</v>
      </c>
      <c r="AQ110" s="3">
        <f t="shared" si="29"/>
        <v>2.45318678112669E-4</v>
      </c>
      <c r="AR110" s="3">
        <f t="shared" si="35"/>
        <v>-2.9637666543299934</v>
      </c>
      <c r="AS110" s="3" t="e">
        <f t="shared" si="36"/>
        <v>#REF!</v>
      </c>
      <c r="AT110" s="3" t="e">
        <f t="shared" si="30"/>
        <v>#REF!</v>
      </c>
      <c r="AU110" s="3" t="e">
        <f t="shared" si="31"/>
        <v>#REF!</v>
      </c>
      <c r="AV110" s="3" t="e">
        <f t="shared" si="32"/>
        <v>#REF!</v>
      </c>
      <c r="AW110" s="3">
        <v>212</v>
      </c>
      <c r="AX110" s="3" t="e">
        <f>IF(AND(#REF!="N",OR(AW110=$AX$1,AW110=$AX$2,AW110=$AX$3,AW110=$AX$4,AW110=$AY$1,AW110=$AY$2,AW110=$AY$3,AW110=$AY$4)),0,1)</f>
        <v>#REF!</v>
      </c>
    </row>
    <row r="111" spans="2:50" x14ac:dyDescent="0.2">
      <c r="B111" s="4">
        <v>214</v>
      </c>
      <c r="C111" s="208">
        <v>4.4194173824159217E-8</v>
      </c>
      <c r="D111" s="208">
        <v>4.4194173824159217E-8</v>
      </c>
      <c r="E111" s="208">
        <v>4.4194173824159217E-8</v>
      </c>
      <c r="F111" s="209" t="s">
        <v>714</v>
      </c>
      <c r="G111" s="208">
        <v>5.5444933675569888E-16</v>
      </c>
      <c r="H111" s="210">
        <v>7.5785855070665639E-15</v>
      </c>
      <c r="I111" s="208">
        <v>3.3492932524055354E-24</v>
      </c>
      <c r="J111" s="208">
        <v>3.3492932524055354E-24</v>
      </c>
      <c r="K111" s="208">
        <v>3.3492932524055354E-24</v>
      </c>
      <c r="L111" s="208">
        <v>0</v>
      </c>
      <c r="M111" s="208">
        <v>0</v>
      </c>
      <c r="N111" s="208">
        <v>0</v>
      </c>
      <c r="O111" s="3">
        <v>360</v>
      </c>
      <c r="P111" s="3">
        <v>360</v>
      </c>
      <c r="Q111" s="3">
        <v>360</v>
      </c>
      <c r="S111" s="4">
        <v>0</v>
      </c>
      <c r="T111" s="4">
        <v>53.5</v>
      </c>
      <c r="U111" s="210"/>
      <c r="V111" s="210">
        <v>7.5785855070665639E-15</v>
      </c>
      <c r="W111" s="3">
        <v>0</v>
      </c>
      <c r="X111" s="3">
        <v>0</v>
      </c>
      <c r="Y111" s="3">
        <f t="shared" si="33"/>
        <v>1</v>
      </c>
      <c r="Z111" s="3">
        <f t="shared" si="34"/>
        <v>1</v>
      </c>
      <c r="AA111" s="3" t="str">
        <f t="shared" si="19"/>
        <v/>
      </c>
      <c r="AB111" s="3" t="str">
        <f t="shared" si="20"/>
        <v/>
      </c>
      <c r="AC111" s="3" t="str">
        <f t="shared" si="21"/>
        <v/>
      </c>
      <c r="AD111" s="3" t="str">
        <f t="shared" si="22"/>
        <v>0</v>
      </c>
      <c r="AE111" s="3">
        <f t="shared" si="23"/>
        <v>0</v>
      </c>
      <c r="AF111" s="3">
        <f t="shared" si="24"/>
        <v>0</v>
      </c>
      <c r="AM111" s="3" t="str">
        <f t="shared" si="25"/>
        <v/>
      </c>
      <c r="AN111" s="3" t="str">
        <f t="shared" si="26"/>
        <v/>
      </c>
      <c r="AO111" s="3" t="str">
        <f t="shared" si="27"/>
        <v/>
      </c>
      <c r="AP111" s="3">
        <f t="shared" si="28"/>
        <v>0</v>
      </c>
      <c r="AQ111" s="3">
        <f t="shared" si="29"/>
        <v>0</v>
      </c>
      <c r="AR111" s="3">
        <f t="shared" si="35"/>
        <v>0</v>
      </c>
      <c r="AS111" s="3" t="e">
        <f t="shared" si="36"/>
        <v>#REF!</v>
      </c>
      <c r="AT111" s="3" t="str">
        <f t="shared" si="30"/>
        <v/>
      </c>
      <c r="AU111" s="3">
        <f t="shared" si="31"/>
        <v>0</v>
      </c>
      <c r="AV111" s="3">
        <f t="shared" si="32"/>
        <v>0</v>
      </c>
      <c r="AW111" s="3">
        <v>214</v>
      </c>
      <c r="AX111" s="3" t="e">
        <f>IF(AND(#REF!="N",OR(AW111=$AX$1,AW111=$AX$2,AW111=$AX$3,AW111=$AX$4,AW111=$AY$1,AW111=$AY$2,AW111=$AY$3,AW111=$AY$4)),0,1)</f>
        <v>#REF!</v>
      </c>
    </row>
    <row r="112" spans="2:50" x14ac:dyDescent="0.2">
      <c r="B112" s="4">
        <v>216</v>
      </c>
      <c r="C112" s="208">
        <v>4.4194173824159217E-8</v>
      </c>
      <c r="D112" s="208">
        <v>4.4194173824159217E-8</v>
      </c>
      <c r="E112" s="208">
        <v>4.4194173824159217E-8</v>
      </c>
      <c r="F112" s="209" t="s">
        <v>714</v>
      </c>
      <c r="G112" s="208">
        <v>5.490942184970582E-16</v>
      </c>
      <c r="H112" s="210">
        <v>7.5053881580336725E-15</v>
      </c>
      <c r="I112" s="208">
        <v>3.3169442887392626E-24</v>
      </c>
      <c r="J112" s="208">
        <v>3.3169442887392626E-24</v>
      </c>
      <c r="K112" s="208">
        <v>3.3169442887392626E-24</v>
      </c>
      <c r="L112" s="208">
        <v>0</v>
      </c>
      <c r="M112" s="208">
        <v>0</v>
      </c>
      <c r="N112" s="208">
        <v>0</v>
      </c>
      <c r="O112" s="3">
        <v>360</v>
      </c>
      <c r="P112" s="3">
        <v>360</v>
      </c>
      <c r="Q112" s="3">
        <v>360</v>
      </c>
      <c r="S112" s="4">
        <v>0</v>
      </c>
      <c r="T112" s="4">
        <v>54</v>
      </c>
      <c r="U112" s="210"/>
      <c r="V112" s="210">
        <v>7.5053881580336725E-15</v>
      </c>
      <c r="W112" s="3">
        <v>0</v>
      </c>
      <c r="X112" s="3">
        <v>0</v>
      </c>
      <c r="Y112" s="3">
        <f t="shared" si="33"/>
        <v>1</v>
      </c>
      <c r="Z112" s="3">
        <f t="shared" si="34"/>
        <v>1</v>
      </c>
      <c r="AA112" s="3" t="str">
        <f t="shared" si="19"/>
        <v/>
      </c>
      <c r="AB112" s="3" t="str">
        <f t="shared" si="20"/>
        <v/>
      </c>
      <c r="AC112" s="3" t="str">
        <f t="shared" si="21"/>
        <v/>
      </c>
      <c r="AD112" s="3" t="str">
        <f t="shared" si="22"/>
        <v>0</v>
      </c>
      <c r="AE112" s="3">
        <f t="shared" si="23"/>
        <v>0</v>
      </c>
      <c r="AF112" s="3">
        <f t="shared" si="24"/>
        <v>0</v>
      </c>
      <c r="AM112" s="3" t="str">
        <f t="shared" si="25"/>
        <v/>
      </c>
      <c r="AN112" s="3" t="str">
        <f t="shared" si="26"/>
        <v/>
      </c>
      <c r="AO112" s="3" t="str">
        <f t="shared" si="27"/>
        <v/>
      </c>
      <c r="AP112" s="3">
        <f t="shared" si="28"/>
        <v>0</v>
      </c>
      <c r="AQ112" s="3">
        <f t="shared" si="29"/>
        <v>0</v>
      </c>
      <c r="AR112" s="3">
        <f t="shared" si="35"/>
        <v>0</v>
      </c>
      <c r="AS112" s="3" t="e">
        <f t="shared" si="36"/>
        <v>#REF!</v>
      </c>
      <c r="AT112" s="3" t="str">
        <f t="shared" si="30"/>
        <v/>
      </c>
      <c r="AU112" s="3">
        <f t="shared" si="31"/>
        <v>0</v>
      </c>
      <c r="AV112" s="3">
        <f t="shared" si="32"/>
        <v>0</v>
      </c>
      <c r="AW112" s="3">
        <v>216</v>
      </c>
      <c r="AX112" s="3" t="e">
        <f>IF(AND(#REF!="N",OR(AW112=$AX$1,AW112=$AX$2,AW112=$AX$3,AW112=$AX$4,AW112=$AY$1,AW112=$AY$2,AW112=$AY$3,AW112=$AY$4)),0,1)</f>
        <v>#REF!</v>
      </c>
    </row>
    <row r="113" spans="2:50" x14ac:dyDescent="0.2">
      <c r="B113" s="4">
        <v>218</v>
      </c>
      <c r="C113" s="208">
        <v>4.4194173824159217E-8</v>
      </c>
      <c r="D113" s="208">
        <v>4.4194173824159217E-8</v>
      </c>
      <c r="E113" s="208">
        <v>4.4194173824159217E-8</v>
      </c>
      <c r="F113" s="209" t="s">
        <v>714</v>
      </c>
      <c r="G113" s="208">
        <v>5.4696655634720553E-16</v>
      </c>
      <c r="H113" s="210">
        <v>7.4763058443507676E-15</v>
      </c>
      <c r="I113" s="208">
        <v>3.3040916004781529E-24</v>
      </c>
      <c r="J113" s="208">
        <v>3.3040916004781529E-24</v>
      </c>
      <c r="K113" s="208">
        <v>3.3040916004781529E-24</v>
      </c>
      <c r="L113" s="208">
        <v>0</v>
      </c>
      <c r="M113" s="208">
        <v>0</v>
      </c>
      <c r="N113" s="208">
        <v>0</v>
      </c>
      <c r="O113" s="3">
        <v>360</v>
      </c>
      <c r="P113" s="3">
        <v>360</v>
      </c>
      <c r="Q113" s="3">
        <v>360</v>
      </c>
      <c r="S113" s="4">
        <v>0</v>
      </c>
      <c r="T113" s="4">
        <v>54.5</v>
      </c>
      <c r="U113" s="210"/>
      <c r="V113" s="210">
        <v>7.4763058443507676E-15</v>
      </c>
      <c r="W113" s="3">
        <v>0</v>
      </c>
      <c r="X113" s="3">
        <v>0</v>
      </c>
      <c r="Y113" s="3">
        <f t="shared" si="33"/>
        <v>1</v>
      </c>
      <c r="Z113" s="3">
        <f t="shared" si="34"/>
        <v>1</v>
      </c>
      <c r="AA113" s="3" t="str">
        <f t="shared" si="19"/>
        <v/>
      </c>
      <c r="AB113" s="3" t="str">
        <f t="shared" si="20"/>
        <v/>
      </c>
      <c r="AC113" s="3" t="str">
        <f t="shared" si="21"/>
        <v/>
      </c>
      <c r="AD113" s="3" t="str">
        <f t="shared" si="22"/>
        <v>0</v>
      </c>
      <c r="AE113" s="3">
        <f t="shared" si="23"/>
        <v>0</v>
      </c>
      <c r="AF113" s="3">
        <f t="shared" si="24"/>
        <v>0</v>
      </c>
      <c r="AM113" s="3" t="str">
        <f t="shared" si="25"/>
        <v/>
      </c>
      <c r="AN113" s="3" t="str">
        <f t="shared" si="26"/>
        <v/>
      </c>
      <c r="AO113" s="3" t="str">
        <f t="shared" si="27"/>
        <v/>
      </c>
      <c r="AP113" s="3">
        <f t="shared" si="28"/>
        <v>0</v>
      </c>
      <c r="AQ113" s="3">
        <f t="shared" si="29"/>
        <v>0</v>
      </c>
      <c r="AR113" s="3">
        <f t="shared" si="35"/>
        <v>0</v>
      </c>
      <c r="AS113" s="3" t="e">
        <f t="shared" si="36"/>
        <v>#REF!</v>
      </c>
      <c r="AT113" s="3" t="str">
        <f t="shared" si="30"/>
        <v/>
      </c>
      <c r="AU113" s="3">
        <f t="shared" si="31"/>
        <v>0</v>
      </c>
      <c r="AV113" s="3">
        <f t="shared" si="32"/>
        <v>0</v>
      </c>
      <c r="AW113" s="3">
        <v>218</v>
      </c>
      <c r="AX113" s="3" t="e">
        <f>IF(AND(#REF!="N",OR(AW113=$AX$1,AW113=$AX$2,AW113=$AX$3,AW113=$AX$4,AW113=$AY$1,AW113=$AY$2,AW113=$AY$3,AW113=$AY$4)),0,1)</f>
        <v>#REF!</v>
      </c>
    </row>
    <row r="114" spans="2:50" x14ac:dyDescent="0.2">
      <c r="B114" s="4">
        <v>220</v>
      </c>
      <c r="C114" s="208">
        <v>0.15755905175128726</v>
      </c>
      <c r="D114" s="208">
        <v>0.15755905175128609</v>
      </c>
      <c r="E114" s="208">
        <v>0.15755905175128315</v>
      </c>
      <c r="F114" s="209" t="s">
        <v>714</v>
      </c>
      <c r="G114" s="208">
        <v>2.1884772580441646E-2</v>
      </c>
      <c r="H114" s="210">
        <v>0.29913575381669538</v>
      </c>
      <c r="I114" s="208">
        <v>4.7131545716265033E-4</v>
      </c>
      <c r="J114" s="208">
        <v>4.7131545716264686E-4</v>
      </c>
      <c r="K114" s="208">
        <v>4.7131545716263802E-4</v>
      </c>
      <c r="L114" s="208">
        <v>8.1634231819825806E-4</v>
      </c>
      <c r="M114" s="208">
        <v>8.1634231819826782E-4</v>
      </c>
      <c r="N114" s="208">
        <v>8.1634231819823606E-4</v>
      </c>
      <c r="O114" s="3">
        <v>240</v>
      </c>
      <c r="P114" s="3">
        <v>240</v>
      </c>
      <c r="Q114" s="3">
        <v>240</v>
      </c>
      <c r="R114" s="4" t="s">
        <v>168</v>
      </c>
      <c r="S114" s="4" t="s">
        <v>168</v>
      </c>
      <c r="T114" s="4">
        <v>55</v>
      </c>
      <c r="U114" s="210"/>
      <c r="V114" s="210">
        <v>0.29913575381669538</v>
      </c>
      <c r="W114" s="3">
        <v>0</v>
      </c>
      <c r="X114" s="3">
        <v>0.29913575381668822</v>
      </c>
      <c r="Y114" s="3">
        <f t="shared" si="33"/>
        <v>1</v>
      </c>
      <c r="Z114" s="3">
        <f t="shared" si="34"/>
        <v>1</v>
      </c>
      <c r="AA114" s="3">
        <f t="shared" si="19"/>
        <v>8.1205095784418646E-2</v>
      </c>
      <c r="AB114" s="3">
        <f t="shared" si="20"/>
        <v>4.0602547892209323E-2</v>
      </c>
      <c r="AC114" s="3">
        <f t="shared" si="21"/>
        <v>1.3422329881722091E-4</v>
      </c>
      <c r="AD114" s="3" t="str">
        <f t="shared" si="22"/>
        <v>0.000000177250585462+0.000134134380548316i</v>
      </c>
      <c r="AE114" s="3">
        <f t="shared" si="23"/>
        <v>1.7725058546199999E-7</v>
      </c>
      <c r="AF114" s="3">
        <f t="shared" si="24"/>
        <v>1.34134380548316E-4</v>
      </c>
      <c r="AM114" s="3" t="str">
        <f t="shared" si="25"/>
        <v>-5.44980791847654E-06+0.0000108996158369531i</v>
      </c>
      <c r="AN114" s="3" t="str">
        <f t="shared" si="26"/>
        <v>0.0812050957844186+0.0407367711910265i</v>
      </c>
      <c r="AO114" s="3" t="str">
        <f t="shared" si="27"/>
        <v>0.000000177250585462+0.000134134380548316i</v>
      </c>
      <c r="AP114" s="3">
        <f t="shared" si="28"/>
        <v>1.7725058546199999E-7</v>
      </c>
      <c r="AQ114" s="3">
        <f t="shared" si="29"/>
        <v>1.34134380548316E-4</v>
      </c>
      <c r="AR114" s="3">
        <f t="shared" si="35"/>
        <v>2.8559933214452666</v>
      </c>
      <c r="AS114" s="3" t="e">
        <f t="shared" si="36"/>
        <v>#REF!</v>
      </c>
      <c r="AT114" s="3" t="e">
        <f t="shared" si="30"/>
        <v>#REF!</v>
      </c>
      <c r="AU114" s="3" t="e">
        <f t="shared" si="31"/>
        <v>#REF!</v>
      </c>
      <c r="AV114" s="3" t="e">
        <f t="shared" si="32"/>
        <v>#REF!</v>
      </c>
      <c r="AW114" s="3">
        <v>220</v>
      </c>
      <c r="AX114" s="3" t="e">
        <f>IF(AND(#REF!="N",OR(AW114=$AX$1,AW114=$AX$2,AW114=$AX$3,AW114=$AX$4,AW114=$AY$1,AW114=$AY$2,AW114=$AY$3,AW114=$AY$4)),0,1)</f>
        <v>#REF!</v>
      </c>
    </row>
    <row r="115" spans="2:50" x14ac:dyDescent="0.2">
      <c r="B115" s="4">
        <v>222</v>
      </c>
      <c r="C115" s="208">
        <v>4.4194173824159217E-8</v>
      </c>
      <c r="D115" s="208">
        <v>4.4194173824159217E-8</v>
      </c>
      <c r="E115" s="208">
        <v>4.4194173824159217E-8</v>
      </c>
      <c r="F115" s="209" t="s">
        <v>714</v>
      </c>
      <c r="G115" s="208">
        <v>4.5865630608786534E-16</v>
      </c>
      <c r="H115" s="210">
        <v>6.2692220976968355E-15</v>
      </c>
      <c r="I115" s="208">
        <v>2.7706309112787406E-24</v>
      </c>
      <c r="J115" s="208">
        <v>2.7706309112787406E-24</v>
      </c>
      <c r="K115" s="208">
        <v>2.7706309112787406E-24</v>
      </c>
      <c r="L115" s="208">
        <v>0</v>
      </c>
      <c r="M115" s="208">
        <v>0</v>
      </c>
      <c r="N115" s="208">
        <v>0</v>
      </c>
      <c r="O115" s="3">
        <v>360</v>
      </c>
      <c r="P115" s="3">
        <v>360</v>
      </c>
      <c r="Q115" s="3">
        <v>360</v>
      </c>
      <c r="S115" s="4">
        <v>0</v>
      </c>
      <c r="T115" s="4">
        <v>55.5</v>
      </c>
      <c r="U115" s="210"/>
      <c r="V115" s="210">
        <v>6.2692220976968355E-15</v>
      </c>
      <c r="W115" s="3">
        <v>0</v>
      </c>
      <c r="X115" s="3">
        <v>0</v>
      </c>
      <c r="Y115" s="3">
        <f t="shared" si="33"/>
        <v>1</v>
      </c>
      <c r="Z115" s="3">
        <f t="shared" si="34"/>
        <v>1</v>
      </c>
      <c r="AA115" s="3" t="str">
        <f t="shared" si="19"/>
        <v/>
      </c>
      <c r="AB115" s="3" t="str">
        <f t="shared" si="20"/>
        <v/>
      </c>
      <c r="AC115" s="3" t="str">
        <f t="shared" si="21"/>
        <v/>
      </c>
      <c r="AD115" s="3" t="str">
        <f t="shared" si="22"/>
        <v>0</v>
      </c>
      <c r="AE115" s="3">
        <f t="shared" si="23"/>
        <v>0</v>
      </c>
      <c r="AF115" s="3">
        <f t="shared" si="24"/>
        <v>0</v>
      </c>
      <c r="AM115" s="3" t="str">
        <f t="shared" si="25"/>
        <v/>
      </c>
      <c r="AN115" s="3" t="str">
        <f t="shared" si="26"/>
        <v/>
      </c>
      <c r="AO115" s="3" t="str">
        <f t="shared" si="27"/>
        <v/>
      </c>
      <c r="AP115" s="3">
        <f t="shared" si="28"/>
        <v>0</v>
      </c>
      <c r="AQ115" s="3">
        <f t="shared" si="29"/>
        <v>0</v>
      </c>
      <c r="AR115" s="3">
        <f t="shared" si="35"/>
        <v>0</v>
      </c>
      <c r="AS115" s="3" t="e">
        <f t="shared" si="36"/>
        <v>#REF!</v>
      </c>
      <c r="AT115" s="3" t="str">
        <f t="shared" si="30"/>
        <v/>
      </c>
      <c r="AU115" s="3">
        <f t="shared" si="31"/>
        <v>0</v>
      </c>
      <c r="AV115" s="3">
        <f t="shared" si="32"/>
        <v>0</v>
      </c>
      <c r="AW115" s="3">
        <v>222</v>
      </c>
      <c r="AX115" s="3" t="e">
        <f>IF(AND(#REF!="N",OR(AW115=$AX$1,AW115=$AX$2,AW115=$AX$3,AW115=$AX$4,AW115=$AY$1,AW115=$AY$2,AW115=$AY$3,AW115=$AY$4)),0,1)</f>
        <v>#REF!</v>
      </c>
    </row>
    <row r="116" spans="2:50" x14ac:dyDescent="0.2">
      <c r="B116" s="4">
        <v>224</v>
      </c>
      <c r="C116" s="208">
        <v>4.4194173824159217E-8</v>
      </c>
      <c r="D116" s="208">
        <v>4.4194173824159217E-8</v>
      </c>
      <c r="E116" s="208">
        <v>4.4194173824159217E-8</v>
      </c>
      <c r="F116" s="209" t="s">
        <v>714</v>
      </c>
      <c r="G116" s="208">
        <v>4.7063586128970726E-16</v>
      </c>
      <c r="H116" s="210">
        <v>6.4329666951113082E-15</v>
      </c>
      <c r="I116" s="208">
        <v>2.8429964832877622E-24</v>
      </c>
      <c r="J116" s="208">
        <v>2.8429964832877622E-24</v>
      </c>
      <c r="K116" s="208">
        <v>2.8429964832877622E-24</v>
      </c>
      <c r="L116" s="208">
        <v>0</v>
      </c>
      <c r="M116" s="208">
        <v>0</v>
      </c>
      <c r="N116" s="208">
        <v>0</v>
      </c>
      <c r="O116" s="3">
        <v>360</v>
      </c>
      <c r="P116" s="3">
        <v>360</v>
      </c>
      <c r="Q116" s="3">
        <v>360</v>
      </c>
      <c r="S116" s="4">
        <v>0</v>
      </c>
      <c r="T116" s="4">
        <v>56</v>
      </c>
      <c r="U116" s="210"/>
      <c r="V116" s="210">
        <v>6.4329666951113082E-15</v>
      </c>
      <c r="W116" s="3">
        <v>0</v>
      </c>
      <c r="X116" s="3">
        <v>0</v>
      </c>
      <c r="Y116" s="3">
        <f t="shared" si="33"/>
        <v>1</v>
      </c>
      <c r="Z116" s="3">
        <f t="shared" si="34"/>
        <v>1</v>
      </c>
      <c r="AA116" s="3" t="str">
        <f t="shared" si="19"/>
        <v/>
      </c>
      <c r="AB116" s="3" t="str">
        <f t="shared" si="20"/>
        <v/>
      </c>
      <c r="AC116" s="3" t="str">
        <f t="shared" si="21"/>
        <v/>
      </c>
      <c r="AD116" s="3" t="str">
        <f t="shared" si="22"/>
        <v>0</v>
      </c>
      <c r="AE116" s="3">
        <f t="shared" si="23"/>
        <v>0</v>
      </c>
      <c r="AF116" s="3">
        <f t="shared" si="24"/>
        <v>0</v>
      </c>
      <c r="AM116" s="3" t="str">
        <f t="shared" si="25"/>
        <v/>
      </c>
      <c r="AN116" s="3" t="str">
        <f t="shared" si="26"/>
        <v/>
      </c>
      <c r="AO116" s="3" t="str">
        <f t="shared" si="27"/>
        <v/>
      </c>
      <c r="AP116" s="3">
        <f t="shared" si="28"/>
        <v>0</v>
      </c>
      <c r="AQ116" s="3">
        <f t="shared" si="29"/>
        <v>0</v>
      </c>
      <c r="AR116" s="3">
        <f t="shared" si="35"/>
        <v>0</v>
      </c>
      <c r="AS116" s="3" t="e">
        <f t="shared" si="36"/>
        <v>#REF!</v>
      </c>
      <c r="AT116" s="3" t="str">
        <f t="shared" si="30"/>
        <v/>
      </c>
      <c r="AU116" s="3">
        <f t="shared" si="31"/>
        <v>0</v>
      </c>
      <c r="AV116" s="3">
        <f t="shared" si="32"/>
        <v>0</v>
      </c>
      <c r="AW116" s="3">
        <v>224</v>
      </c>
      <c r="AX116" s="3" t="e">
        <f>IF(AND(#REF!="N",OR(AW116=$AX$1,AW116=$AX$2,AW116=$AX$3,AW116=$AX$4,AW116=$AY$1,AW116=$AY$2,AW116=$AY$3,AW116=$AY$4)),0,1)</f>
        <v>#REF!</v>
      </c>
    </row>
    <row r="117" spans="2:50" x14ac:dyDescent="0.2">
      <c r="B117" s="4">
        <v>226</v>
      </c>
      <c r="C117" s="208">
        <v>4.4194173824159217E-8</v>
      </c>
      <c r="D117" s="208">
        <v>4.4194173824159217E-8</v>
      </c>
      <c r="E117" s="208">
        <v>4.4194173824159217E-8</v>
      </c>
      <c r="F117" s="209" t="s">
        <v>714</v>
      </c>
      <c r="G117" s="208">
        <v>4.9254143910285423E-17</v>
      </c>
      <c r="H117" s="210">
        <v>6.7323868288065597E-16</v>
      </c>
      <c r="I117" s="208">
        <v>2.975322737637571E-25</v>
      </c>
      <c r="J117" s="208">
        <v>2.975322737637571E-25</v>
      </c>
      <c r="K117" s="208">
        <v>2.975322737637571E-25</v>
      </c>
      <c r="L117" s="208">
        <v>0</v>
      </c>
      <c r="M117" s="208">
        <v>0</v>
      </c>
      <c r="N117" s="208">
        <v>0</v>
      </c>
      <c r="O117" s="3">
        <v>360</v>
      </c>
      <c r="P117" s="3">
        <v>360</v>
      </c>
      <c r="Q117" s="3">
        <v>360</v>
      </c>
      <c r="S117" s="4">
        <v>0</v>
      </c>
      <c r="T117" s="4">
        <v>56.5</v>
      </c>
      <c r="U117" s="210"/>
      <c r="V117" s="210">
        <v>6.7323868288065587E-16</v>
      </c>
      <c r="W117" s="3">
        <v>0</v>
      </c>
      <c r="X117" s="3">
        <v>0</v>
      </c>
      <c r="Y117" s="3">
        <f t="shared" si="33"/>
        <v>1</v>
      </c>
      <c r="Z117" s="3">
        <f t="shared" si="34"/>
        <v>1</v>
      </c>
      <c r="AA117" s="3" t="str">
        <f t="shared" si="19"/>
        <v/>
      </c>
      <c r="AB117" s="3" t="str">
        <f t="shared" si="20"/>
        <v/>
      </c>
      <c r="AC117" s="3" t="str">
        <f t="shared" si="21"/>
        <v/>
      </c>
      <c r="AD117" s="3" t="str">
        <f t="shared" si="22"/>
        <v>0</v>
      </c>
      <c r="AE117" s="3">
        <f t="shared" si="23"/>
        <v>0</v>
      </c>
      <c r="AF117" s="3">
        <f t="shared" si="24"/>
        <v>0</v>
      </c>
      <c r="AM117" s="3" t="str">
        <f t="shared" si="25"/>
        <v/>
      </c>
      <c r="AN117" s="3" t="str">
        <f t="shared" si="26"/>
        <v/>
      </c>
      <c r="AO117" s="3" t="str">
        <f t="shared" si="27"/>
        <v/>
      </c>
      <c r="AP117" s="3">
        <f t="shared" si="28"/>
        <v>0</v>
      </c>
      <c r="AQ117" s="3">
        <f t="shared" si="29"/>
        <v>0</v>
      </c>
      <c r="AR117" s="3">
        <f t="shared" si="35"/>
        <v>0</v>
      </c>
      <c r="AS117" s="3" t="e">
        <f t="shared" si="36"/>
        <v>#REF!</v>
      </c>
      <c r="AT117" s="3" t="str">
        <f t="shared" si="30"/>
        <v/>
      </c>
      <c r="AU117" s="3">
        <f t="shared" si="31"/>
        <v>0</v>
      </c>
      <c r="AV117" s="3">
        <f t="shared" si="32"/>
        <v>0</v>
      </c>
      <c r="AW117" s="3">
        <v>226</v>
      </c>
      <c r="AX117" s="3" t="e">
        <f>IF(AND(#REF!="N",OR(AW117=$AX$1,AW117=$AX$2,AW117=$AX$3,AW117=$AX$4,AW117=$AY$1,AW117=$AY$2,AW117=$AY$3,AW117=$AY$4)),0,1)</f>
        <v>#REF!</v>
      </c>
    </row>
    <row r="118" spans="2:50" x14ac:dyDescent="0.2">
      <c r="B118" s="4">
        <v>228</v>
      </c>
      <c r="C118" s="208">
        <v>0.27059805007309723</v>
      </c>
      <c r="D118" s="208">
        <v>0.27059805007309751</v>
      </c>
      <c r="E118" s="208">
        <v>0.27059805007309901</v>
      </c>
      <c r="F118" s="209" t="s">
        <v>714</v>
      </c>
      <c r="G118" s="208">
        <v>4.8308114703724704E-16</v>
      </c>
      <c r="H118" s="210">
        <v>6.603077210076475E-15</v>
      </c>
      <c r="I118" s="208">
        <v>1.7867798175288012E-17</v>
      </c>
      <c r="J118" s="208">
        <v>1.7867798175288031E-17</v>
      </c>
      <c r="K118" s="208">
        <v>1.7867798175288129E-17</v>
      </c>
      <c r="L118" s="208">
        <v>3.3125995043460457E-31</v>
      </c>
      <c r="M118" s="208">
        <v>4.0098730968808368E-31</v>
      </c>
      <c r="N118" s="208">
        <v>1.3275456201626438E-31</v>
      </c>
      <c r="O118" s="3">
        <v>0</v>
      </c>
      <c r="P118" s="3">
        <v>360</v>
      </c>
      <c r="Q118" s="3">
        <v>0</v>
      </c>
      <c r="S118" s="4">
        <v>0</v>
      </c>
      <c r="T118" s="4">
        <v>57</v>
      </c>
      <c r="U118" s="210"/>
      <c r="V118" s="210">
        <v>6.603077210076475E-15</v>
      </c>
      <c r="W118" s="3">
        <v>0</v>
      </c>
      <c r="X118" s="3">
        <v>0</v>
      </c>
      <c r="Y118" s="3">
        <f t="shared" si="33"/>
        <v>1</v>
      </c>
      <c r="Z118" s="3">
        <f t="shared" si="34"/>
        <v>1</v>
      </c>
      <c r="AA118" s="3" t="str">
        <f t="shared" si="19"/>
        <v/>
      </c>
      <c r="AB118" s="3" t="str">
        <f t="shared" si="20"/>
        <v/>
      </c>
      <c r="AC118" s="3" t="str">
        <f t="shared" si="21"/>
        <v/>
      </c>
      <c r="AD118" s="3" t="str">
        <f t="shared" si="22"/>
        <v>0</v>
      </c>
      <c r="AE118" s="3">
        <f t="shared" si="23"/>
        <v>0</v>
      </c>
      <c r="AF118" s="3">
        <f t="shared" si="24"/>
        <v>0</v>
      </c>
      <c r="AM118" s="3" t="str">
        <f t="shared" si="25"/>
        <v/>
      </c>
      <c r="AN118" s="3" t="str">
        <f t="shared" si="26"/>
        <v/>
      </c>
      <c r="AO118" s="3" t="str">
        <f t="shared" si="27"/>
        <v/>
      </c>
      <c r="AP118" s="3">
        <f t="shared" si="28"/>
        <v>0</v>
      </c>
      <c r="AQ118" s="3">
        <f t="shared" si="29"/>
        <v>0</v>
      </c>
      <c r="AR118" s="3">
        <f t="shared" si="35"/>
        <v>0</v>
      </c>
      <c r="AS118" s="3" t="e">
        <f t="shared" si="36"/>
        <v>#REF!</v>
      </c>
      <c r="AT118" s="3" t="str">
        <f t="shared" si="30"/>
        <v/>
      </c>
      <c r="AU118" s="3">
        <f t="shared" si="31"/>
        <v>0</v>
      </c>
      <c r="AV118" s="3">
        <f t="shared" si="32"/>
        <v>0</v>
      </c>
      <c r="AW118" s="3">
        <v>228</v>
      </c>
      <c r="AX118" s="3" t="e">
        <f>IF(AND(#REF!="N",OR(AW118=$AX$1,AW118=$AX$2,AW118=$AX$3,AW118=$AX$4,AW118=$AY$1,AW118=$AY$2,AW118=$AY$3,AW118=$AY$4)),0,1)</f>
        <v>#REF!</v>
      </c>
    </row>
    <row r="119" spans="2:50" x14ac:dyDescent="0.2">
      <c r="B119" s="4">
        <v>230</v>
      </c>
      <c r="C119" s="208">
        <v>4.4194173824159217E-8</v>
      </c>
      <c r="D119" s="208">
        <v>4.4194173824159217E-8</v>
      </c>
      <c r="E119" s="208">
        <v>4.4194173824159217E-8</v>
      </c>
      <c r="F119" s="209" t="s">
        <v>714</v>
      </c>
      <c r="G119" s="208">
        <v>4.3292818401971031E-16</v>
      </c>
      <c r="H119" s="210">
        <v>5.9175528646327651E-15</v>
      </c>
      <c r="I119" s="208">
        <v>2.6152135991323172E-24</v>
      </c>
      <c r="J119" s="208">
        <v>2.6152135991323172E-24</v>
      </c>
      <c r="K119" s="208">
        <v>2.6152135991323172E-24</v>
      </c>
      <c r="L119" s="208">
        <v>0</v>
      </c>
      <c r="M119" s="208">
        <v>0</v>
      </c>
      <c r="N119" s="208">
        <v>0</v>
      </c>
      <c r="O119" s="3">
        <v>360</v>
      </c>
      <c r="P119" s="3">
        <v>360</v>
      </c>
      <c r="Q119" s="3">
        <v>360</v>
      </c>
      <c r="S119" s="4">
        <v>0</v>
      </c>
      <c r="T119" s="4">
        <v>57.5</v>
      </c>
      <c r="U119" s="210"/>
      <c r="V119" s="210">
        <v>5.9175528646327659E-15</v>
      </c>
      <c r="W119" s="3">
        <v>0</v>
      </c>
      <c r="X119" s="3">
        <v>0</v>
      </c>
      <c r="Y119" s="3">
        <f t="shared" si="33"/>
        <v>1</v>
      </c>
      <c r="Z119" s="3">
        <f t="shared" si="34"/>
        <v>1</v>
      </c>
      <c r="AA119" s="3" t="str">
        <f t="shared" si="19"/>
        <v/>
      </c>
      <c r="AB119" s="3" t="str">
        <f t="shared" si="20"/>
        <v/>
      </c>
      <c r="AC119" s="3" t="str">
        <f t="shared" si="21"/>
        <v/>
      </c>
      <c r="AD119" s="3" t="str">
        <f t="shared" si="22"/>
        <v>0</v>
      </c>
      <c r="AE119" s="3">
        <f t="shared" si="23"/>
        <v>0</v>
      </c>
      <c r="AF119" s="3">
        <f t="shared" si="24"/>
        <v>0</v>
      </c>
      <c r="AM119" s="3" t="str">
        <f t="shared" si="25"/>
        <v/>
      </c>
      <c r="AN119" s="3" t="str">
        <f t="shared" si="26"/>
        <v/>
      </c>
      <c r="AO119" s="3" t="str">
        <f t="shared" si="27"/>
        <v/>
      </c>
      <c r="AP119" s="3">
        <f t="shared" si="28"/>
        <v>0</v>
      </c>
      <c r="AQ119" s="3">
        <f t="shared" si="29"/>
        <v>0</v>
      </c>
      <c r="AR119" s="3">
        <f t="shared" si="35"/>
        <v>0</v>
      </c>
      <c r="AS119" s="3" t="e">
        <f t="shared" si="36"/>
        <v>#REF!</v>
      </c>
      <c r="AT119" s="3" t="str">
        <f t="shared" si="30"/>
        <v/>
      </c>
      <c r="AU119" s="3">
        <f t="shared" si="31"/>
        <v>0</v>
      </c>
      <c r="AV119" s="3">
        <f t="shared" si="32"/>
        <v>0</v>
      </c>
      <c r="AW119" s="3">
        <v>230</v>
      </c>
      <c r="AX119" s="3" t="e">
        <f>IF(AND(#REF!="N",OR(AW119=$AX$1,AW119=$AX$2,AW119=$AX$3,AW119=$AX$4,AW119=$AY$1,AW119=$AY$2,AW119=$AY$3,AW119=$AY$4)),0,1)</f>
        <v>#REF!</v>
      </c>
    </row>
    <row r="120" spans="2:50" x14ac:dyDescent="0.2">
      <c r="B120" s="4">
        <v>232</v>
      </c>
      <c r="C120" s="208">
        <v>4.4194173824159217E-8</v>
      </c>
      <c r="D120" s="208">
        <v>4.4194173824159217E-8</v>
      </c>
      <c r="E120" s="208">
        <v>4.4194173824159217E-8</v>
      </c>
      <c r="F120" s="209" t="s">
        <v>714</v>
      </c>
      <c r="G120" s="208">
        <v>9.2499317437927069E-16</v>
      </c>
      <c r="H120" s="210">
        <v>1.2643427272373198E-14</v>
      </c>
      <c r="I120" s="208">
        <v>5.587658226083764E-24</v>
      </c>
      <c r="J120" s="208">
        <v>5.587658226083764E-24</v>
      </c>
      <c r="K120" s="208">
        <v>5.587658226083764E-24</v>
      </c>
      <c r="L120" s="208">
        <v>0</v>
      </c>
      <c r="M120" s="208">
        <v>0</v>
      </c>
      <c r="N120" s="208">
        <v>0</v>
      </c>
      <c r="O120" s="3">
        <v>360</v>
      </c>
      <c r="P120" s="3">
        <v>360</v>
      </c>
      <c r="Q120" s="3">
        <v>360</v>
      </c>
      <c r="S120" s="4">
        <v>0</v>
      </c>
      <c r="T120" s="4">
        <v>58</v>
      </c>
      <c r="U120" s="210"/>
      <c r="V120" s="210">
        <v>1.26434272723732E-14</v>
      </c>
      <c r="W120" s="3">
        <v>0</v>
      </c>
      <c r="X120" s="3">
        <v>0</v>
      </c>
      <c r="Y120" s="3">
        <f t="shared" si="33"/>
        <v>1</v>
      </c>
      <c r="Z120" s="3">
        <f t="shared" si="34"/>
        <v>1</v>
      </c>
      <c r="AA120" s="3" t="str">
        <f t="shared" si="19"/>
        <v/>
      </c>
      <c r="AB120" s="3" t="str">
        <f t="shared" si="20"/>
        <v/>
      </c>
      <c r="AC120" s="3" t="str">
        <f t="shared" si="21"/>
        <v/>
      </c>
      <c r="AD120" s="3" t="str">
        <f t="shared" si="22"/>
        <v>0</v>
      </c>
      <c r="AE120" s="3">
        <f t="shared" si="23"/>
        <v>0</v>
      </c>
      <c r="AF120" s="3">
        <f t="shared" si="24"/>
        <v>0</v>
      </c>
      <c r="AM120" s="3" t="str">
        <f t="shared" si="25"/>
        <v/>
      </c>
      <c r="AN120" s="3" t="str">
        <f t="shared" si="26"/>
        <v/>
      </c>
      <c r="AO120" s="3" t="str">
        <f t="shared" si="27"/>
        <v/>
      </c>
      <c r="AP120" s="3">
        <f t="shared" si="28"/>
        <v>0</v>
      </c>
      <c r="AQ120" s="3">
        <f t="shared" si="29"/>
        <v>0</v>
      </c>
      <c r="AR120" s="3">
        <f t="shared" si="35"/>
        <v>0</v>
      </c>
      <c r="AS120" s="3" t="e">
        <f t="shared" si="36"/>
        <v>#REF!</v>
      </c>
      <c r="AT120" s="3" t="str">
        <f t="shared" si="30"/>
        <v/>
      </c>
      <c r="AU120" s="3">
        <f t="shared" si="31"/>
        <v>0</v>
      </c>
      <c r="AV120" s="3">
        <f t="shared" si="32"/>
        <v>0</v>
      </c>
      <c r="AW120" s="3">
        <v>232</v>
      </c>
      <c r="AX120" s="3" t="e">
        <f>IF(AND(#REF!="N",OR(AW120=$AX$1,AW120=$AX$2,AW120=$AX$3,AW120=$AX$4,AW120=$AY$1,AW120=$AY$2,AW120=$AY$3,AW120=$AY$4)),0,1)</f>
        <v>#REF!</v>
      </c>
    </row>
    <row r="121" spans="2:50" x14ac:dyDescent="0.2">
      <c r="B121" s="4">
        <v>234</v>
      </c>
      <c r="C121" s="208">
        <v>4.4194173824159217E-8</v>
      </c>
      <c r="D121" s="208">
        <v>4.4194173824159217E-8</v>
      </c>
      <c r="E121" s="208">
        <v>4.4194173824159217E-8</v>
      </c>
      <c r="F121" s="209" t="s">
        <v>714</v>
      </c>
      <c r="G121" s="208">
        <v>3.1574908906859244E-16</v>
      </c>
      <c r="H121" s="210">
        <v>4.3158703810282964E-15</v>
      </c>
      <c r="I121" s="208">
        <v>1.9073632582170481E-24</v>
      </c>
      <c r="J121" s="208">
        <v>1.9073632582170481E-24</v>
      </c>
      <c r="K121" s="208">
        <v>1.9073632582170481E-24</v>
      </c>
      <c r="L121" s="208">
        <v>0</v>
      </c>
      <c r="M121" s="208">
        <v>0</v>
      </c>
      <c r="N121" s="208">
        <v>0</v>
      </c>
      <c r="O121" s="3">
        <v>360</v>
      </c>
      <c r="P121" s="3">
        <v>360</v>
      </c>
      <c r="Q121" s="3">
        <v>360</v>
      </c>
      <c r="S121" s="4">
        <v>0</v>
      </c>
      <c r="T121" s="4">
        <v>58.5</v>
      </c>
      <c r="U121" s="210"/>
      <c r="V121" s="210">
        <v>4.3158703810282964E-15</v>
      </c>
      <c r="W121" s="3">
        <v>0</v>
      </c>
      <c r="X121" s="3">
        <v>0</v>
      </c>
      <c r="Y121" s="3">
        <f t="shared" si="33"/>
        <v>1</v>
      </c>
      <c r="Z121" s="3">
        <f t="shared" si="34"/>
        <v>1</v>
      </c>
      <c r="AA121" s="3" t="str">
        <f t="shared" si="19"/>
        <v/>
      </c>
      <c r="AB121" s="3" t="str">
        <f t="shared" si="20"/>
        <v/>
      </c>
      <c r="AC121" s="3" t="str">
        <f t="shared" si="21"/>
        <v/>
      </c>
      <c r="AD121" s="3" t="str">
        <f t="shared" si="22"/>
        <v>0</v>
      </c>
      <c r="AE121" s="3">
        <f t="shared" si="23"/>
        <v>0</v>
      </c>
      <c r="AF121" s="3">
        <f t="shared" si="24"/>
        <v>0</v>
      </c>
      <c r="AM121" s="3" t="str">
        <f t="shared" si="25"/>
        <v/>
      </c>
      <c r="AN121" s="3" t="str">
        <f t="shared" si="26"/>
        <v/>
      </c>
      <c r="AO121" s="3" t="str">
        <f t="shared" si="27"/>
        <v/>
      </c>
      <c r="AP121" s="3">
        <f t="shared" si="28"/>
        <v>0</v>
      </c>
      <c r="AQ121" s="3">
        <f t="shared" si="29"/>
        <v>0</v>
      </c>
      <c r="AR121" s="3">
        <f t="shared" si="35"/>
        <v>0</v>
      </c>
      <c r="AS121" s="3" t="e">
        <f t="shared" si="36"/>
        <v>#REF!</v>
      </c>
      <c r="AT121" s="3" t="str">
        <f t="shared" si="30"/>
        <v/>
      </c>
      <c r="AU121" s="3">
        <f t="shared" si="31"/>
        <v>0</v>
      </c>
      <c r="AV121" s="3">
        <f t="shared" si="32"/>
        <v>0</v>
      </c>
      <c r="AW121" s="3">
        <v>234</v>
      </c>
      <c r="AX121" s="3" t="e">
        <f>IF(AND(#REF!="N",OR(AW121=$AX$1,AW121=$AX$2,AW121=$AX$3,AW121=$AX$4,AW121=$AY$1,AW121=$AY$2,AW121=$AY$3,AW121=$AY$4)),0,1)</f>
        <v>#REF!</v>
      </c>
    </row>
    <row r="122" spans="2:50" x14ac:dyDescent="0.2">
      <c r="B122" s="4">
        <v>236</v>
      </c>
      <c r="C122" s="208">
        <v>0.12607862007252099</v>
      </c>
      <c r="D122" s="208">
        <v>0.12607862007252157</v>
      </c>
      <c r="E122" s="208">
        <v>0.12607862007252163</v>
      </c>
      <c r="F122" s="209" t="s">
        <v>714</v>
      </c>
      <c r="G122" s="208">
        <v>1.6324910320878849E-2</v>
      </c>
      <c r="H122" s="210">
        <v>0.22313982641932012</v>
      </c>
      <c r="I122" s="208">
        <v>2.8133161398169741E-4</v>
      </c>
      <c r="J122" s="208">
        <v>2.8133161398169871E-4</v>
      </c>
      <c r="K122" s="208">
        <v>2.8133161398169882E-4</v>
      </c>
      <c r="L122" s="208">
        <v>4.8728064919165316E-4</v>
      </c>
      <c r="M122" s="208">
        <v>4.8728064919166135E-4</v>
      </c>
      <c r="N122" s="208">
        <v>4.8728064919165414E-4</v>
      </c>
      <c r="O122" s="3">
        <v>120</v>
      </c>
      <c r="P122" s="3">
        <v>120</v>
      </c>
      <c r="Q122" s="3">
        <v>120</v>
      </c>
      <c r="R122" s="4" t="s">
        <v>172</v>
      </c>
      <c r="S122" s="4" t="s">
        <v>172</v>
      </c>
      <c r="T122" s="4">
        <v>59</v>
      </c>
      <c r="U122" s="210"/>
      <c r="V122" s="210">
        <v>0.22313982641932012</v>
      </c>
      <c r="W122" s="3">
        <v>0.2231398264193189</v>
      </c>
      <c r="X122" s="3">
        <v>0</v>
      </c>
      <c r="Y122" s="3">
        <f t="shared" si="33"/>
        <v>1</v>
      </c>
      <c r="Z122" s="3">
        <f t="shared" si="34"/>
        <v>1</v>
      </c>
      <c r="AA122" s="3">
        <f t="shared" si="19"/>
        <v>5.1997140362999392E-2</v>
      </c>
      <c r="AB122" s="3">
        <f t="shared" si="20"/>
        <v>2.5998570181499696E-2</v>
      </c>
      <c r="AC122" s="3">
        <f t="shared" si="21"/>
        <v>7.4687073201665322E-5</v>
      </c>
      <c r="AD122" s="3" t="str">
        <f t="shared" si="22"/>
        <v>8.57239025200091E-08+0.0000746440881192612i</v>
      </c>
      <c r="AE122" s="3">
        <f t="shared" si="23"/>
        <v>8.57239025200091E-8</v>
      </c>
      <c r="AF122" s="3">
        <f t="shared" si="24"/>
        <v>7.4644088119261195E-5</v>
      </c>
      <c r="AM122" s="3" t="str">
        <f t="shared" si="25"/>
        <v>-0.0000019417571142843+0.0000038835142285686i</v>
      </c>
      <c r="AN122" s="3" t="str">
        <f t="shared" si="26"/>
        <v>0.0519971403629994+0.0260732572547014i</v>
      </c>
      <c r="AO122" s="3" t="str">
        <f t="shared" si="27"/>
        <v>8.57239025200091E-08+0.0000746440881192612i</v>
      </c>
      <c r="AP122" s="3">
        <f t="shared" si="28"/>
        <v>8.57239025200091E-8</v>
      </c>
      <c r="AQ122" s="3">
        <f t="shared" si="29"/>
        <v>7.4644088119261195E-5</v>
      </c>
      <c r="AR122" s="3">
        <f t="shared" si="35"/>
        <v>-2.6623666555845706</v>
      </c>
      <c r="AS122" s="3" t="e">
        <f t="shared" si="36"/>
        <v>#REF!</v>
      </c>
      <c r="AT122" s="3" t="e">
        <f t="shared" si="30"/>
        <v>#REF!</v>
      </c>
      <c r="AU122" s="3" t="e">
        <f t="shared" si="31"/>
        <v>#REF!</v>
      </c>
      <c r="AV122" s="3" t="e">
        <f t="shared" si="32"/>
        <v>#REF!</v>
      </c>
      <c r="AW122" s="3">
        <v>236</v>
      </c>
      <c r="AX122" s="3" t="e">
        <f>IF(AND(#REF!="N",OR(AW122=$AX$1,AW122=$AX$2,AW122=$AX$3,AW122=$AX$4,AW122=$AY$1,AW122=$AY$2,AW122=$AY$3,AW122=$AY$4)),0,1)</f>
        <v>#REF!</v>
      </c>
    </row>
    <row r="123" spans="2:50" x14ac:dyDescent="0.2">
      <c r="B123" s="4">
        <v>238</v>
      </c>
      <c r="C123" s="208">
        <v>4.4194173824159217E-8</v>
      </c>
      <c r="D123" s="208">
        <v>4.4194173824159217E-8</v>
      </c>
      <c r="E123" s="208">
        <v>4.4194173824159217E-8</v>
      </c>
      <c r="F123" s="209" t="s">
        <v>714</v>
      </c>
      <c r="G123" s="208">
        <v>1.1856549547846023E-16</v>
      </c>
      <c r="H123" s="210">
        <v>1.6206327361288686E-15</v>
      </c>
      <c r="I123" s="208">
        <v>7.1622524845601984E-25</v>
      </c>
      <c r="J123" s="208">
        <v>7.1622524845601984E-25</v>
      </c>
      <c r="K123" s="208">
        <v>7.1622524845601984E-25</v>
      </c>
      <c r="L123" s="208">
        <v>0</v>
      </c>
      <c r="M123" s="208">
        <v>0</v>
      </c>
      <c r="N123" s="208">
        <v>0</v>
      </c>
      <c r="O123" s="3">
        <v>360</v>
      </c>
      <c r="P123" s="3">
        <v>360</v>
      </c>
      <c r="Q123" s="3">
        <v>360</v>
      </c>
      <c r="S123" s="4">
        <v>0</v>
      </c>
      <c r="T123" s="4">
        <v>59.5</v>
      </c>
      <c r="U123" s="210"/>
      <c r="V123" s="210">
        <v>1.6206327361288688E-15</v>
      </c>
      <c r="W123" s="3">
        <v>0</v>
      </c>
      <c r="X123" s="3">
        <v>0</v>
      </c>
      <c r="Y123" s="3">
        <f t="shared" si="33"/>
        <v>1</v>
      </c>
      <c r="Z123" s="3">
        <f t="shared" si="34"/>
        <v>1</v>
      </c>
      <c r="AA123" s="3" t="str">
        <f t="shared" si="19"/>
        <v/>
      </c>
      <c r="AB123" s="3" t="str">
        <f t="shared" si="20"/>
        <v/>
      </c>
      <c r="AC123" s="3" t="str">
        <f t="shared" si="21"/>
        <v/>
      </c>
      <c r="AD123" s="3" t="str">
        <f t="shared" si="22"/>
        <v>0</v>
      </c>
      <c r="AE123" s="3">
        <f t="shared" si="23"/>
        <v>0</v>
      </c>
      <c r="AF123" s="3">
        <f t="shared" si="24"/>
        <v>0</v>
      </c>
      <c r="AM123" s="3" t="str">
        <f t="shared" si="25"/>
        <v/>
      </c>
      <c r="AN123" s="3" t="str">
        <f t="shared" si="26"/>
        <v/>
      </c>
      <c r="AO123" s="3" t="str">
        <f t="shared" si="27"/>
        <v/>
      </c>
      <c r="AP123" s="3">
        <f t="shared" si="28"/>
        <v>0</v>
      </c>
      <c r="AQ123" s="3">
        <f t="shared" si="29"/>
        <v>0</v>
      </c>
      <c r="AR123" s="3">
        <f t="shared" si="35"/>
        <v>0</v>
      </c>
      <c r="AS123" s="3" t="e">
        <f t="shared" si="36"/>
        <v>#REF!</v>
      </c>
      <c r="AT123" s="3" t="str">
        <f t="shared" si="30"/>
        <v/>
      </c>
      <c r="AU123" s="3">
        <f t="shared" si="31"/>
        <v>0</v>
      </c>
      <c r="AV123" s="3">
        <f t="shared" si="32"/>
        <v>0</v>
      </c>
      <c r="AW123" s="3">
        <v>238</v>
      </c>
      <c r="AX123" s="3" t="e">
        <f>IF(AND(#REF!="N",OR(AW123=$AX$1,AW123=$AX$2,AW123=$AX$3,AW123=$AX$4,AW123=$AY$1,AW123=$AY$2,AW123=$AY$3,AW123=$AY$4)),0,1)</f>
        <v>#REF!</v>
      </c>
    </row>
    <row r="124" spans="2:50" x14ac:dyDescent="0.2">
      <c r="B124" s="4">
        <v>240</v>
      </c>
      <c r="C124" s="208">
        <v>4.4194173824159217E-8</v>
      </c>
      <c r="D124" s="208">
        <v>4.4194173824159217E-8</v>
      </c>
      <c r="E124" s="208">
        <v>4.4194173824159217E-8</v>
      </c>
      <c r="F124" s="209" t="s">
        <v>714</v>
      </c>
      <c r="G124" s="208">
        <v>8.4814791505693778E-16</v>
      </c>
      <c r="H124" s="210">
        <v>1.1593054713548027E-14</v>
      </c>
      <c r="I124" s="208">
        <v>5.1234547516352984E-24</v>
      </c>
      <c r="J124" s="208">
        <v>5.1234547516352984E-24</v>
      </c>
      <c r="K124" s="208">
        <v>5.1234547516352984E-24</v>
      </c>
      <c r="L124" s="208">
        <v>0</v>
      </c>
      <c r="M124" s="208">
        <v>0</v>
      </c>
      <c r="N124" s="208">
        <v>0</v>
      </c>
      <c r="O124" s="3">
        <v>360</v>
      </c>
      <c r="P124" s="3">
        <v>360</v>
      </c>
      <c r="Q124" s="3">
        <v>360</v>
      </c>
      <c r="S124" s="4">
        <v>0</v>
      </c>
      <c r="T124" s="4">
        <v>60</v>
      </c>
      <c r="U124" s="210"/>
      <c r="V124" s="210">
        <v>1.1593054713548025E-14</v>
      </c>
      <c r="W124" s="3">
        <v>0</v>
      </c>
      <c r="X124" s="3">
        <v>0</v>
      </c>
      <c r="Y124" s="3">
        <f t="shared" si="33"/>
        <v>1</v>
      </c>
      <c r="Z124" s="3">
        <f t="shared" si="34"/>
        <v>1</v>
      </c>
      <c r="AA124" s="3" t="str">
        <f t="shared" si="19"/>
        <v/>
      </c>
      <c r="AB124" s="3" t="str">
        <f t="shared" si="20"/>
        <v/>
      </c>
      <c r="AC124" s="3" t="str">
        <f t="shared" si="21"/>
        <v/>
      </c>
      <c r="AD124" s="3" t="str">
        <f t="shared" si="22"/>
        <v>0</v>
      </c>
      <c r="AE124" s="3">
        <f t="shared" si="23"/>
        <v>0</v>
      </c>
      <c r="AF124" s="3">
        <f t="shared" si="24"/>
        <v>0</v>
      </c>
      <c r="AM124" s="3" t="str">
        <f t="shared" si="25"/>
        <v/>
      </c>
      <c r="AN124" s="3" t="str">
        <f t="shared" si="26"/>
        <v/>
      </c>
      <c r="AO124" s="3" t="str">
        <f t="shared" si="27"/>
        <v/>
      </c>
      <c r="AP124" s="3">
        <f t="shared" si="28"/>
        <v>0</v>
      </c>
      <c r="AQ124" s="3">
        <f t="shared" si="29"/>
        <v>0</v>
      </c>
      <c r="AR124" s="3">
        <f t="shared" si="35"/>
        <v>0</v>
      </c>
      <c r="AS124" s="3" t="e">
        <f t="shared" si="36"/>
        <v>#REF!</v>
      </c>
      <c r="AT124" s="3" t="str">
        <f t="shared" si="30"/>
        <v/>
      </c>
      <c r="AU124" s="3">
        <f t="shared" si="31"/>
        <v>0</v>
      </c>
      <c r="AV124" s="3">
        <f t="shared" si="32"/>
        <v>0</v>
      </c>
      <c r="AW124" s="3">
        <v>240</v>
      </c>
      <c r="AX124" s="3" t="e">
        <f>IF(AND(#REF!="N",OR(AW124=$AX$1,AW124=$AX$2,AW124=$AX$3,AW124=$AX$4,AW124=$AY$1,AW124=$AY$2,AW124=$AY$3,AW124=$AY$4)),0,1)</f>
        <v>#REF!</v>
      </c>
    </row>
    <row r="125" spans="2:50" x14ac:dyDescent="0.2">
      <c r="B125" s="4">
        <v>242</v>
      </c>
      <c r="C125" s="208">
        <v>4.4194173824159217E-8</v>
      </c>
      <c r="D125" s="208">
        <v>4.4194173824159217E-8</v>
      </c>
      <c r="E125" s="208">
        <v>4.4194173824159217E-8</v>
      </c>
      <c r="F125" s="209" t="s">
        <v>714</v>
      </c>
      <c r="G125" s="208">
        <v>6.8014231329766284E-17</v>
      </c>
      <c r="H125" s="210">
        <v>9.2966414360985595E-16</v>
      </c>
      <c r="I125" s="208">
        <v>4.1085738760782086E-25</v>
      </c>
      <c r="J125" s="208">
        <v>4.1085738760782086E-25</v>
      </c>
      <c r="K125" s="208">
        <v>4.1085738760782086E-25</v>
      </c>
      <c r="L125" s="208">
        <v>0</v>
      </c>
      <c r="M125" s="208">
        <v>0</v>
      </c>
      <c r="N125" s="208">
        <v>0</v>
      </c>
      <c r="O125" s="3">
        <v>360</v>
      </c>
      <c r="P125" s="3">
        <v>360</v>
      </c>
      <c r="Q125" s="3">
        <v>360</v>
      </c>
      <c r="S125" s="4">
        <v>0</v>
      </c>
      <c r="T125" s="4">
        <v>60.5</v>
      </c>
      <c r="U125" s="210"/>
      <c r="V125" s="210">
        <v>9.2966414360985575E-16</v>
      </c>
      <c r="W125" s="3">
        <v>0</v>
      </c>
      <c r="X125" s="3">
        <v>0</v>
      </c>
      <c r="Y125" s="3">
        <f t="shared" si="33"/>
        <v>1</v>
      </c>
      <c r="Z125" s="3">
        <f t="shared" si="34"/>
        <v>1</v>
      </c>
      <c r="AA125" s="3" t="str">
        <f t="shared" si="19"/>
        <v/>
      </c>
      <c r="AB125" s="3" t="str">
        <f t="shared" si="20"/>
        <v/>
      </c>
      <c r="AC125" s="3" t="str">
        <f t="shared" si="21"/>
        <v/>
      </c>
      <c r="AD125" s="3" t="str">
        <f t="shared" si="22"/>
        <v>0</v>
      </c>
      <c r="AE125" s="3">
        <f t="shared" si="23"/>
        <v>0</v>
      </c>
      <c r="AF125" s="3">
        <f t="shared" si="24"/>
        <v>0</v>
      </c>
      <c r="AM125" s="3" t="str">
        <f t="shared" si="25"/>
        <v/>
      </c>
      <c r="AN125" s="3" t="str">
        <f t="shared" si="26"/>
        <v/>
      </c>
      <c r="AO125" s="3" t="str">
        <f t="shared" si="27"/>
        <v/>
      </c>
      <c r="AP125" s="3">
        <f t="shared" si="28"/>
        <v>0</v>
      </c>
      <c r="AQ125" s="3">
        <f t="shared" si="29"/>
        <v>0</v>
      </c>
      <c r="AR125" s="3">
        <f t="shared" si="35"/>
        <v>0</v>
      </c>
      <c r="AS125" s="3" t="e">
        <f t="shared" si="36"/>
        <v>#REF!</v>
      </c>
      <c r="AT125" s="3" t="str">
        <f t="shared" si="30"/>
        <v/>
      </c>
      <c r="AU125" s="3">
        <f t="shared" si="31"/>
        <v>0</v>
      </c>
      <c r="AV125" s="3">
        <f t="shared" si="32"/>
        <v>0</v>
      </c>
      <c r="AW125" s="3">
        <v>242</v>
      </c>
      <c r="AX125" s="3" t="e">
        <f>IF(AND(#REF!="N",OR(AW125=$AX$1,AW125=$AX$2,AW125=$AX$3,AW125=$AX$4,AW125=$AY$1,AW125=$AY$2,AW125=$AY$3,AW125=$AY$4)),0,1)</f>
        <v>#REF!</v>
      </c>
    </row>
    <row r="126" spans="2:50" x14ac:dyDescent="0.2">
      <c r="B126" s="4">
        <v>244</v>
      </c>
      <c r="C126" s="208">
        <v>0.12607862007251991</v>
      </c>
      <c r="D126" s="208">
        <v>0.12607862007251522</v>
      </c>
      <c r="E126" s="208">
        <v>0.12607862007252213</v>
      </c>
      <c r="F126" s="209" t="s">
        <v>714</v>
      </c>
      <c r="G126" s="208">
        <v>1.5789667359538247E-2</v>
      </c>
      <c r="H126" s="210">
        <v>0.2158237665367152</v>
      </c>
      <c r="I126" s="208">
        <v>2.7210762663802749E-4</v>
      </c>
      <c r="J126" s="208">
        <v>2.7210762663801736E-4</v>
      </c>
      <c r="K126" s="208">
        <v>2.7210762663803232E-4</v>
      </c>
      <c r="L126" s="208">
        <v>4.7130423446405079E-4</v>
      </c>
      <c r="M126" s="208">
        <v>4.7130423446403654E-4</v>
      </c>
      <c r="N126" s="208">
        <v>4.7130423446404163E-4</v>
      </c>
      <c r="O126" s="3">
        <v>240</v>
      </c>
      <c r="P126" s="3">
        <v>240</v>
      </c>
      <c r="Q126" s="3">
        <v>240</v>
      </c>
      <c r="R126" s="4" t="s">
        <v>168</v>
      </c>
      <c r="S126" s="4" t="s">
        <v>168</v>
      </c>
      <c r="T126" s="4">
        <v>61</v>
      </c>
      <c r="U126" s="210"/>
      <c r="V126" s="210">
        <v>0.21582376653671517</v>
      </c>
      <c r="W126" s="3">
        <v>0</v>
      </c>
      <c r="X126" s="3">
        <v>0.21582376653671459</v>
      </c>
      <c r="Y126" s="3">
        <f t="shared" si="33"/>
        <v>1</v>
      </c>
      <c r="Z126" s="3">
        <f t="shared" si="34"/>
        <v>1</v>
      </c>
      <c r="AA126" s="3">
        <f t="shared" si="19"/>
        <v>5.1997140362998504E-2</v>
      </c>
      <c r="AB126" s="3">
        <f t="shared" si="20"/>
        <v>2.5998570181499252E-2</v>
      </c>
      <c r="AC126" s="3">
        <f t="shared" si="21"/>
        <v>6.9869847303142299E-5</v>
      </c>
      <c r="AD126" s="3" t="str">
        <f t="shared" si="22"/>
        <v>7.5027915689965E-08+0.0000698322325284259i</v>
      </c>
      <c r="AE126" s="3">
        <f t="shared" si="23"/>
        <v>7.5027915689965005E-8</v>
      </c>
      <c r="AF126" s="3">
        <f t="shared" si="24"/>
        <v>6.9832232528425895E-5</v>
      </c>
      <c r="AM126" s="3" t="str">
        <f t="shared" si="25"/>
        <v>-1.81651612868138E-06+3.63303225736276E-06i</v>
      </c>
      <c r="AN126" s="3" t="str">
        <f t="shared" si="26"/>
        <v>0.0519971403629985+0.0260684400288024i</v>
      </c>
      <c r="AO126" s="3" t="str">
        <f t="shared" si="27"/>
        <v>7.5027915689965E-08+0.0000698322325284259i</v>
      </c>
      <c r="AP126" s="3">
        <f t="shared" si="28"/>
        <v>7.5027915689965005E-8</v>
      </c>
      <c r="AQ126" s="3">
        <f t="shared" si="29"/>
        <v>6.9832232528425895E-5</v>
      </c>
      <c r="AR126" s="3">
        <f t="shared" si="35"/>
        <v>2.5750759455654042</v>
      </c>
      <c r="AS126" s="3" t="e">
        <f t="shared" si="36"/>
        <v>#REF!</v>
      </c>
      <c r="AT126" s="3" t="e">
        <f t="shared" si="30"/>
        <v>#REF!</v>
      </c>
      <c r="AU126" s="3" t="e">
        <f t="shared" si="31"/>
        <v>#REF!</v>
      </c>
      <c r="AV126" s="3" t="e">
        <f t="shared" si="32"/>
        <v>#REF!</v>
      </c>
      <c r="AW126" s="3">
        <v>244</v>
      </c>
      <c r="AX126" s="3" t="e">
        <f>IF(AND(#REF!="N",OR(AW126=$AX$1,AW126=$AX$2,AW126=$AX$3,AW126=$AX$4,AW126=$AY$1,AW126=$AY$2,AW126=$AY$3,AW126=$AY$4)),0,1)</f>
        <v>#REF!</v>
      </c>
    </row>
    <row r="127" spans="2:50" x14ac:dyDescent="0.2">
      <c r="B127" s="4">
        <v>246</v>
      </c>
      <c r="C127" s="208">
        <v>4.4194173824159217E-8</v>
      </c>
      <c r="D127" s="208">
        <v>4.4194173824159217E-8</v>
      </c>
      <c r="E127" s="208">
        <v>4.4194173824159217E-8</v>
      </c>
      <c r="F127" s="209" t="s">
        <v>714</v>
      </c>
      <c r="G127" s="208">
        <v>9.9756758684645536E-16</v>
      </c>
      <c r="H127" s="210">
        <v>1.3635423031130906E-14</v>
      </c>
      <c r="I127" s="208">
        <v>6.026062556037432E-24</v>
      </c>
      <c r="J127" s="208">
        <v>6.026062556037432E-24</v>
      </c>
      <c r="K127" s="208">
        <v>6.026062556037432E-24</v>
      </c>
      <c r="L127" s="208">
        <v>0</v>
      </c>
      <c r="M127" s="208">
        <v>0</v>
      </c>
      <c r="N127" s="208">
        <v>0</v>
      </c>
      <c r="O127" s="3">
        <v>360</v>
      </c>
      <c r="P127" s="3">
        <v>360</v>
      </c>
      <c r="Q127" s="3">
        <v>360</v>
      </c>
      <c r="S127" s="4">
        <v>0</v>
      </c>
      <c r="T127" s="4">
        <v>61.5</v>
      </c>
      <c r="U127" s="210"/>
      <c r="V127" s="210">
        <v>1.3635423031130906E-14</v>
      </c>
      <c r="W127" s="3">
        <v>0</v>
      </c>
      <c r="X127" s="3">
        <v>0</v>
      </c>
      <c r="Y127" s="3">
        <f t="shared" si="33"/>
        <v>1</v>
      </c>
      <c r="Z127" s="3">
        <f t="shared" si="34"/>
        <v>1</v>
      </c>
      <c r="AA127" s="3" t="str">
        <f t="shared" si="19"/>
        <v/>
      </c>
      <c r="AB127" s="3" t="str">
        <f t="shared" si="20"/>
        <v/>
      </c>
      <c r="AC127" s="3" t="str">
        <f t="shared" si="21"/>
        <v/>
      </c>
      <c r="AD127" s="3" t="str">
        <f t="shared" si="22"/>
        <v>0</v>
      </c>
      <c r="AE127" s="3">
        <f t="shared" si="23"/>
        <v>0</v>
      </c>
      <c r="AF127" s="3">
        <f t="shared" si="24"/>
        <v>0</v>
      </c>
      <c r="AM127" s="3" t="str">
        <f t="shared" si="25"/>
        <v/>
      </c>
      <c r="AN127" s="3" t="str">
        <f t="shared" si="26"/>
        <v/>
      </c>
      <c r="AO127" s="3" t="str">
        <f t="shared" si="27"/>
        <v/>
      </c>
      <c r="AP127" s="3">
        <f t="shared" si="28"/>
        <v>0</v>
      </c>
      <c r="AQ127" s="3">
        <f t="shared" si="29"/>
        <v>0</v>
      </c>
      <c r="AR127" s="3">
        <f t="shared" si="35"/>
        <v>0</v>
      </c>
      <c r="AS127" s="3" t="e">
        <f t="shared" si="36"/>
        <v>#REF!</v>
      </c>
      <c r="AT127" s="3" t="str">
        <f t="shared" si="30"/>
        <v/>
      </c>
      <c r="AU127" s="3">
        <f t="shared" si="31"/>
        <v>0</v>
      </c>
      <c r="AV127" s="3">
        <f t="shared" si="32"/>
        <v>0</v>
      </c>
      <c r="AW127" s="3">
        <v>246</v>
      </c>
      <c r="AX127" s="3" t="e">
        <f>IF(AND(#REF!="N",OR(AW127=$AX$1,AW127=$AX$2,AW127=$AX$3,AW127=$AX$4,AW127=$AY$1,AW127=$AY$2,AW127=$AY$3,AW127=$AY$4)),0,1)</f>
        <v>#REF!</v>
      </c>
    </row>
    <row r="128" spans="2:50" x14ac:dyDescent="0.2">
      <c r="B128" s="4">
        <v>248</v>
      </c>
      <c r="C128" s="208">
        <v>4.4194173824159217E-8</v>
      </c>
      <c r="D128" s="208">
        <v>4.4194173824159217E-8</v>
      </c>
      <c r="E128" s="208">
        <v>4.4194173824159217E-8</v>
      </c>
      <c r="F128" s="209" t="s">
        <v>714</v>
      </c>
      <c r="G128" s="208">
        <v>2.4638059655245919E-16</v>
      </c>
      <c r="H128" s="210">
        <v>3.3676952869683262E-15</v>
      </c>
      <c r="I128" s="208">
        <v>1.4883251089907998E-24</v>
      </c>
      <c r="J128" s="208">
        <v>1.4883251089907998E-24</v>
      </c>
      <c r="K128" s="208">
        <v>1.4883251089907998E-24</v>
      </c>
      <c r="L128" s="208">
        <v>0</v>
      </c>
      <c r="M128" s="208">
        <v>0</v>
      </c>
      <c r="N128" s="208">
        <v>0</v>
      </c>
      <c r="O128" s="3">
        <v>360</v>
      </c>
      <c r="P128" s="3">
        <v>360</v>
      </c>
      <c r="Q128" s="3">
        <v>360</v>
      </c>
      <c r="S128" s="4">
        <v>0</v>
      </c>
      <c r="T128" s="4">
        <v>62</v>
      </c>
      <c r="U128" s="210"/>
      <c r="V128" s="210">
        <v>3.3676952869683262E-15</v>
      </c>
      <c r="W128" s="3">
        <v>0</v>
      </c>
      <c r="X128" s="3">
        <v>0</v>
      </c>
      <c r="Y128" s="3">
        <f t="shared" si="33"/>
        <v>1</v>
      </c>
      <c r="Z128" s="3">
        <f t="shared" si="34"/>
        <v>1</v>
      </c>
      <c r="AA128" s="3" t="str">
        <f t="shared" si="19"/>
        <v/>
      </c>
      <c r="AB128" s="3" t="str">
        <f t="shared" si="20"/>
        <v/>
      </c>
      <c r="AC128" s="3" t="str">
        <f t="shared" si="21"/>
        <v/>
      </c>
      <c r="AD128" s="3" t="str">
        <f t="shared" si="22"/>
        <v>0</v>
      </c>
      <c r="AE128" s="3">
        <f t="shared" si="23"/>
        <v>0</v>
      </c>
      <c r="AF128" s="3">
        <f t="shared" si="24"/>
        <v>0</v>
      </c>
      <c r="AM128" s="3" t="str">
        <f t="shared" si="25"/>
        <v/>
      </c>
      <c r="AN128" s="3" t="str">
        <f t="shared" si="26"/>
        <v/>
      </c>
      <c r="AO128" s="3" t="str">
        <f t="shared" si="27"/>
        <v/>
      </c>
      <c r="AP128" s="3">
        <f t="shared" si="28"/>
        <v>0</v>
      </c>
      <c r="AQ128" s="3">
        <f t="shared" si="29"/>
        <v>0</v>
      </c>
      <c r="AR128" s="3">
        <f t="shared" si="35"/>
        <v>0</v>
      </c>
      <c r="AS128" s="3" t="e">
        <f t="shared" si="36"/>
        <v>#REF!</v>
      </c>
      <c r="AT128" s="3" t="str">
        <f t="shared" si="30"/>
        <v/>
      </c>
      <c r="AU128" s="3">
        <f t="shared" si="31"/>
        <v>0</v>
      </c>
      <c r="AV128" s="3">
        <f t="shared" si="32"/>
        <v>0</v>
      </c>
      <c r="AW128" s="3">
        <v>248</v>
      </c>
      <c r="AX128" s="3" t="e">
        <f>IF(AND(#REF!="N",OR(AW128=$AX$1,AW128=$AX$2,AW128=$AX$3,AW128=$AX$4,AW128=$AY$1,AW128=$AY$2,AW128=$AY$3,AW128=$AY$4)),0,1)</f>
        <v>#REF!</v>
      </c>
    </row>
    <row r="129" spans="2:50" x14ac:dyDescent="0.2">
      <c r="B129" s="4">
        <v>250</v>
      </c>
      <c r="C129" s="208">
        <v>4.4194173824159217E-8</v>
      </c>
      <c r="D129" s="208">
        <v>4.4194173824159217E-8</v>
      </c>
      <c r="E129" s="208">
        <v>4.4194173824159217E-8</v>
      </c>
      <c r="F129" s="209" t="s">
        <v>714</v>
      </c>
      <c r="G129" s="208">
        <v>1.1055062129359986E-16</v>
      </c>
      <c r="H129" s="210">
        <v>1.5110800587034316E-15</v>
      </c>
      <c r="I129" s="208">
        <v>6.6780934776560176E-25</v>
      </c>
      <c r="J129" s="208">
        <v>6.6780934776560176E-25</v>
      </c>
      <c r="K129" s="208">
        <v>6.6780934776560176E-25</v>
      </c>
      <c r="L129" s="208">
        <v>0</v>
      </c>
      <c r="M129" s="208">
        <v>0</v>
      </c>
      <c r="N129" s="208">
        <v>0</v>
      </c>
      <c r="O129" s="3">
        <v>360</v>
      </c>
      <c r="P129" s="3">
        <v>360</v>
      </c>
      <c r="Q129" s="3">
        <v>360</v>
      </c>
      <c r="S129" s="4">
        <v>0</v>
      </c>
      <c r="T129" s="4">
        <v>62.5</v>
      </c>
      <c r="U129" s="210"/>
      <c r="V129" s="210">
        <v>1.5110800587034316E-15</v>
      </c>
      <c r="W129" s="3">
        <v>0</v>
      </c>
      <c r="X129" s="3">
        <v>0</v>
      </c>
      <c r="Y129" s="3">
        <f t="shared" si="33"/>
        <v>1</v>
      </c>
      <c r="Z129" s="3">
        <f t="shared" si="34"/>
        <v>1</v>
      </c>
      <c r="AA129" s="3" t="str">
        <f t="shared" si="19"/>
        <v/>
      </c>
      <c r="AB129" s="3" t="str">
        <f t="shared" si="20"/>
        <v/>
      </c>
      <c r="AC129" s="3" t="str">
        <f t="shared" si="21"/>
        <v/>
      </c>
      <c r="AD129" s="3" t="str">
        <f t="shared" si="22"/>
        <v>0</v>
      </c>
      <c r="AE129" s="3">
        <f t="shared" si="23"/>
        <v>0</v>
      </c>
      <c r="AF129" s="3">
        <f t="shared" si="24"/>
        <v>0</v>
      </c>
      <c r="AM129" s="3" t="str">
        <f t="shared" si="25"/>
        <v/>
      </c>
      <c r="AN129" s="3" t="str">
        <f t="shared" si="26"/>
        <v/>
      </c>
      <c r="AO129" s="3" t="str">
        <f t="shared" si="27"/>
        <v/>
      </c>
      <c r="AP129" s="3">
        <f t="shared" si="28"/>
        <v>0</v>
      </c>
      <c r="AQ129" s="3">
        <f t="shared" si="29"/>
        <v>0</v>
      </c>
      <c r="AR129" s="3">
        <f t="shared" si="35"/>
        <v>0</v>
      </c>
      <c r="AS129" s="3" t="e">
        <f t="shared" si="36"/>
        <v>#REF!</v>
      </c>
      <c r="AT129" s="3" t="str">
        <f t="shared" si="30"/>
        <v/>
      </c>
      <c r="AU129" s="3">
        <f t="shared" si="31"/>
        <v>0</v>
      </c>
      <c r="AV129" s="3">
        <f t="shared" si="32"/>
        <v>0</v>
      </c>
      <c r="AW129" s="3">
        <v>250</v>
      </c>
      <c r="AX129" s="3" t="e">
        <f>IF(AND(#REF!="N",OR(AW129=$AX$1,AW129=$AX$2,AW129=$AX$3,AW129=$AX$4,AW129=$AY$1,AW129=$AY$2,AW129=$AY$3,AW129=$AY$4)),0,1)</f>
        <v>#REF!</v>
      </c>
    </row>
    <row r="130" spans="2:50" x14ac:dyDescent="0.2">
      <c r="B130" s="4">
        <v>252</v>
      </c>
      <c r="C130" s="208">
        <v>0.27059805007310372</v>
      </c>
      <c r="D130" s="208">
        <v>0.27059805007310139</v>
      </c>
      <c r="E130" s="208">
        <v>0.27059805007309812</v>
      </c>
      <c r="F130" s="209" t="s">
        <v>714</v>
      </c>
      <c r="G130" s="208">
        <v>4.6121381800331353E-16</v>
      </c>
      <c r="H130" s="210">
        <v>6.3041798863560833E-15</v>
      </c>
      <c r="I130" s="208">
        <v>1.7058987845580368E-17</v>
      </c>
      <c r="J130" s="208">
        <v>1.705898784558022E-17</v>
      </c>
      <c r="K130" s="208">
        <v>1.7058987845580014E-17</v>
      </c>
      <c r="L130" s="208">
        <v>4.6336449604097985E-31</v>
      </c>
      <c r="M130" s="208">
        <v>2.4468255891463849E-31</v>
      </c>
      <c r="N130" s="208">
        <v>2.3173219347817883E-31</v>
      </c>
      <c r="O130" s="3">
        <v>360</v>
      </c>
      <c r="P130" s="3">
        <v>0</v>
      </c>
      <c r="Q130" s="3">
        <v>0</v>
      </c>
      <c r="S130" s="4">
        <v>0</v>
      </c>
      <c r="T130" s="4">
        <v>63</v>
      </c>
      <c r="U130" s="210"/>
      <c r="V130" s="210">
        <v>6.3041798863560833E-15</v>
      </c>
      <c r="W130" s="3">
        <v>0</v>
      </c>
      <c r="X130" s="3">
        <v>0</v>
      </c>
      <c r="Y130" s="3">
        <f t="shared" si="33"/>
        <v>1</v>
      </c>
      <c r="Z130" s="3">
        <f t="shared" si="34"/>
        <v>1</v>
      </c>
      <c r="AA130" s="3" t="str">
        <f t="shared" si="19"/>
        <v/>
      </c>
      <c r="AB130" s="3" t="str">
        <f t="shared" si="20"/>
        <v/>
      </c>
      <c r="AC130" s="3" t="str">
        <f t="shared" si="21"/>
        <v/>
      </c>
      <c r="AD130" s="3" t="str">
        <f t="shared" si="22"/>
        <v>0</v>
      </c>
      <c r="AE130" s="3">
        <f t="shared" si="23"/>
        <v>0</v>
      </c>
      <c r="AF130" s="3">
        <f t="shared" si="24"/>
        <v>0</v>
      </c>
      <c r="AM130" s="3" t="str">
        <f t="shared" si="25"/>
        <v/>
      </c>
      <c r="AN130" s="3" t="str">
        <f t="shared" si="26"/>
        <v/>
      </c>
      <c r="AO130" s="3" t="str">
        <f t="shared" si="27"/>
        <v/>
      </c>
      <c r="AP130" s="3">
        <f t="shared" si="28"/>
        <v>0</v>
      </c>
      <c r="AQ130" s="3">
        <f t="shared" si="29"/>
        <v>0</v>
      </c>
      <c r="AR130" s="3">
        <f t="shared" si="35"/>
        <v>0</v>
      </c>
      <c r="AS130" s="3" t="e">
        <f t="shared" si="36"/>
        <v>#REF!</v>
      </c>
      <c r="AT130" s="3" t="str">
        <f t="shared" si="30"/>
        <v/>
      </c>
      <c r="AU130" s="3">
        <f t="shared" si="31"/>
        <v>0</v>
      </c>
      <c r="AV130" s="3">
        <f t="shared" si="32"/>
        <v>0</v>
      </c>
      <c r="AW130" s="3">
        <v>252</v>
      </c>
      <c r="AX130" s="3" t="e">
        <f>IF(AND(#REF!="N",OR(AW130=$AX$1,AW130=$AX$2,AW130=$AX$3,AW130=$AX$4,AW130=$AY$1,AW130=$AY$2,AW130=$AY$3,AW130=$AY$4)),0,1)</f>
        <v>#REF!</v>
      </c>
    </row>
    <row r="131" spans="2:50" x14ac:dyDescent="0.2">
      <c r="B131" s="4">
        <v>254</v>
      </c>
      <c r="C131" s="208">
        <v>4.4194173824159217E-8</v>
      </c>
      <c r="D131" s="208">
        <v>4.4194173824159217E-8</v>
      </c>
      <c r="E131" s="208">
        <v>4.4194173824159217E-8</v>
      </c>
      <c r="F131" s="209" t="s">
        <v>714</v>
      </c>
      <c r="G131" s="208">
        <v>1.5428288479325019E-16</v>
      </c>
      <c r="H131" s="210">
        <v>2.1088419755793464E-15</v>
      </c>
      <c r="I131" s="208">
        <v>9.3198528836436962E-25</v>
      </c>
      <c r="J131" s="208">
        <v>9.3198528836436962E-25</v>
      </c>
      <c r="K131" s="208">
        <v>9.3198528836436962E-25</v>
      </c>
      <c r="L131" s="208">
        <v>0</v>
      </c>
      <c r="M131" s="208">
        <v>0</v>
      </c>
      <c r="N131" s="208">
        <v>0</v>
      </c>
      <c r="O131" s="3">
        <v>360</v>
      </c>
      <c r="P131" s="3">
        <v>360</v>
      </c>
      <c r="Q131" s="3">
        <v>360</v>
      </c>
      <c r="S131" s="4">
        <v>0</v>
      </c>
      <c r="T131" s="4">
        <v>63.5</v>
      </c>
      <c r="U131" s="210"/>
      <c r="V131" s="210">
        <v>2.1088419755793464E-15</v>
      </c>
      <c r="W131" s="3">
        <v>0</v>
      </c>
      <c r="X131" s="3">
        <v>0</v>
      </c>
      <c r="Y131" s="3">
        <f t="shared" si="33"/>
        <v>1</v>
      </c>
      <c r="Z131" s="3">
        <f t="shared" si="34"/>
        <v>1</v>
      </c>
      <c r="AA131" s="3" t="str">
        <f t="shared" si="19"/>
        <v/>
      </c>
      <c r="AB131" s="3" t="str">
        <f t="shared" si="20"/>
        <v/>
      </c>
      <c r="AC131" s="3" t="str">
        <f t="shared" si="21"/>
        <v/>
      </c>
      <c r="AD131" s="3" t="str">
        <f t="shared" si="22"/>
        <v>0</v>
      </c>
      <c r="AE131" s="3">
        <f t="shared" si="23"/>
        <v>0</v>
      </c>
      <c r="AF131" s="3">
        <f t="shared" si="24"/>
        <v>0</v>
      </c>
      <c r="AM131" s="3" t="str">
        <f t="shared" si="25"/>
        <v/>
      </c>
      <c r="AN131" s="3" t="str">
        <f t="shared" si="26"/>
        <v/>
      </c>
      <c r="AO131" s="3" t="str">
        <f t="shared" si="27"/>
        <v/>
      </c>
      <c r="AP131" s="3">
        <f t="shared" si="28"/>
        <v>0</v>
      </c>
      <c r="AQ131" s="3">
        <f t="shared" si="29"/>
        <v>0</v>
      </c>
      <c r="AR131" s="3">
        <f t="shared" si="35"/>
        <v>0</v>
      </c>
      <c r="AS131" s="3" t="e">
        <f t="shared" si="36"/>
        <v>#REF!</v>
      </c>
      <c r="AT131" s="3" t="str">
        <f t="shared" si="30"/>
        <v/>
      </c>
      <c r="AU131" s="3">
        <f t="shared" si="31"/>
        <v>0</v>
      </c>
      <c r="AV131" s="3">
        <f t="shared" si="32"/>
        <v>0</v>
      </c>
      <c r="AW131" s="3">
        <v>254</v>
      </c>
      <c r="AX131" s="3" t="e">
        <f>IF(AND(#REF!="N",OR(AW131=$AX$1,AW131=$AX$2,AW131=$AX$3,AW131=$AX$4,AW131=$AY$1,AW131=$AY$2,AW131=$AY$3,AW131=$AY$4)),0,1)</f>
        <v>#REF!</v>
      </c>
    </row>
    <row r="132" spans="2:50" x14ac:dyDescent="0.2">
      <c r="B132" s="4">
        <v>256</v>
      </c>
      <c r="C132" s="208">
        <v>4.4194173824159217E-8</v>
      </c>
      <c r="D132" s="208">
        <v>4.4194173824159217E-8</v>
      </c>
      <c r="E132" s="208">
        <v>4.4194173824159217E-8</v>
      </c>
      <c r="F132" s="209" t="s">
        <v>714</v>
      </c>
      <c r="G132" s="208">
        <v>2.6615187151757847E-16</v>
      </c>
      <c r="H132" s="210">
        <v>3.6379423374628644E-15</v>
      </c>
      <c r="I132" s="208">
        <v>1.6077585602410192E-24</v>
      </c>
      <c r="J132" s="208">
        <v>1.6077585602410192E-24</v>
      </c>
      <c r="K132" s="208">
        <v>1.6077585602410192E-24</v>
      </c>
      <c r="L132" s="208">
        <v>0</v>
      </c>
      <c r="M132" s="208">
        <v>0</v>
      </c>
      <c r="N132" s="208">
        <v>0</v>
      </c>
      <c r="O132" s="3">
        <v>360</v>
      </c>
      <c r="P132" s="3">
        <v>360</v>
      </c>
      <c r="Q132" s="3">
        <v>360</v>
      </c>
      <c r="S132" s="4">
        <v>0</v>
      </c>
      <c r="T132" s="4">
        <v>64</v>
      </c>
      <c r="U132" s="210"/>
      <c r="V132" s="210">
        <v>3.6379423374628644E-15</v>
      </c>
      <c r="W132" s="3">
        <v>0</v>
      </c>
      <c r="X132" s="3">
        <v>0</v>
      </c>
      <c r="Y132" s="3">
        <f t="shared" si="33"/>
        <v>1</v>
      </c>
      <c r="Z132" s="3">
        <f t="shared" si="34"/>
        <v>1</v>
      </c>
      <c r="AA132" s="3" t="str">
        <f t="shared" si="19"/>
        <v/>
      </c>
      <c r="AB132" s="3" t="str">
        <f t="shared" si="20"/>
        <v/>
      </c>
      <c r="AC132" s="3" t="str">
        <f t="shared" si="21"/>
        <v/>
      </c>
      <c r="AD132" s="3" t="str">
        <f t="shared" si="22"/>
        <v>0</v>
      </c>
      <c r="AE132" s="3">
        <f t="shared" si="23"/>
        <v>0</v>
      </c>
      <c r="AF132" s="3">
        <f t="shared" si="24"/>
        <v>0</v>
      </c>
      <c r="AM132" s="3" t="str">
        <f t="shared" si="25"/>
        <v/>
      </c>
      <c r="AN132" s="3" t="str">
        <f t="shared" si="26"/>
        <v/>
      </c>
      <c r="AO132" s="3" t="str">
        <f t="shared" si="27"/>
        <v/>
      </c>
      <c r="AP132" s="3">
        <f t="shared" si="28"/>
        <v>0</v>
      </c>
      <c r="AQ132" s="3">
        <f t="shared" si="29"/>
        <v>0</v>
      </c>
      <c r="AR132" s="3">
        <f t="shared" si="35"/>
        <v>0</v>
      </c>
      <c r="AS132" s="3" t="e">
        <f t="shared" si="36"/>
        <v>#REF!</v>
      </c>
      <c r="AT132" s="3" t="str">
        <f t="shared" si="30"/>
        <v/>
      </c>
      <c r="AU132" s="3">
        <f t="shared" si="31"/>
        <v>0</v>
      </c>
      <c r="AV132" s="3">
        <f t="shared" si="32"/>
        <v>0</v>
      </c>
      <c r="AW132" s="3">
        <v>256</v>
      </c>
      <c r="AX132" s="3" t="e">
        <f>IF(AND(#REF!="N",OR(AW132=$AX$1,AW132=$AX$2,AW132=$AX$3,AW132=$AX$4,AW132=$AY$1,AW132=$AY$2,AW132=$AY$3,AW132=$AY$4)),0,1)</f>
        <v>#REF!</v>
      </c>
    </row>
    <row r="133" spans="2:50" x14ac:dyDescent="0.2">
      <c r="B133" s="4">
        <v>258</v>
      </c>
      <c r="C133" s="208">
        <v>4.4194173824159217E-8</v>
      </c>
      <c r="D133" s="208">
        <v>4.4194173824159217E-8</v>
      </c>
      <c r="E133" s="208">
        <v>4.4194173824159217E-8</v>
      </c>
      <c r="F133" s="209" t="s">
        <v>714</v>
      </c>
      <c r="G133" s="208">
        <v>6.3036842726991798E-16</v>
      </c>
      <c r="H133" s="210">
        <v>8.6162985692687633E-15</v>
      </c>
      <c r="I133" s="208">
        <v>3.8079019669111809E-24</v>
      </c>
      <c r="J133" s="208">
        <v>3.8079019669111809E-24</v>
      </c>
      <c r="K133" s="208">
        <v>3.8079019669111809E-24</v>
      </c>
      <c r="L133" s="208">
        <v>0</v>
      </c>
      <c r="M133" s="208">
        <v>0</v>
      </c>
      <c r="N133" s="208">
        <v>0</v>
      </c>
      <c r="O133" s="3">
        <v>360</v>
      </c>
      <c r="P133" s="3">
        <v>360</v>
      </c>
      <c r="Q133" s="3">
        <v>360</v>
      </c>
      <c r="S133" s="4">
        <v>0</v>
      </c>
      <c r="T133" s="4">
        <v>64.5</v>
      </c>
      <c r="U133" s="210"/>
      <c r="V133" s="210">
        <v>8.6162985692687649E-15</v>
      </c>
      <c r="W133" s="3">
        <v>0</v>
      </c>
      <c r="X133" s="3">
        <v>0</v>
      </c>
      <c r="Y133" s="3">
        <f t="shared" si="33"/>
        <v>1</v>
      </c>
      <c r="Z133" s="3">
        <f t="shared" si="34"/>
        <v>1</v>
      </c>
      <c r="AA133" s="3" t="str">
        <f t="shared" ref="AA133:AA196" si="37">IF(R133="","",$AB$1*(C133/$C$3)^2)</f>
        <v/>
      </c>
      <c r="AB133" s="3" t="str">
        <f t="shared" ref="AB133:AB196" si="38">IF(R133="","",$AB$2*(C133/$C$3)^2)</f>
        <v/>
      </c>
      <c r="AC133" s="3" t="str">
        <f t="shared" ref="AC133:AC196" si="39">IF(R133="","",$AB$3*(C133/$C$3/T133)^2)</f>
        <v/>
      </c>
      <c r="AD133" s="3" t="str">
        <f t="shared" ref="AD133:AD196" si="40">IF(R133="",COMPLEX(0,0),IMDIV(IMPRODUCT(COMPLEX(AA133,AB133),COMPLEX(0,AC133)),COMPLEX(AA133,AB133+AC133)))</f>
        <v>0</v>
      </c>
      <c r="AE133" s="3">
        <f t="shared" ref="AE133:AE196" si="41">IMREAL(AD133)</f>
        <v>0</v>
      </c>
      <c r="AF133" s="3">
        <f t="shared" ref="AF133:AF196" si="42">IMAGINARY(AD133)</f>
        <v>0</v>
      </c>
      <c r="AM133" s="3" t="str">
        <f t="shared" ref="AM133:AM196" si="43">IF(R133="","",IMPRODUCT(COMPLEX(AA133,Y133*AB133),COMPLEX(0,AC133)))</f>
        <v/>
      </c>
      <c r="AN133" s="3" t="str">
        <f t="shared" ref="AN133:AN196" si="44">IF(R133="","",COMPLEX(AA133,Y133*(AB133+AC133)))</f>
        <v/>
      </c>
      <c r="AO133" s="3" t="str">
        <f t="shared" ref="AO133:AO196" si="45">IF(R133="","",IMDIV(AM133,AN133))</f>
        <v/>
      </c>
      <c r="AP133" s="3">
        <f t="shared" ref="AP133:AP196" si="46">IF(R133="",0,IMREAL(AO133))</f>
        <v>0</v>
      </c>
      <c r="AQ133" s="3">
        <f t="shared" ref="AQ133:AQ196" si="47">IF(R133="",0,IMAGINARY(AO133))</f>
        <v>0</v>
      </c>
      <c r="AR133" s="3">
        <f t="shared" si="35"/>
        <v>0</v>
      </c>
      <c r="AS133" s="3" t="e">
        <f t="shared" si="36"/>
        <v>#REF!</v>
      </c>
      <c r="AT133" s="3" t="str">
        <f t="shared" ref="AT133:AT196" si="48">IF(R133="","",IMDIV($AP$3,IMSUM(AO133,$AP$2)))</f>
        <v/>
      </c>
      <c r="AU133" s="3">
        <f t="shared" ref="AU133:AU196" si="49">IF(R133="",0,IMREAL(AT133))</f>
        <v>0</v>
      </c>
      <c r="AV133" s="3">
        <f t="shared" ref="AV133:AV196" si="50">IF(R133="",0,IMAGINARY(AT133))</f>
        <v>0</v>
      </c>
      <c r="AW133" s="3">
        <v>258</v>
      </c>
      <c r="AX133" s="3" t="e">
        <f>IF(AND(#REF!="N",OR(AW133=$AX$1,AW133=$AX$2,AW133=$AX$3,AW133=$AX$4,AW133=$AY$1,AW133=$AY$2,AW133=$AY$3,AW133=$AY$4)),0,1)</f>
        <v>#REF!</v>
      </c>
    </row>
    <row r="134" spans="2:50" x14ac:dyDescent="0.2">
      <c r="B134" s="4">
        <v>260</v>
      </c>
      <c r="C134" s="208">
        <v>0.15755905175128029</v>
      </c>
      <c r="D134" s="208">
        <v>0.15755905175128923</v>
      </c>
      <c r="E134" s="208">
        <v>0.15755905175127935</v>
      </c>
      <c r="F134" s="209" t="s">
        <v>714</v>
      </c>
      <c r="G134" s="208">
        <v>1.851788449114224E-2</v>
      </c>
      <c r="H134" s="210">
        <v>0.25311486861411742</v>
      </c>
      <c r="I134" s="208">
        <v>3.9880538682990238E-4</v>
      </c>
      <c r="J134" s="208">
        <v>3.9880538682992504E-4</v>
      </c>
      <c r="K134" s="208">
        <v>3.988053868299E-4</v>
      </c>
      <c r="L134" s="208">
        <v>6.9075119232156598E-4</v>
      </c>
      <c r="M134" s="208">
        <v>6.9075119232156002E-4</v>
      </c>
      <c r="N134" s="208">
        <v>6.9075119232156197E-4</v>
      </c>
      <c r="O134" s="3">
        <v>120</v>
      </c>
      <c r="P134" s="3">
        <v>120</v>
      </c>
      <c r="Q134" s="3">
        <v>120</v>
      </c>
      <c r="R134" s="4" t="s">
        <v>172</v>
      </c>
      <c r="S134" s="4" t="s">
        <v>172</v>
      </c>
      <c r="T134" s="4">
        <v>65</v>
      </c>
      <c r="U134" s="210"/>
      <c r="V134" s="210">
        <v>0.25311486861411742</v>
      </c>
      <c r="W134" s="3">
        <v>0.25311486861411714</v>
      </c>
      <c r="X134" s="3">
        <v>0</v>
      </c>
      <c r="Y134" s="3">
        <f t="shared" ref="Y134:Y197" si="51">IF($S$3="+",IF(X134&gt;W134,1-B134/$E$2*(1-$Y$1),1+B134/$E$2*(1-$Y$1)),IF(W134&gt;X134,1-B134/$E$2*(1-$Y$1),1+B134/$E$2*(1-$Y$1)))</f>
        <v>1</v>
      </c>
      <c r="Z134" s="3">
        <f t="shared" ref="Z134:Z197" si="52">2-Y134</f>
        <v>1</v>
      </c>
      <c r="AA134" s="3">
        <f t="shared" si="37"/>
        <v>8.1205095784411457E-2</v>
      </c>
      <c r="AB134" s="3">
        <f t="shared" si="38"/>
        <v>4.0602547892205729E-2</v>
      </c>
      <c r="AC134" s="3">
        <f t="shared" si="39"/>
        <v>9.6100705070309433E-5</v>
      </c>
      <c r="AD134" s="3" t="str">
        <f t="shared" si="40"/>
        <v>9.08967580990577E-08+0.000096055149121132i</v>
      </c>
      <c r="AE134" s="3">
        <f t="shared" si="41"/>
        <v>9.0896758099057703E-8</v>
      </c>
      <c r="AF134" s="3">
        <f t="shared" si="42"/>
        <v>9.6055149121132002E-5</v>
      </c>
      <c r="AM134" s="3" t="str">
        <f t="shared" si="43"/>
        <v>-3.90193348009197E-06+7.80386696018396E-06i</v>
      </c>
      <c r="AN134" s="3" t="str">
        <f t="shared" si="44"/>
        <v>0.0812050957844115+0.040698648597276i</v>
      </c>
      <c r="AO134" s="3" t="str">
        <f t="shared" si="45"/>
        <v>9.08967580990577E-08+0.000096055149121132i</v>
      </c>
      <c r="AP134" s="3">
        <f t="shared" si="46"/>
        <v>9.0896758099057703E-8</v>
      </c>
      <c r="AQ134" s="3">
        <f t="shared" si="47"/>
        <v>9.6055149121132002E-5</v>
      </c>
      <c r="AR134" s="3">
        <f t="shared" ref="AR134:AR197" si="53">IF(R134="",0,IF(X134&gt;W134,1,-1)*2*PI()*$Y$2/(B134/2))</f>
        <v>-2.4166097335306103</v>
      </c>
      <c r="AS134" s="3" t="e">
        <f t="shared" ref="AS134:AS197" si="54">IF(OR(R134="",S134=0),0,3*$AV$2^2*AP134/AR134)*AX134</f>
        <v>#REF!</v>
      </c>
      <c r="AT134" s="3" t="e">
        <f t="shared" si="48"/>
        <v>#REF!</v>
      </c>
      <c r="AU134" s="3" t="e">
        <f t="shared" si="49"/>
        <v>#REF!</v>
      </c>
      <c r="AV134" s="3" t="e">
        <f t="shared" si="50"/>
        <v>#REF!</v>
      </c>
      <c r="AW134" s="3">
        <v>260</v>
      </c>
      <c r="AX134" s="3" t="e">
        <f>IF(AND(#REF!="N",OR(AW134=$AX$1,AW134=$AX$2,AW134=$AX$3,AW134=$AX$4,AW134=$AY$1,AW134=$AY$2,AW134=$AY$3,AW134=$AY$4)),0,1)</f>
        <v>#REF!</v>
      </c>
    </row>
    <row r="135" spans="2:50" x14ac:dyDescent="0.2">
      <c r="B135" s="4">
        <v>262</v>
      </c>
      <c r="C135" s="208">
        <v>4.4194173824159217E-8</v>
      </c>
      <c r="D135" s="208">
        <v>4.4194173824159217E-8</v>
      </c>
      <c r="E135" s="208">
        <v>4.4194173824159217E-8</v>
      </c>
      <c r="F135" s="209" t="s">
        <v>714</v>
      </c>
      <c r="G135" s="208">
        <v>4.9866878805767535E-16</v>
      </c>
      <c r="H135" s="210">
        <v>6.8161395450735956E-15</v>
      </c>
      <c r="I135" s="208">
        <v>3.01233655864708E-24</v>
      </c>
      <c r="J135" s="208">
        <v>3.01233655864708E-24</v>
      </c>
      <c r="K135" s="208">
        <v>3.01233655864708E-24</v>
      </c>
      <c r="L135" s="208">
        <v>0</v>
      </c>
      <c r="M135" s="208">
        <v>0</v>
      </c>
      <c r="N135" s="208">
        <v>0</v>
      </c>
      <c r="O135" s="3">
        <v>360</v>
      </c>
      <c r="P135" s="3">
        <v>360</v>
      </c>
      <c r="Q135" s="3">
        <v>360</v>
      </c>
      <c r="S135" s="4">
        <v>0</v>
      </c>
      <c r="T135" s="4">
        <v>65.5</v>
      </c>
      <c r="U135" s="210"/>
      <c r="V135" s="210">
        <v>6.8161395450735956E-15</v>
      </c>
      <c r="W135" s="3">
        <v>0</v>
      </c>
      <c r="X135" s="3">
        <v>0</v>
      </c>
      <c r="Y135" s="3">
        <f t="shared" si="51"/>
        <v>1</v>
      </c>
      <c r="Z135" s="3">
        <f t="shared" si="52"/>
        <v>1</v>
      </c>
      <c r="AA135" s="3" t="str">
        <f t="shared" si="37"/>
        <v/>
      </c>
      <c r="AB135" s="3" t="str">
        <f t="shared" si="38"/>
        <v/>
      </c>
      <c r="AC135" s="3" t="str">
        <f t="shared" si="39"/>
        <v/>
      </c>
      <c r="AD135" s="3" t="str">
        <f t="shared" si="40"/>
        <v>0</v>
      </c>
      <c r="AE135" s="3">
        <f t="shared" si="41"/>
        <v>0</v>
      </c>
      <c r="AF135" s="3">
        <f t="shared" si="42"/>
        <v>0</v>
      </c>
      <c r="AM135" s="3" t="str">
        <f t="shared" si="43"/>
        <v/>
      </c>
      <c r="AN135" s="3" t="str">
        <f t="shared" si="44"/>
        <v/>
      </c>
      <c r="AO135" s="3" t="str">
        <f t="shared" si="45"/>
        <v/>
      </c>
      <c r="AP135" s="3">
        <f t="shared" si="46"/>
        <v>0</v>
      </c>
      <c r="AQ135" s="3">
        <f t="shared" si="47"/>
        <v>0</v>
      </c>
      <c r="AR135" s="3">
        <f t="shared" si="53"/>
        <v>0</v>
      </c>
      <c r="AS135" s="3" t="e">
        <f t="shared" si="54"/>
        <v>#REF!</v>
      </c>
      <c r="AT135" s="3" t="str">
        <f t="shared" si="48"/>
        <v/>
      </c>
      <c r="AU135" s="3">
        <f t="shared" si="49"/>
        <v>0</v>
      </c>
      <c r="AV135" s="3">
        <f t="shared" si="50"/>
        <v>0</v>
      </c>
      <c r="AW135" s="3">
        <v>262</v>
      </c>
      <c r="AX135" s="3" t="e">
        <f>IF(AND(#REF!="N",OR(AW135=$AX$1,AW135=$AX$2,AW135=$AX$3,AW135=$AX$4,AW135=$AY$1,AW135=$AY$2,AW135=$AY$3,AW135=$AY$4)),0,1)</f>
        <v>#REF!</v>
      </c>
    </row>
    <row r="136" spans="2:50" x14ac:dyDescent="0.2">
      <c r="B136" s="4">
        <v>264</v>
      </c>
      <c r="C136" s="208">
        <v>4.4194173824159217E-8</v>
      </c>
      <c r="D136" s="208">
        <v>4.4194173824159217E-8</v>
      </c>
      <c r="E136" s="208">
        <v>4.4194173824159217E-8</v>
      </c>
      <c r="F136" s="209" t="s">
        <v>714</v>
      </c>
      <c r="G136" s="208">
        <v>3.3700736074970993E-19</v>
      </c>
      <c r="H136" s="210">
        <v>4.6064427002423557E-18</v>
      </c>
      <c r="I136" s="208">
        <v>2.0357792940554E-27</v>
      </c>
      <c r="J136" s="208">
        <v>2.0357792940554E-27</v>
      </c>
      <c r="K136" s="208">
        <v>2.0357792940554E-27</v>
      </c>
      <c r="L136" s="208">
        <v>0</v>
      </c>
      <c r="M136" s="208">
        <v>0</v>
      </c>
      <c r="N136" s="208">
        <v>0</v>
      </c>
      <c r="O136" s="3">
        <v>360</v>
      </c>
      <c r="P136" s="3">
        <v>360</v>
      </c>
      <c r="Q136" s="3">
        <v>360</v>
      </c>
      <c r="S136" s="4">
        <v>0</v>
      </c>
      <c r="T136" s="4">
        <v>66</v>
      </c>
      <c r="U136" s="210"/>
      <c r="V136" s="210">
        <v>4.6064427002423557E-18</v>
      </c>
      <c r="W136" s="3">
        <v>0</v>
      </c>
      <c r="X136" s="3">
        <v>0</v>
      </c>
      <c r="Y136" s="3">
        <f t="shared" si="51"/>
        <v>1</v>
      </c>
      <c r="Z136" s="3">
        <f t="shared" si="52"/>
        <v>1</v>
      </c>
      <c r="AA136" s="3" t="str">
        <f t="shared" si="37"/>
        <v/>
      </c>
      <c r="AB136" s="3" t="str">
        <f t="shared" si="38"/>
        <v/>
      </c>
      <c r="AC136" s="3" t="str">
        <f t="shared" si="39"/>
        <v/>
      </c>
      <c r="AD136" s="3" t="str">
        <f t="shared" si="40"/>
        <v>0</v>
      </c>
      <c r="AE136" s="3">
        <f t="shared" si="41"/>
        <v>0</v>
      </c>
      <c r="AF136" s="3">
        <f t="shared" si="42"/>
        <v>0</v>
      </c>
      <c r="AM136" s="3" t="str">
        <f t="shared" si="43"/>
        <v/>
      </c>
      <c r="AN136" s="3" t="str">
        <f t="shared" si="44"/>
        <v/>
      </c>
      <c r="AO136" s="3" t="str">
        <f t="shared" si="45"/>
        <v/>
      </c>
      <c r="AP136" s="3">
        <f t="shared" si="46"/>
        <v>0</v>
      </c>
      <c r="AQ136" s="3">
        <f t="shared" si="47"/>
        <v>0</v>
      </c>
      <c r="AR136" s="3">
        <f t="shared" si="53"/>
        <v>0</v>
      </c>
      <c r="AS136" s="3" t="e">
        <f t="shared" si="54"/>
        <v>#REF!</v>
      </c>
      <c r="AT136" s="3" t="str">
        <f t="shared" si="48"/>
        <v/>
      </c>
      <c r="AU136" s="3">
        <f t="shared" si="49"/>
        <v>0</v>
      </c>
      <c r="AV136" s="3">
        <f t="shared" si="50"/>
        <v>0</v>
      </c>
      <c r="AW136" s="3">
        <v>264</v>
      </c>
      <c r="AX136" s="3" t="e">
        <f>IF(AND(#REF!="N",OR(AW136=$AX$1,AW136=$AX$2,AW136=$AX$3,AW136=$AX$4,AW136=$AY$1,AW136=$AY$2,AW136=$AY$3,AW136=$AY$4)),0,1)</f>
        <v>#REF!</v>
      </c>
    </row>
    <row r="137" spans="2:50" x14ac:dyDescent="0.2">
      <c r="B137" s="4">
        <v>266</v>
      </c>
      <c r="C137" s="208">
        <v>4.4194173824159217E-8</v>
      </c>
      <c r="D137" s="208">
        <v>4.4194173824159217E-8</v>
      </c>
      <c r="E137" s="208">
        <v>4.4194173824159217E-8</v>
      </c>
      <c r="F137" s="209" t="s">
        <v>714</v>
      </c>
      <c r="G137" s="208">
        <v>2.3613786439221099E-16</v>
      </c>
      <c r="H137" s="210">
        <v>3.2276907520965943E-15</v>
      </c>
      <c r="I137" s="208">
        <v>1.4264512614878809E-24</v>
      </c>
      <c r="J137" s="208">
        <v>1.4264512614878809E-24</v>
      </c>
      <c r="K137" s="208">
        <v>1.4264512614878809E-24</v>
      </c>
      <c r="L137" s="208">
        <v>0</v>
      </c>
      <c r="M137" s="208">
        <v>0</v>
      </c>
      <c r="N137" s="208">
        <v>0</v>
      </c>
      <c r="O137" s="3">
        <v>360</v>
      </c>
      <c r="P137" s="3">
        <v>360</v>
      </c>
      <c r="Q137" s="3">
        <v>360</v>
      </c>
      <c r="S137" s="4">
        <v>0</v>
      </c>
      <c r="T137" s="4">
        <v>66.5</v>
      </c>
      <c r="U137" s="210"/>
      <c r="V137" s="210">
        <v>3.2276907520965947E-15</v>
      </c>
      <c r="W137" s="3">
        <v>0</v>
      </c>
      <c r="X137" s="3">
        <v>0</v>
      </c>
      <c r="Y137" s="3">
        <f t="shared" si="51"/>
        <v>1</v>
      </c>
      <c r="Z137" s="3">
        <f t="shared" si="52"/>
        <v>1</v>
      </c>
      <c r="AA137" s="3" t="str">
        <f t="shared" si="37"/>
        <v/>
      </c>
      <c r="AB137" s="3" t="str">
        <f t="shared" si="38"/>
        <v/>
      </c>
      <c r="AC137" s="3" t="str">
        <f t="shared" si="39"/>
        <v/>
      </c>
      <c r="AD137" s="3" t="str">
        <f t="shared" si="40"/>
        <v>0</v>
      </c>
      <c r="AE137" s="3">
        <f t="shared" si="41"/>
        <v>0</v>
      </c>
      <c r="AF137" s="3">
        <f t="shared" si="42"/>
        <v>0</v>
      </c>
      <c r="AM137" s="3" t="str">
        <f t="shared" si="43"/>
        <v/>
      </c>
      <c r="AN137" s="3" t="str">
        <f t="shared" si="44"/>
        <v/>
      </c>
      <c r="AO137" s="3" t="str">
        <f t="shared" si="45"/>
        <v/>
      </c>
      <c r="AP137" s="3">
        <f t="shared" si="46"/>
        <v>0</v>
      </c>
      <c r="AQ137" s="3">
        <f t="shared" si="47"/>
        <v>0</v>
      </c>
      <c r="AR137" s="3">
        <f t="shared" si="53"/>
        <v>0</v>
      </c>
      <c r="AS137" s="3" t="e">
        <f t="shared" si="54"/>
        <v>#REF!</v>
      </c>
      <c r="AT137" s="3" t="str">
        <f t="shared" si="48"/>
        <v/>
      </c>
      <c r="AU137" s="3">
        <f t="shared" si="49"/>
        <v>0</v>
      </c>
      <c r="AV137" s="3">
        <f t="shared" si="50"/>
        <v>0</v>
      </c>
      <c r="AW137" s="3">
        <v>266</v>
      </c>
      <c r="AX137" s="3" t="e">
        <f>IF(AND(#REF!="N",OR(AW137=$AX$1,AW137=$AX$2,AW137=$AX$3,AW137=$AX$4,AW137=$AY$1,AW137=$AY$2,AW137=$AY$3,AW137=$AY$4)),0,1)</f>
        <v>#REF!</v>
      </c>
    </row>
    <row r="138" spans="2:50" x14ac:dyDescent="0.2">
      <c r="B138" s="4">
        <v>268</v>
      </c>
      <c r="C138" s="208">
        <v>0.20533495396307253</v>
      </c>
      <c r="D138" s="208">
        <v>0.20533495396307291</v>
      </c>
      <c r="E138" s="208">
        <v>0.20533495396307352</v>
      </c>
      <c r="F138" s="209" t="s">
        <v>714</v>
      </c>
      <c r="G138" s="208">
        <v>2.341258954944709E-2</v>
      </c>
      <c r="H138" s="210">
        <v>0.32001898114005461</v>
      </c>
      <c r="I138" s="208">
        <v>6.571108275970249E-4</v>
      </c>
      <c r="J138" s="208">
        <v>6.571108275970261E-4</v>
      </c>
      <c r="K138" s="208">
        <v>6.5711082759702805E-4</v>
      </c>
      <c r="L138" s="208">
        <v>1.1381493396016933E-3</v>
      </c>
      <c r="M138" s="208">
        <v>1.1381493396016751E-3</v>
      </c>
      <c r="N138" s="208">
        <v>1.1381493396016801E-3</v>
      </c>
      <c r="O138" s="3">
        <v>240</v>
      </c>
      <c r="P138" s="3">
        <v>240</v>
      </c>
      <c r="Q138" s="3">
        <v>240</v>
      </c>
      <c r="R138" s="4" t="s">
        <v>168</v>
      </c>
      <c r="S138" s="4" t="s">
        <v>168</v>
      </c>
      <c r="T138" s="4">
        <v>67</v>
      </c>
      <c r="U138" s="210"/>
      <c r="V138" s="210">
        <v>0.32001898114005461</v>
      </c>
      <c r="W138" s="3">
        <v>0</v>
      </c>
      <c r="X138" s="3">
        <v>0.32001898114005406</v>
      </c>
      <c r="Y138" s="3">
        <f t="shared" si="51"/>
        <v>1</v>
      </c>
      <c r="Z138" s="3">
        <f t="shared" si="52"/>
        <v>1</v>
      </c>
      <c r="AA138" s="3">
        <f t="shared" si="37"/>
        <v>0.13791844010203216</v>
      </c>
      <c r="AB138" s="3">
        <f t="shared" si="38"/>
        <v>6.8959220051016082E-2</v>
      </c>
      <c r="AC138" s="3">
        <f t="shared" si="39"/>
        <v>1.5361822243487651E-4</v>
      </c>
      <c r="AD138" s="3" t="str">
        <f t="shared" si="40"/>
        <v>1.36762136750236E-07+0.000153549689036209i</v>
      </c>
      <c r="AE138" s="3">
        <f t="shared" si="41"/>
        <v>1.3676213675023599E-7</v>
      </c>
      <c r="AF138" s="3">
        <f t="shared" si="42"/>
        <v>1.5354968903620901E-4</v>
      </c>
      <c r="AM138" s="3" t="str">
        <f t="shared" si="43"/>
        <v>-0.0000105933928047326+0.0000211867856094652i</v>
      </c>
      <c r="AN138" s="3" t="str">
        <f t="shared" si="44"/>
        <v>0.137918440102032+0.069112838273451i</v>
      </c>
      <c r="AO138" s="3" t="str">
        <f t="shared" si="45"/>
        <v>1.36762136750236E-07+0.000153549689036209i</v>
      </c>
      <c r="AP138" s="3">
        <f t="shared" si="46"/>
        <v>1.3676213675023599E-7</v>
      </c>
      <c r="AQ138" s="3">
        <f t="shared" si="47"/>
        <v>1.5354968903620901E-4</v>
      </c>
      <c r="AR138" s="3">
        <f t="shared" si="53"/>
        <v>2.3444721295446218</v>
      </c>
      <c r="AS138" s="3" t="e">
        <f t="shared" si="54"/>
        <v>#REF!</v>
      </c>
      <c r="AT138" s="3" t="e">
        <f t="shared" si="48"/>
        <v>#REF!</v>
      </c>
      <c r="AU138" s="3" t="e">
        <f t="shared" si="49"/>
        <v>#REF!</v>
      </c>
      <c r="AV138" s="3" t="e">
        <f t="shared" si="50"/>
        <v>#REF!</v>
      </c>
      <c r="AW138" s="3">
        <v>268</v>
      </c>
      <c r="AX138" s="3" t="e">
        <f>IF(AND(#REF!="N",OR(AW138=$AX$1,AW138=$AX$2,AW138=$AX$3,AW138=$AX$4,AW138=$AY$1,AW138=$AY$2,AW138=$AY$3,AW138=$AY$4)),0,1)</f>
        <v>#REF!</v>
      </c>
    </row>
    <row r="139" spans="2:50" x14ac:dyDescent="0.2">
      <c r="B139" s="4">
        <v>270</v>
      </c>
      <c r="C139" s="208">
        <v>4.4194173824159217E-8</v>
      </c>
      <c r="D139" s="208">
        <v>4.4194173824159217E-8</v>
      </c>
      <c r="E139" s="208">
        <v>4.4194173824159217E-8</v>
      </c>
      <c r="F139" s="209" t="s">
        <v>714</v>
      </c>
      <c r="G139" s="208">
        <v>3.1868063375584454E-16</v>
      </c>
      <c r="H139" s="210">
        <v>4.3559407005459046E-15</v>
      </c>
      <c r="I139" s="208">
        <v>1.9250720048765557E-24</v>
      </c>
      <c r="J139" s="208">
        <v>1.9250720048765557E-24</v>
      </c>
      <c r="K139" s="208">
        <v>1.9250720048765557E-24</v>
      </c>
      <c r="L139" s="208">
        <v>0</v>
      </c>
      <c r="M139" s="208">
        <v>0</v>
      </c>
      <c r="N139" s="208">
        <v>0</v>
      </c>
      <c r="O139" s="3">
        <v>360</v>
      </c>
      <c r="P139" s="3">
        <v>360</v>
      </c>
      <c r="Q139" s="3">
        <v>360</v>
      </c>
      <c r="S139" s="4">
        <v>0</v>
      </c>
      <c r="T139" s="4">
        <v>67.5</v>
      </c>
      <c r="U139" s="210"/>
      <c r="V139" s="210">
        <v>4.3559407005459046E-15</v>
      </c>
      <c r="W139" s="3">
        <v>0</v>
      </c>
      <c r="X139" s="3">
        <v>0</v>
      </c>
      <c r="Y139" s="3">
        <f t="shared" si="51"/>
        <v>1</v>
      </c>
      <c r="Z139" s="3">
        <f t="shared" si="52"/>
        <v>1</v>
      </c>
      <c r="AA139" s="3" t="str">
        <f t="shared" si="37"/>
        <v/>
      </c>
      <c r="AB139" s="3" t="str">
        <f t="shared" si="38"/>
        <v/>
      </c>
      <c r="AC139" s="3" t="str">
        <f t="shared" si="39"/>
        <v/>
      </c>
      <c r="AD139" s="3" t="str">
        <f t="shared" si="40"/>
        <v>0</v>
      </c>
      <c r="AE139" s="3">
        <f t="shared" si="41"/>
        <v>0</v>
      </c>
      <c r="AF139" s="3">
        <f t="shared" si="42"/>
        <v>0</v>
      </c>
      <c r="AM139" s="3" t="str">
        <f t="shared" si="43"/>
        <v/>
      </c>
      <c r="AN139" s="3" t="str">
        <f t="shared" si="44"/>
        <v/>
      </c>
      <c r="AO139" s="3" t="str">
        <f t="shared" si="45"/>
        <v/>
      </c>
      <c r="AP139" s="3">
        <f t="shared" si="46"/>
        <v>0</v>
      </c>
      <c r="AQ139" s="3">
        <f t="shared" si="47"/>
        <v>0</v>
      </c>
      <c r="AR139" s="3">
        <f t="shared" si="53"/>
        <v>0</v>
      </c>
      <c r="AS139" s="3" t="e">
        <f t="shared" si="54"/>
        <v>#REF!</v>
      </c>
      <c r="AT139" s="3" t="str">
        <f t="shared" si="48"/>
        <v/>
      </c>
      <c r="AU139" s="3">
        <f t="shared" si="49"/>
        <v>0</v>
      </c>
      <c r="AV139" s="3">
        <f t="shared" si="50"/>
        <v>0</v>
      </c>
      <c r="AW139" s="3">
        <v>270</v>
      </c>
      <c r="AX139" s="3" t="e">
        <f>IF(AND(#REF!="N",OR(AW139=$AX$1,AW139=$AX$2,AW139=$AX$3,AW139=$AX$4,AW139=$AY$1,AW139=$AY$2,AW139=$AY$3,AW139=$AY$4)),0,1)</f>
        <v>#REF!</v>
      </c>
    </row>
    <row r="140" spans="2:50" x14ac:dyDescent="0.2">
      <c r="B140" s="4">
        <v>272</v>
      </c>
      <c r="C140" s="208">
        <v>4.4194173824159217E-8</v>
      </c>
      <c r="D140" s="208">
        <v>4.4194173824159217E-8</v>
      </c>
      <c r="E140" s="208">
        <v>4.4194173824159217E-8</v>
      </c>
      <c r="F140" s="209" t="s">
        <v>714</v>
      </c>
      <c r="G140" s="208">
        <v>1.2737221798788196E-15</v>
      </c>
      <c r="H140" s="210">
        <v>1.7410089276943544E-14</v>
      </c>
      <c r="I140" s="208">
        <v>7.6942451179937347E-24</v>
      </c>
      <c r="J140" s="208">
        <v>7.6942451179937347E-24</v>
      </c>
      <c r="K140" s="208">
        <v>7.6942451179937347E-24</v>
      </c>
      <c r="L140" s="208">
        <v>0</v>
      </c>
      <c r="M140" s="208">
        <v>0</v>
      </c>
      <c r="N140" s="208">
        <v>0</v>
      </c>
      <c r="O140" s="3">
        <v>360</v>
      </c>
      <c r="P140" s="3">
        <v>360</v>
      </c>
      <c r="Q140" s="3">
        <v>360</v>
      </c>
      <c r="S140" s="4">
        <v>0</v>
      </c>
      <c r="T140" s="4">
        <v>68</v>
      </c>
      <c r="U140" s="210"/>
      <c r="V140" s="210">
        <v>1.7410089276943544E-14</v>
      </c>
      <c r="W140" s="3">
        <v>0</v>
      </c>
      <c r="X140" s="3">
        <v>0</v>
      </c>
      <c r="Y140" s="3">
        <f t="shared" si="51"/>
        <v>1</v>
      </c>
      <c r="Z140" s="3">
        <f t="shared" si="52"/>
        <v>1</v>
      </c>
      <c r="AA140" s="3" t="str">
        <f t="shared" si="37"/>
        <v/>
      </c>
      <c r="AB140" s="3" t="str">
        <f t="shared" si="38"/>
        <v/>
      </c>
      <c r="AC140" s="3" t="str">
        <f t="shared" si="39"/>
        <v/>
      </c>
      <c r="AD140" s="3" t="str">
        <f t="shared" si="40"/>
        <v>0</v>
      </c>
      <c r="AE140" s="3">
        <f t="shared" si="41"/>
        <v>0</v>
      </c>
      <c r="AF140" s="3">
        <f t="shared" si="42"/>
        <v>0</v>
      </c>
      <c r="AM140" s="3" t="str">
        <f t="shared" si="43"/>
        <v/>
      </c>
      <c r="AN140" s="3" t="str">
        <f t="shared" si="44"/>
        <v/>
      </c>
      <c r="AO140" s="3" t="str">
        <f t="shared" si="45"/>
        <v/>
      </c>
      <c r="AP140" s="3">
        <f t="shared" si="46"/>
        <v>0</v>
      </c>
      <c r="AQ140" s="3">
        <f t="shared" si="47"/>
        <v>0</v>
      </c>
      <c r="AR140" s="3">
        <f t="shared" si="53"/>
        <v>0</v>
      </c>
      <c r="AS140" s="3" t="e">
        <f t="shared" si="54"/>
        <v>#REF!</v>
      </c>
      <c r="AT140" s="3" t="str">
        <f t="shared" si="48"/>
        <v/>
      </c>
      <c r="AU140" s="3">
        <f t="shared" si="49"/>
        <v>0</v>
      </c>
      <c r="AV140" s="3">
        <f t="shared" si="50"/>
        <v>0</v>
      </c>
      <c r="AW140" s="3">
        <v>272</v>
      </c>
      <c r="AX140" s="3" t="e">
        <f>IF(AND(#REF!="N",OR(AW140=$AX$1,AW140=$AX$2,AW140=$AX$3,AW140=$AX$4,AW140=$AY$1,AW140=$AY$2,AW140=$AY$3,AW140=$AY$4)),0,1)</f>
        <v>#REF!</v>
      </c>
    </row>
    <row r="141" spans="2:50" x14ac:dyDescent="0.2">
      <c r="B141" s="4">
        <v>274</v>
      </c>
      <c r="C141" s="208">
        <v>4.4194173824159217E-8</v>
      </c>
      <c r="D141" s="208">
        <v>4.4194173824159217E-8</v>
      </c>
      <c r="E141" s="208">
        <v>4.4194173824159217E-8</v>
      </c>
      <c r="F141" s="209" t="s">
        <v>714</v>
      </c>
      <c r="G141" s="208">
        <v>5.9804067228282711E-16</v>
      </c>
      <c r="H141" s="210">
        <v>8.1744211258674439E-15</v>
      </c>
      <c r="I141" s="208">
        <v>3.6126178814846513E-24</v>
      </c>
      <c r="J141" s="208">
        <v>3.6126178814846513E-24</v>
      </c>
      <c r="K141" s="208">
        <v>3.6126178814846513E-24</v>
      </c>
      <c r="L141" s="208">
        <v>0</v>
      </c>
      <c r="M141" s="208">
        <v>0</v>
      </c>
      <c r="N141" s="208">
        <v>0</v>
      </c>
      <c r="O141" s="3">
        <v>360</v>
      </c>
      <c r="P141" s="3">
        <v>360</v>
      </c>
      <c r="Q141" s="3">
        <v>360</v>
      </c>
      <c r="S141" s="4">
        <v>0</v>
      </c>
      <c r="T141" s="4">
        <v>68.5</v>
      </c>
      <c r="U141" s="210"/>
      <c r="V141" s="210">
        <v>8.1744211258674439E-15</v>
      </c>
      <c r="W141" s="3">
        <v>0</v>
      </c>
      <c r="X141" s="3">
        <v>0</v>
      </c>
      <c r="Y141" s="3">
        <f t="shared" si="51"/>
        <v>1</v>
      </c>
      <c r="Z141" s="3">
        <f t="shared" si="52"/>
        <v>1</v>
      </c>
      <c r="AA141" s="3" t="str">
        <f t="shared" si="37"/>
        <v/>
      </c>
      <c r="AB141" s="3" t="str">
        <f t="shared" si="38"/>
        <v/>
      </c>
      <c r="AC141" s="3" t="str">
        <f t="shared" si="39"/>
        <v/>
      </c>
      <c r="AD141" s="3" t="str">
        <f t="shared" si="40"/>
        <v>0</v>
      </c>
      <c r="AE141" s="3">
        <f t="shared" si="41"/>
        <v>0</v>
      </c>
      <c r="AF141" s="3">
        <f t="shared" si="42"/>
        <v>0</v>
      </c>
      <c r="AM141" s="3" t="str">
        <f t="shared" si="43"/>
        <v/>
      </c>
      <c r="AN141" s="3" t="str">
        <f t="shared" si="44"/>
        <v/>
      </c>
      <c r="AO141" s="3" t="str">
        <f t="shared" si="45"/>
        <v/>
      </c>
      <c r="AP141" s="3">
        <f t="shared" si="46"/>
        <v>0</v>
      </c>
      <c r="AQ141" s="3">
        <f t="shared" si="47"/>
        <v>0</v>
      </c>
      <c r="AR141" s="3">
        <f t="shared" si="53"/>
        <v>0</v>
      </c>
      <c r="AS141" s="3" t="e">
        <f t="shared" si="54"/>
        <v>#REF!</v>
      </c>
      <c r="AT141" s="3" t="str">
        <f t="shared" si="48"/>
        <v/>
      </c>
      <c r="AU141" s="3">
        <f t="shared" si="49"/>
        <v>0</v>
      </c>
      <c r="AV141" s="3">
        <f t="shared" si="50"/>
        <v>0</v>
      </c>
      <c r="AW141" s="3">
        <v>274</v>
      </c>
      <c r="AX141" s="3" t="e">
        <f>IF(AND(#REF!="N",OR(AW141=$AX$1,AW141=$AX$2,AW141=$AX$3,AW141=$AX$4,AW141=$AY$1,AW141=$AY$2,AW141=$AY$3,AW141=$AY$4)),0,1)</f>
        <v>#REF!</v>
      </c>
    </row>
    <row r="142" spans="2:50" x14ac:dyDescent="0.2">
      <c r="B142" s="4">
        <v>276</v>
      </c>
      <c r="C142" s="208">
        <v>0.65328148243818618</v>
      </c>
      <c r="D142" s="208">
        <v>0.65328148243818984</v>
      </c>
      <c r="E142" s="208">
        <v>0.65328148243818829</v>
      </c>
      <c r="F142" s="209" t="s">
        <v>714</v>
      </c>
      <c r="G142" s="208">
        <v>4.8950034553641783E-16</v>
      </c>
      <c r="H142" s="210">
        <v>6.6908191217134519E-15</v>
      </c>
      <c r="I142" s="208">
        <v>4.3709882345587265E-17</v>
      </c>
      <c r="J142" s="208">
        <v>4.3709882345587512E-17</v>
      </c>
      <c r="K142" s="208">
        <v>4.3709882345587407E-17</v>
      </c>
      <c r="L142" s="208">
        <v>2.5811025416331437E-31</v>
      </c>
      <c r="M142" s="208">
        <v>6.5589381512684478E-31</v>
      </c>
      <c r="N142" s="208">
        <v>4.0569283421975128E-31</v>
      </c>
      <c r="O142" s="3">
        <v>360</v>
      </c>
      <c r="P142" s="3">
        <v>0</v>
      </c>
      <c r="Q142" s="3">
        <v>360</v>
      </c>
      <c r="S142" s="4">
        <v>0</v>
      </c>
      <c r="T142" s="4">
        <v>69</v>
      </c>
      <c r="U142" s="210"/>
      <c r="V142" s="210">
        <v>6.6908191217134519E-15</v>
      </c>
      <c r="W142" s="3">
        <v>0</v>
      </c>
      <c r="X142" s="3">
        <v>0</v>
      </c>
      <c r="Y142" s="3">
        <f t="shared" si="51"/>
        <v>1</v>
      </c>
      <c r="Z142" s="3">
        <f t="shared" si="52"/>
        <v>1</v>
      </c>
      <c r="AA142" s="3" t="str">
        <f t="shared" si="37"/>
        <v/>
      </c>
      <c r="AB142" s="3" t="str">
        <f t="shared" si="38"/>
        <v/>
      </c>
      <c r="AC142" s="3" t="str">
        <f t="shared" si="39"/>
        <v/>
      </c>
      <c r="AD142" s="3" t="str">
        <f t="shared" si="40"/>
        <v>0</v>
      </c>
      <c r="AE142" s="3">
        <f t="shared" si="41"/>
        <v>0</v>
      </c>
      <c r="AF142" s="3">
        <f t="shared" si="42"/>
        <v>0</v>
      </c>
      <c r="AM142" s="3" t="str">
        <f t="shared" si="43"/>
        <v/>
      </c>
      <c r="AN142" s="3" t="str">
        <f t="shared" si="44"/>
        <v/>
      </c>
      <c r="AO142" s="3" t="str">
        <f t="shared" si="45"/>
        <v/>
      </c>
      <c r="AP142" s="3">
        <f t="shared" si="46"/>
        <v>0</v>
      </c>
      <c r="AQ142" s="3">
        <f t="shared" si="47"/>
        <v>0</v>
      </c>
      <c r="AR142" s="3">
        <f t="shared" si="53"/>
        <v>0</v>
      </c>
      <c r="AS142" s="3" t="e">
        <f t="shared" si="54"/>
        <v>#REF!</v>
      </c>
      <c r="AT142" s="3" t="str">
        <f t="shared" si="48"/>
        <v/>
      </c>
      <c r="AU142" s="3">
        <f t="shared" si="49"/>
        <v>0</v>
      </c>
      <c r="AV142" s="3">
        <f t="shared" si="50"/>
        <v>0</v>
      </c>
      <c r="AW142" s="3">
        <v>276</v>
      </c>
      <c r="AX142" s="3" t="e">
        <f>IF(AND(#REF!="N",OR(AW142=$AX$1,AW142=$AX$2,AW142=$AX$3,AW142=$AX$4,AW142=$AY$1,AW142=$AY$2,AW142=$AY$3,AW142=$AY$4)),0,1)</f>
        <v>#REF!</v>
      </c>
    </row>
    <row r="143" spans="2:50" x14ac:dyDescent="0.2">
      <c r="B143" s="4">
        <v>278</v>
      </c>
      <c r="C143" s="208">
        <v>4.4194173824159217E-8</v>
      </c>
      <c r="D143" s="208">
        <v>4.4194173824159217E-8</v>
      </c>
      <c r="E143" s="208">
        <v>4.4194173824159217E-8</v>
      </c>
      <c r="F143" s="209" t="s">
        <v>714</v>
      </c>
      <c r="G143" s="208">
        <v>4.1696179854995389E-16</v>
      </c>
      <c r="H143" s="210">
        <v>5.6993135964078848E-15</v>
      </c>
      <c r="I143" s="208">
        <v>2.5187645575804407E-24</v>
      </c>
      <c r="J143" s="208">
        <v>2.5187645575804407E-24</v>
      </c>
      <c r="K143" s="208">
        <v>2.5187645575804407E-24</v>
      </c>
      <c r="L143" s="208">
        <v>0</v>
      </c>
      <c r="M143" s="208">
        <v>0</v>
      </c>
      <c r="N143" s="208">
        <v>0</v>
      </c>
      <c r="O143" s="3">
        <v>360</v>
      </c>
      <c r="P143" s="3">
        <v>360</v>
      </c>
      <c r="Q143" s="3">
        <v>360</v>
      </c>
      <c r="S143" s="4">
        <v>0</v>
      </c>
      <c r="T143" s="4">
        <v>69.5</v>
      </c>
      <c r="U143" s="210"/>
      <c r="V143" s="210">
        <v>5.6993135964078848E-15</v>
      </c>
      <c r="W143" s="3">
        <v>0</v>
      </c>
      <c r="X143" s="3">
        <v>0</v>
      </c>
      <c r="Y143" s="3">
        <f t="shared" si="51"/>
        <v>1</v>
      </c>
      <c r="Z143" s="3">
        <f t="shared" si="52"/>
        <v>1</v>
      </c>
      <c r="AA143" s="3" t="str">
        <f t="shared" si="37"/>
        <v/>
      </c>
      <c r="AB143" s="3" t="str">
        <f t="shared" si="38"/>
        <v/>
      </c>
      <c r="AC143" s="3" t="str">
        <f t="shared" si="39"/>
        <v/>
      </c>
      <c r="AD143" s="3" t="str">
        <f t="shared" si="40"/>
        <v>0</v>
      </c>
      <c r="AE143" s="3">
        <f t="shared" si="41"/>
        <v>0</v>
      </c>
      <c r="AF143" s="3">
        <f t="shared" si="42"/>
        <v>0</v>
      </c>
      <c r="AM143" s="3" t="str">
        <f t="shared" si="43"/>
        <v/>
      </c>
      <c r="AN143" s="3" t="str">
        <f t="shared" si="44"/>
        <v/>
      </c>
      <c r="AO143" s="3" t="str">
        <f t="shared" si="45"/>
        <v/>
      </c>
      <c r="AP143" s="3">
        <f t="shared" si="46"/>
        <v>0</v>
      </c>
      <c r="AQ143" s="3">
        <f t="shared" si="47"/>
        <v>0</v>
      </c>
      <c r="AR143" s="3">
        <f t="shared" si="53"/>
        <v>0</v>
      </c>
      <c r="AS143" s="3" t="e">
        <f t="shared" si="54"/>
        <v>#REF!</v>
      </c>
      <c r="AT143" s="3" t="str">
        <f t="shared" si="48"/>
        <v/>
      </c>
      <c r="AU143" s="3">
        <f t="shared" si="49"/>
        <v>0</v>
      </c>
      <c r="AV143" s="3">
        <f t="shared" si="50"/>
        <v>0</v>
      </c>
      <c r="AW143" s="3">
        <v>278</v>
      </c>
      <c r="AX143" s="3" t="e">
        <f>IF(AND(#REF!="N",OR(AW143=$AX$1,AW143=$AX$2,AW143=$AX$3,AW143=$AX$4,AW143=$AY$1,AW143=$AY$2,AW143=$AY$3,AW143=$AY$4)),0,1)</f>
        <v>#REF!</v>
      </c>
    </row>
    <row r="144" spans="2:50" x14ac:dyDescent="0.2">
      <c r="B144" s="4">
        <v>280</v>
      </c>
      <c r="C144" s="208">
        <v>4.4194173824159217E-8</v>
      </c>
      <c r="D144" s="208">
        <v>4.4194173824159217E-8</v>
      </c>
      <c r="E144" s="208">
        <v>4.4194173824159217E-8</v>
      </c>
      <c r="F144" s="209" t="s">
        <v>714</v>
      </c>
      <c r="G144" s="208">
        <v>3.683299047172352E-16</v>
      </c>
      <c r="H144" s="210">
        <v>5.0345802450462681E-15</v>
      </c>
      <c r="I144" s="208">
        <v>2.2249911448125285E-24</v>
      </c>
      <c r="J144" s="208">
        <v>2.2249911448125285E-24</v>
      </c>
      <c r="K144" s="208">
        <v>2.2249911448125285E-24</v>
      </c>
      <c r="L144" s="208">
        <v>0</v>
      </c>
      <c r="M144" s="208">
        <v>0</v>
      </c>
      <c r="N144" s="208">
        <v>0</v>
      </c>
      <c r="O144" s="3">
        <v>360</v>
      </c>
      <c r="P144" s="3">
        <v>360</v>
      </c>
      <c r="Q144" s="3">
        <v>360</v>
      </c>
      <c r="S144" s="4">
        <v>0</v>
      </c>
      <c r="T144" s="4">
        <v>70</v>
      </c>
      <c r="U144" s="210"/>
      <c r="V144" s="210">
        <v>5.0345802450462673E-15</v>
      </c>
      <c r="W144" s="3">
        <v>0</v>
      </c>
      <c r="X144" s="3">
        <v>0</v>
      </c>
      <c r="Y144" s="3">
        <f t="shared" si="51"/>
        <v>1</v>
      </c>
      <c r="Z144" s="3">
        <f t="shared" si="52"/>
        <v>1</v>
      </c>
      <c r="AA144" s="3" t="str">
        <f t="shared" si="37"/>
        <v/>
      </c>
      <c r="AB144" s="3" t="str">
        <f t="shared" si="38"/>
        <v/>
      </c>
      <c r="AC144" s="3" t="str">
        <f t="shared" si="39"/>
        <v/>
      </c>
      <c r="AD144" s="3" t="str">
        <f t="shared" si="40"/>
        <v>0</v>
      </c>
      <c r="AE144" s="3">
        <f t="shared" si="41"/>
        <v>0</v>
      </c>
      <c r="AF144" s="3">
        <f t="shared" si="42"/>
        <v>0</v>
      </c>
      <c r="AM144" s="3" t="str">
        <f t="shared" si="43"/>
        <v/>
      </c>
      <c r="AN144" s="3" t="str">
        <f t="shared" si="44"/>
        <v/>
      </c>
      <c r="AO144" s="3" t="str">
        <f t="shared" si="45"/>
        <v/>
      </c>
      <c r="AP144" s="3">
        <f t="shared" si="46"/>
        <v>0</v>
      </c>
      <c r="AQ144" s="3">
        <f t="shared" si="47"/>
        <v>0</v>
      </c>
      <c r="AR144" s="3">
        <f t="shared" si="53"/>
        <v>0</v>
      </c>
      <c r="AS144" s="3" t="e">
        <f t="shared" si="54"/>
        <v>#REF!</v>
      </c>
      <c r="AT144" s="3" t="str">
        <f t="shared" si="48"/>
        <v/>
      </c>
      <c r="AU144" s="3">
        <f t="shared" si="49"/>
        <v>0</v>
      </c>
      <c r="AV144" s="3">
        <f t="shared" si="50"/>
        <v>0</v>
      </c>
      <c r="AW144" s="3">
        <v>280</v>
      </c>
      <c r="AX144" s="3" t="e">
        <f>IF(AND(#REF!="N",OR(AW144=$AX$1,AW144=$AX$2,AW144=$AX$3,AW144=$AX$4,AW144=$AY$1,AW144=$AY$2,AW144=$AY$3,AW144=$AY$4)),0,1)</f>
        <v>#REF!</v>
      </c>
    </row>
    <row r="145" spans="2:50" x14ac:dyDescent="0.2">
      <c r="B145" s="4">
        <v>282</v>
      </c>
      <c r="C145" s="208">
        <v>4.4194173824159217E-8</v>
      </c>
      <c r="D145" s="208">
        <v>4.4194173824159217E-8</v>
      </c>
      <c r="E145" s="208">
        <v>4.4194173824159217E-8</v>
      </c>
      <c r="F145" s="209" t="s">
        <v>714</v>
      </c>
      <c r="G145" s="208">
        <v>1.2707473849368567E-15</v>
      </c>
      <c r="H145" s="210">
        <v>1.7369427783928557E-14</v>
      </c>
      <c r="I145" s="208">
        <v>7.6762751070911929E-24</v>
      </c>
      <c r="J145" s="208">
        <v>7.6762751070911929E-24</v>
      </c>
      <c r="K145" s="208">
        <v>7.6762751070911929E-24</v>
      </c>
      <c r="L145" s="208">
        <v>0</v>
      </c>
      <c r="M145" s="208">
        <v>0</v>
      </c>
      <c r="N145" s="208">
        <v>0</v>
      </c>
      <c r="O145" s="3">
        <v>360</v>
      </c>
      <c r="P145" s="3">
        <v>360</v>
      </c>
      <c r="Q145" s="3">
        <v>360</v>
      </c>
      <c r="S145" s="4">
        <v>0</v>
      </c>
      <c r="T145" s="4">
        <v>70.5</v>
      </c>
      <c r="U145" s="210"/>
      <c r="V145" s="210">
        <v>1.7369427783928557E-14</v>
      </c>
      <c r="W145" s="3">
        <v>0</v>
      </c>
      <c r="X145" s="3">
        <v>0</v>
      </c>
      <c r="Y145" s="3">
        <f t="shared" si="51"/>
        <v>1</v>
      </c>
      <c r="Z145" s="3">
        <f t="shared" si="52"/>
        <v>1</v>
      </c>
      <c r="AA145" s="3" t="str">
        <f t="shared" si="37"/>
        <v/>
      </c>
      <c r="AB145" s="3" t="str">
        <f t="shared" si="38"/>
        <v/>
      </c>
      <c r="AC145" s="3" t="str">
        <f t="shared" si="39"/>
        <v/>
      </c>
      <c r="AD145" s="3" t="str">
        <f t="shared" si="40"/>
        <v>0</v>
      </c>
      <c r="AE145" s="3">
        <f t="shared" si="41"/>
        <v>0</v>
      </c>
      <c r="AF145" s="3">
        <f t="shared" si="42"/>
        <v>0</v>
      </c>
      <c r="AM145" s="3" t="str">
        <f t="shared" si="43"/>
        <v/>
      </c>
      <c r="AN145" s="3" t="str">
        <f t="shared" si="44"/>
        <v/>
      </c>
      <c r="AO145" s="3" t="str">
        <f t="shared" si="45"/>
        <v/>
      </c>
      <c r="AP145" s="3">
        <f t="shared" si="46"/>
        <v>0</v>
      </c>
      <c r="AQ145" s="3">
        <f t="shared" si="47"/>
        <v>0</v>
      </c>
      <c r="AR145" s="3">
        <f t="shared" si="53"/>
        <v>0</v>
      </c>
      <c r="AS145" s="3" t="e">
        <f t="shared" si="54"/>
        <v>#REF!</v>
      </c>
      <c r="AT145" s="3" t="str">
        <f t="shared" si="48"/>
        <v/>
      </c>
      <c r="AU145" s="3">
        <f t="shared" si="49"/>
        <v>0</v>
      </c>
      <c r="AV145" s="3">
        <f t="shared" si="50"/>
        <v>0</v>
      </c>
      <c r="AW145" s="3">
        <v>282</v>
      </c>
      <c r="AX145" s="3" t="e">
        <f>IF(AND(#REF!="N",OR(AW145=$AX$1,AW145=$AX$2,AW145=$AX$3,AW145=$AX$4,AW145=$AY$1,AW145=$AY$2,AW145=$AY$3,AW145=$AY$4)),0,1)</f>
        <v>#REF!</v>
      </c>
    </row>
    <row r="146" spans="2:50" x14ac:dyDescent="0.2">
      <c r="B146" s="4">
        <v>284</v>
      </c>
      <c r="C146" s="208">
        <v>0.95766219694254606</v>
      </c>
      <c r="D146" s="208">
        <v>0.95766219694254606</v>
      </c>
      <c r="E146" s="208">
        <v>0.95766219694255283</v>
      </c>
      <c r="F146" s="209" t="s">
        <v>714</v>
      </c>
      <c r="G146" s="208">
        <v>0.10304225743480624</v>
      </c>
      <c r="H146" s="210">
        <v>1.4084507042253538</v>
      </c>
      <c r="I146" s="208">
        <v>1.3488199956937286E-2</v>
      </c>
      <c r="J146" s="208">
        <v>1.3488199956937286E-2</v>
      </c>
      <c r="K146" s="208">
        <v>1.3488199956937381E-2</v>
      </c>
      <c r="L146" s="208">
        <v>2.336224762806384E-2</v>
      </c>
      <c r="M146" s="208">
        <v>2.3362247628063743E-2</v>
      </c>
      <c r="N146" s="208">
        <v>2.3362247628063749E-2</v>
      </c>
      <c r="O146" s="3">
        <v>120</v>
      </c>
      <c r="P146" s="3">
        <v>120</v>
      </c>
      <c r="Q146" s="3">
        <v>120</v>
      </c>
      <c r="R146" s="4" t="s">
        <v>172</v>
      </c>
      <c r="S146" s="4" t="s">
        <v>172</v>
      </c>
      <c r="T146" s="4">
        <v>71</v>
      </c>
      <c r="U146" s="210"/>
      <c r="V146" s="210">
        <v>1.4084507042253538</v>
      </c>
      <c r="W146" s="3">
        <v>1.4084507042253498</v>
      </c>
      <c r="X146" s="3">
        <v>0</v>
      </c>
      <c r="Y146" s="3">
        <f t="shared" si="51"/>
        <v>1</v>
      </c>
      <c r="Z146" s="3">
        <f t="shared" si="52"/>
        <v>1</v>
      </c>
      <c r="AA146" s="3">
        <f t="shared" si="37"/>
        <v>2.9999999999999849</v>
      </c>
      <c r="AB146" s="3">
        <f t="shared" si="38"/>
        <v>1.4999999999999925</v>
      </c>
      <c r="AC146" s="3">
        <f t="shared" si="39"/>
        <v>2.9756000793493202E-3</v>
      </c>
      <c r="AD146" s="3" t="str">
        <f t="shared" si="40"/>
        <v>2.35924498655571E-06+0.00297441811679952i</v>
      </c>
      <c r="AE146" s="3">
        <f t="shared" si="41"/>
        <v>2.3592449865557101E-6</v>
      </c>
      <c r="AF146" s="3">
        <f t="shared" si="42"/>
        <v>2.9744181167995201E-3</v>
      </c>
      <c r="AM146" s="3" t="str">
        <f t="shared" si="43"/>
        <v>-0.00446340011902395+0.0089268002380479i</v>
      </c>
      <c r="AN146" s="3" t="str">
        <f t="shared" si="44"/>
        <v>2.99999999999998+1.50297560007934i</v>
      </c>
      <c r="AO146" s="3" t="str">
        <f t="shared" si="45"/>
        <v>2.35924498655571E-06+0.00297441811679952i</v>
      </c>
      <c r="AP146" s="3">
        <f t="shared" si="46"/>
        <v>2.3592449865557101E-6</v>
      </c>
      <c r="AQ146" s="3">
        <f t="shared" si="47"/>
        <v>2.9744181167995201E-3</v>
      </c>
      <c r="AR146" s="3">
        <f t="shared" si="53"/>
        <v>-2.2123891926688684</v>
      </c>
      <c r="AS146" s="3" t="e">
        <f t="shared" si="54"/>
        <v>#REF!</v>
      </c>
      <c r="AT146" s="3" t="e">
        <f t="shared" si="48"/>
        <v>#REF!</v>
      </c>
      <c r="AU146" s="3" t="e">
        <f t="shared" si="49"/>
        <v>#REF!</v>
      </c>
      <c r="AV146" s="3" t="e">
        <f t="shared" si="50"/>
        <v>#REF!</v>
      </c>
      <c r="AW146" s="3">
        <v>284</v>
      </c>
      <c r="AX146" s="3" t="e">
        <f>IF(AND(#REF!="N",OR(AW146=$AX$1,AW146=$AX$2,AW146=$AX$3,AW146=$AX$4,AW146=$AY$1,AW146=$AY$2,AW146=$AY$3,AW146=$AY$4)),0,1)</f>
        <v>#REF!</v>
      </c>
    </row>
    <row r="147" spans="2:50" x14ac:dyDescent="0.2">
      <c r="B147" s="4">
        <v>286</v>
      </c>
      <c r="C147" s="208">
        <v>4.4194173824159217E-8</v>
      </c>
      <c r="D147" s="208">
        <v>4.4194173824159217E-8</v>
      </c>
      <c r="E147" s="208">
        <v>4.4194173824159217E-8</v>
      </c>
      <c r="F147" s="209" t="s">
        <v>714</v>
      </c>
      <c r="G147" s="208">
        <v>1.2020782157945343E-15</v>
      </c>
      <c r="H147" s="210">
        <v>1.6430811510908086E-14</v>
      </c>
      <c r="I147" s="208">
        <v>7.2614613998506813E-24</v>
      </c>
      <c r="J147" s="208">
        <v>7.2614613998506813E-24</v>
      </c>
      <c r="K147" s="208">
        <v>7.2614613998506813E-24</v>
      </c>
      <c r="L147" s="208">
        <v>0</v>
      </c>
      <c r="M147" s="208">
        <v>0</v>
      </c>
      <c r="N147" s="208">
        <v>0</v>
      </c>
      <c r="O147" s="3">
        <v>360</v>
      </c>
      <c r="P147" s="3">
        <v>360</v>
      </c>
      <c r="Q147" s="3">
        <v>360</v>
      </c>
      <c r="S147" s="4">
        <v>0</v>
      </c>
      <c r="T147" s="4">
        <v>71.5</v>
      </c>
      <c r="U147" s="210"/>
      <c r="V147" s="210">
        <v>1.6430811510908086E-14</v>
      </c>
      <c r="W147" s="3">
        <v>0</v>
      </c>
      <c r="X147" s="3">
        <v>0</v>
      </c>
      <c r="Y147" s="3">
        <f t="shared" si="51"/>
        <v>1</v>
      </c>
      <c r="Z147" s="3">
        <f t="shared" si="52"/>
        <v>1</v>
      </c>
      <c r="AA147" s="3" t="str">
        <f t="shared" si="37"/>
        <v/>
      </c>
      <c r="AB147" s="3" t="str">
        <f t="shared" si="38"/>
        <v/>
      </c>
      <c r="AC147" s="3" t="str">
        <f t="shared" si="39"/>
        <v/>
      </c>
      <c r="AD147" s="3" t="str">
        <f t="shared" si="40"/>
        <v>0</v>
      </c>
      <c r="AE147" s="3">
        <f t="shared" si="41"/>
        <v>0</v>
      </c>
      <c r="AF147" s="3">
        <f t="shared" si="42"/>
        <v>0</v>
      </c>
      <c r="AM147" s="3" t="str">
        <f t="shared" si="43"/>
        <v/>
      </c>
      <c r="AN147" s="3" t="str">
        <f t="shared" si="44"/>
        <v/>
      </c>
      <c r="AO147" s="3" t="str">
        <f t="shared" si="45"/>
        <v/>
      </c>
      <c r="AP147" s="3">
        <f t="shared" si="46"/>
        <v>0</v>
      </c>
      <c r="AQ147" s="3">
        <f t="shared" si="47"/>
        <v>0</v>
      </c>
      <c r="AR147" s="3">
        <f t="shared" si="53"/>
        <v>0</v>
      </c>
      <c r="AS147" s="3" t="e">
        <f t="shared" si="54"/>
        <v>#REF!</v>
      </c>
      <c r="AT147" s="3" t="str">
        <f t="shared" si="48"/>
        <v/>
      </c>
      <c r="AU147" s="3">
        <f t="shared" si="49"/>
        <v>0</v>
      </c>
      <c r="AV147" s="3">
        <f t="shared" si="50"/>
        <v>0</v>
      </c>
      <c r="AW147" s="3">
        <v>286</v>
      </c>
      <c r="AX147" s="3" t="e">
        <f>IF(AND(#REF!="N",OR(AW147=$AX$1,AW147=$AX$2,AW147=$AX$3,AW147=$AX$4,AW147=$AY$1,AW147=$AY$2,AW147=$AY$3,AW147=$AY$4)),0,1)</f>
        <v>#REF!</v>
      </c>
    </row>
    <row r="148" spans="2:50" x14ac:dyDescent="0.2">
      <c r="B148" s="4">
        <v>288</v>
      </c>
      <c r="C148" s="208">
        <v>4.4194173824159217E-8</v>
      </c>
      <c r="D148" s="208">
        <v>4.4194173824159217E-8</v>
      </c>
      <c r="E148" s="208">
        <v>4.4194173824159217E-8</v>
      </c>
      <c r="F148" s="209" t="s">
        <v>714</v>
      </c>
      <c r="G148" s="208">
        <v>1.5501985992023152E-16</v>
      </c>
      <c r="H148" s="210">
        <v>2.1189154460412114E-15</v>
      </c>
      <c r="I148" s="208">
        <v>9.3643717541041154E-25</v>
      </c>
      <c r="J148" s="208">
        <v>9.3643717541041154E-25</v>
      </c>
      <c r="K148" s="208">
        <v>9.3643717541041154E-25</v>
      </c>
      <c r="L148" s="208">
        <v>0</v>
      </c>
      <c r="M148" s="208">
        <v>0</v>
      </c>
      <c r="N148" s="208">
        <v>0</v>
      </c>
      <c r="O148" s="3">
        <v>360</v>
      </c>
      <c r="P148" s="3">
        <v>360</v>
      </c>
      <c r="Q148" s="3">
        <v>360</v>
      </c>
      <c r="S148" s="4">
        <v>0</v>
      </c>
      <c r="T148" s="4">
        <v>72</v>
      </c>
      <c r="U148" s="210"/>
      <c r="V148" s="210">
        <v>2.1189154460412114E-15</v>
      </c>
      <c r="W148" s="3">
        <v>0</v>
      </c>
      <c r="X148" s="3">
        <v>0</v>
      </c>
      <c r="Y148" s="3">
        <f t="shared" si="51"/>
        <v>1</v>
      </c>
      <c r="Z148" s="3">
        <f t="shared" si="52"/>
        <v>1</v>
      </c>
      <c r="AA148" s="3" t="str">
        <f t="shared" si="37"/>
        <v/>
      </c>
      <c r="AB148" s="3" t="str">
        <f t="shared" si="38"/>
        <v/>
      </c>
      <c r="AC148" s="3" t="str">
        <f t="shared" si="39"/>
        <v/>
      </c>
      <c r="AD148" s="3" t="str">
        <f t="shared" si="40"/>
        <v>0</v>
      </c>
      <c r="AE148" s="3">
        <f t="shared" si="41"/>
        <v>0</v>
      </c>
      <c r="AF148" s="3">
        <f t="shared" si="42"/>
        <v>0</v>
      </c>
      <c r="AM148" s="3" t="str">
        <f t="shared" si="43"/>
        <v/>
      </c>
      <c r="AN148" s="3" t="str">
        <f t="shared" si="44"/>
        <v/>
      </c>
      <c r="AO148" s="3" t="str">
        <f t="shared" si="45"/>
        <v/>
      </c>
      <c r="AP148" s="3">
        <f t="shared" si="46"/>
        <v>0</v>
      </c>
      <c r="AQ148" s="3">
        <f t="shared" si="47"/>
        <v>0</v>
      </c>
      <c r="AR148" s="3">
        <f t="shared" si="53"/>
        <v>0</v>
      </c>
      <c r="AS148" s="3" t="e">
        <f t="shared" si="54"/>
        <v>#REF!</v>
      </c>
      <c r="AT148" s="3" t="str">
        <f t="shared" si="48"/>
        <v/>
      </c>
      <c r="AU148" s="3">
        <f t="shared" si="49"/>
        <v>0</v>
      </c>
      <c r="AV148" s="3">
        <f t="shared" si="50"/>
        <v>0</v>
      </c>
      <c r="AW148" s="3">
        <v>288</v>
      </c>
      <c r="AX148" s="3" t="e">
        <f>IF(AND(#REF!="N",OR(AW148=$AX$1,AW148=$AX$2,AW148=$AX$3,AW148=$AX$4,AW148=$AY$1,AW148=$AY$2,AW148=$AY$3,AW148=$AY$4)),0,1)</f>
        <v>#REF!</v>
      </c>
    </row>
    <row r="149" spans="2:50" x14ac:dyDescent="0.2">
      <c r="B149" s="4">
        <v>290</v>
      </c>
      <c r="C149" s="208">
        <v>4.4194173824159217E-8</v>
      </c>
      <c r="D149" s="208">
        <v>4.4194173824159217E-8</v>
      </c>
      <c r="E149" s="208">
        <v>4.4194173824159217E-8</v>
      </c>
      <c r="F149" s="209" t="s">
        <v>714</v>
      </c>
      <c r="G149" s="208">
        <v>1.0322931480570875E-16</v>
      </c>
      <c r="H149" s="210">
        <v>1.4110075298650181E-15</v>
      </c>
      <c r="I149" s="208">
        <v>6.2358312042052133E-25</v>
      </c>
      <c r="J149" s="208">
        <v>6.2358312042052133E-25</v>
      </c>
      <c r="K149" s="208">
        <v>6.2358312042052133E-25</v>
      </c>
      <c r="L149" s="208">
        <v>0</v>
      </c>
      <c r="M149" s="208">
        <v>0</v>
      </c>
      <c r="N149" s="208">
        <v>0</v>
      </c>
      <c r="O149" s="3">
        <v>360</v>
      </c>
      <c r="P149" s="3">
        <v>360</v>
      </c>
      <c r="Q149" s="3">
        <v>360</v>
      </c>
      <c r="S149" s="4">
        <v>0</v>
      </c>
      <c r="T149" s="4">
        <v>72.5</v>
      </c>
      <c r="U149" s="210"/>
      <c r="V149" s="210">
        <v>1.4110075298650179E-15</v>
      </c>
      <c r="W149" s="3">
        <v>0</v>
      </c>
      <c r="X149" s="3">
        <v>0</v>
      </c>
      <c r="Y149" s="3">
        <f t="shared" si="51"/>
        <v>1</v>
      </c>
      <c r="Z149" s="3">
        <f t="shared" si="52"/>
        <v>1</v>
      </c>
      <c r="AA149" s="3" t="str">
        <f t="shared" si="37"/>
        <v/>
      </c>
      <c r="AB149" s="3" t="str">
        <f t="shared" si="38"/>
        <v/>
      </c>
      <c r="AC149" s="3" t="str">
        <f t="shared" si="39"/>
        <v/>
      </c>
      <c r="AD149" s="3" t="str">
        <f t="shared" si="40"/>
        <v>0</v>
      </c>
      <c r="AE149" s="3">
        <f t="shared" si="41"/>
        <v>0</v>
      </c>
      <c r="AF149" s="3">
        <f t="shared" si="42"/>
        <v>0</v>
      </c>
      <c r="AM149" s="3" t="str">
        <f t="shared" si="43"/>
        <v/>
      </c>
      <c r="AN149" s="3" t="str">
        <f t="shared" si="44"/>
        <v/>
      </c>
      <c r="AO149" s="3" t="str">
        <f t="shared" si="45"/>
        <v/>
      </c>
      <c r="AP149" s="3">
        <f t="shared" si="46"/>
        <v>0</v>
      </c>
      <c r="AQ149" s="3">
        <f t="shared" si="47"/>
        <v>0</v>
      </c>
      <c r="AR149" s="3">
        <f t="shared" si="53"/>
        <v>0</v>
      </c>
      <c r="AS149" s="3" t="e">
        <f t="shared" si="54"/>
        <v>#REF!</v>
      </c>
      <c r="AT149" s="3" t="str">
        <f t="shared" si="48"/>
        <v/>
      </c>
      <c r="AU149" s="3">
        <f t="shared" si="49"/>
        <v>0</v>
      </c>
      <c r="AV149" s="3">
        <f t="shared" si="50"/>
        <v>0</v>
      </c>
      <c r="AW149" s="3">
        <v>290</v>
      </c>
      <c r="AX149" s="3" t="e">
        <f>IF(AND(#REF!="N",OR(AW149=$AX$1,AW149=$AX$2,AW149=$AX$3,AW149=$AX$4,AW149=$AY$1,AW149=$AY$2,AW149=$AY$3,AW149=$AY$4)),0,1)</f>
        <v>#REF!</v>
      </c>
    </row>
    <row r="150" spans="2:50" x14ac:dyDescent="0.2">
      <c r="B150" s="4">
        <v>292</v>
      </c>
      <c r="C150" s="208">
        <v>0.95766219694254839</v>
      </c>
      <c r="D150" s="208">
        <v>0.95766219694254839</v>
      </c>
      <c r="E150" s="208">
        <v>0.95766219694254828</v>
      </c>
      <c r="F150" s="209" t="s">
        <v>714</v>
      </c>
      <c r="G150" s="208">
        <v>0.10021918188864715</v>
      </c>
      <c r="H150" s="210">
        <v>1.3698630136986314</v>
      </c>
      <c r="I150" s="208">
        <v>1.3118660232089716E-2</v>
      </c>
      <c r="J150" s="208">
        <v>1.3118660232089716E-2</v>
      </c>
      <c r="K150" s="208">
        <v>1.3118660232089715E-2</v>
      </c>
      <c r="L150" s="208">
        <v>2.2722186049212688E-2</v>
      </c>
      <c r="M150" s="208">
        <v>2.2722186049212747E-2</v>
      </c>
      <c r="N150" s="208">
        <v>2.2722186049212688E-2</v>
      </c>
      <c r="O150" s="3">
        <v>240</v>
      </c>
      <c r="P150" s="3">
        <v>240</v>
      </c>
      <c r="Q150" s="3">
        <v>240</v>
      </c>
      <c r="R150" s="4" t="s">
        <v>168</v>
      </c>
      <c r="S150" s="4" t="s">
        <v>168</v>
      </c>
      <c r="T150" s="4">
        <v>73</v>
      </c>
      <c r="U150" s="210"/>
      <c r="V150" s="210">
        <v>1.3698630136986316</v>
      </c>
      <c r="W150" s="3">
        <v>0</v>
      </c>
      <c r="X150" s="3">
        <v>1.369863013698629</v>
      </c>
      <c r="Y150" s="3">
        <f t="shared" si="51"/>
        <v>1</v>
      </c>
      <c r="Z150" s="3">
        <f t="shared" si="52"/>
        <v>1</v>
      </c>
      <c r="AA150" s="3">
        <f t="shared" si="37"/>
        <v>2.9999999999999991</v>
      </c>
      <c r="AB150" s="3">
        <f t="shared" si="38"/>
        <v>1.4999999999999996</v>
      </c>
      <c r="AC150" s="3">
        <f t="shared" si="39"/>
        <v>2.8147870144492396E-3</v>
      </c>
      <c r="AD150" s="3" t="str">
        <f t="shared" si="40"/>
        <v>2.11122072647359E-06+0.00281372942320711i</v>
      </c>
      <c r="AE150" s="3">
        <f t="shared" si="41"/>
        <v>2.1112207264735899E-6</v>
      </c>
      <c r="AF150" s="3">
        <f t="shared" si="42"/>
        <v>2.81372942320711E-3</v>
      </c>
      <c r="AM150" s="3" t="str">
        <f t="shared" si="43"/>
        <v>-0.00422218052167386+0.00844436104334772i</v>
      </c>
      <c r="AN150" s="3" t="str">
        <f t="shared" si="44"/>
        <v>3+1.50281478701445i</v>
      </c>
      <c r="AO150" s="3" t="str">
        <f t="shared" si="45"/>
        <v>2.11122072647359E-06+0.00281372942320711i</v>
      </c>
      <c r="AP150" s="3">
        <f t="shared" si="46"/>
        <v>2.1112207264735899E-6</v>
      </c>
      <c r="AQ150" s="3">
        <f t="shared" si="47"/>
        <v>2.81372942320711E-3</v>
      </c>
      <c r="AR150" s="3">
        <f t="shared" si="53"/>
        <v>2.1517757901299954</v>
      </c>
      <c r="AS150" s="3" t="e">
        <f t="shared" si="54"/>
        <v>#REF!</v>
      </c>
      <c r="AT150" s="3" t="e">
        <f t="shared" si="48"/>
        <v>#REF!</v>
      </c>
      <c r="AU150" s="3" t="e">
        <f t="shared" si="49"/>
        <v>#REF!</v>
      </c>
      <c r="AV150" s="3" t="e">
        <f t="shared" si="50"/>
        <v>#REF!</v>
      </c>
      <c r="AW150" s="3">
        <v>292</v>
      </c>
      <c r="AX150" s="3" t="e">
        <f>IF(AND(#REF!="N",OR(AW150=$AX$1,AW150=$AX$2,AW150=$AX$3,AW150=$AX$4,AW150=$AY$1,AW150=$AY$2,AW150=$AY$3,AW150=$AY$4)),0,1)</f>
        <v>#REF!</v>
      </c>
    </row>
    <row r="151" spans="2:50" x14ac:dyDescent="0.2">
      <c r="B151" s="4">
        <v>294</v>
      </c>
      <c r="C151" s="208">
        <v>4.4194173824159217E-8</v>
      </c>
      <c r="D151" s="208">
        <v>4.4194173824159217E-8</v>
      </c>
      <c r="E151" s="208">
        <v>4.4194173824159217E-8</v>
      </c>
      <c r="F151" s="209" t="s">
        <v>714</v>
      </c>
      <c r="G151" s="208">
        <v>1.4852365996668882E-15</v>
      </c>
      <c r="H151" s="210">
        <v>2.0301210268666823E-14</v>
      </c>
      <c r="I151" s="208">
        <v>8.9719521545426752E-24</v>
      </c>
      <c r="J151" s="208">
        <v>8.9719521545426752E-24</v>
      </c>
      <c r="K151" s="208">
        <v>8.9719521545426752E-24</v>
      </c>
      <c r="L151" s="208">
        <v>0</v>
      </c>
      <c r="M151" s="208">
        <v>0</v>
      </c>
      <c r="N151" s="208">
        <v>0</v>
      </c>
      <c r="O151" s="3">
        <v>360</v>
      </c>
      <c r="P151" s="3">
        <v>360</v>
      </c>
      <c r="Q151" s="3">
        <v>360</v>
      </c>
      <c r="S151" s="4">
        <v>0</v>
      </c>
      <c r="T151" s="4">
        <v>73.5</v>
      </c>
      <c r="U151" s="210"/>
      <c r="V151" s="210">
        <v>2.0301210268666819E-14</v>
      </c>
      <c r="W151" s="3">
        <v>0</v>
      </c>
      <c r="X151" s="3">
        <v>0</v>
      </c>
      <c r="Y151" s="3">
        <f t="shared" si="51"/>
        <v>1</v>
      </c>
      <c r="Z151" s="3">
        <f t="shared" si="52"/>
        <v>1</v>
      </c>
      <c r="AA151" s="3" t="str">
        <f t="shared" si="37"/>
        <v/>
      </c>
      <c r="AB151" s="3" t="str">
        <f t="shared" si="38"/>
        <v/>
      </c>
      <c r="AC151" s="3" t="str">
        <f t="shared" si="39"/>
        <v/>
      </c>
      <c r="AD151" s="3" t="str">
        <f t="shared" si="40"/>
        <v>0</v>
      </c>
      <c r="AE151" s="3">
        <f t="shared" si="41"/>
        <v>0</v>
      </c>
      <c r="AF151" s="3">
        <f t="shared" si="42"/>
        <v>0</v>
      </c>
      <c r="AM151" s="3" t="str">
        <f t="shared" si="43"/>
        <v/>
      </c>
      <c r="AN151" s="3" t="str">
        <f t="shared" si="44"/>
        <v/>
      </c>
      <c r="AO151" s="3" t="str">
        <f t="shared" si="45"/>
        <v/>
      </c>
      <c r="AP151" s="3">
        <f t="shared" si="46"/>
        <v>0</v>
      </c>
      <c r="AQ151" s="3">
        <f t="shared" si="47"/>
        <v>0</v>
      </c>
      <c r="AR151" s="3">
        <f t="shared" si="53"/>
        <v>0</v>
      </c>
      <c r="AS151" s="3" t="e">
        <f t="shared" si="54"/>
        <v>#REF!</v>
      </c>
      <c r="AT151" s="3" t="str">
        <f t="shared" si="48"/>
        <v/>
      </c>
      <c r="AU151" s="3">
        <f t="shared" si="49"/>
        <v>0</v>
      </c>
      <c r="AV151" s="3">
        <f t="shared" si="50"/>
        <v>0</v>
      </c>
      <c r="AW151" s="3">
        <v>294</v>
      </c>
      <c r="AX151" s="3" t="e">
        <f>IF(AND(#REF!="N",OR(AW151=$AX$1,AW151=$AX$2,AW151=$AX$3,AW151=$AX$4,AW151=$AY$1,AW151=$AY$2,AW151=$AY$3,AW151=$AY$4)),0,1)</f>
        <v>#REF!</v>
      </c>
    </row>
    <row r="152" spans="2:50" x14ac:dyDescent="0.2">
      <c r="B152" s="4">
        <v>296</v>
      </c>
      <c r="C152" s="208">
        <v>4.4194173824159217E-8</v>
      </c>
      <c r="D152" s="208">
        <v>4.4194173824159217E-8</v>
      </c>
      <c r="E152" s="208">
        <v>4.4194173824159217E-8</v>
      </c>
      <c r="F152" s="209" t="s">
        <v>714</v>
      </c>
      <c r="G152" s="208">
        <v>5.6719086832119414E-16</v>
      </c>
      <c r="H152" s="210">
        <v>7.7527453086187137E-15</v>
      </c>
      <c r="I152" s="208">
        <v>3.4262617378353035E-24</v>
      </c>
      <c r="J152" s="208">
        <v>3.4262617378353035E-24</v>
      </c>
      <c r="K152" s="208">
        <v>3.4262617378353035E-24</v>
      </c>
      <c r="L152" s="208">
        <v>0</v>
      </c>
      <c r="M152" s="208">
        <v>0</v>
      </c>
      <c r="N152" s="208">
        <v>0</v>
      </c>
      <c r="O152" s="3">
        <v>360</v>
      </c>
      <c r="P152" s="3">
        <v>360</v>
      </c>
      <c r="Q152" s="3">
        <v>360</v>
      </c>
      <c r="S152" s="4">
        <v>0</v>
      </c>
      <c r="T152" s="4">
        <v>74</v>
      </c>
      <c r="U152" s="210"/>
      <c r="V152" s="210">
        <v>7.7527453086187137E-15</v>
      </c>
      <c r="W152" s="3">
        <v>0</v>
      </c>
      <c r="X152" s="3">
        <v>0</v>
      </c>
      <c r="Y152" s="3">
        <f t="shared" si="51"/>
        <v>1</v>
      </c>
      <c r="Z152" s="3">
        <f t="shared" si="52"/>
        <v>1</v>
      </c>
      <c r="AA152" s="3" t="str">
        <f t="shared" si="37"/>
        <v/>
      </c>
      <c r="AB152" s="3" t="str">
        <f t="shared" si="38"/>
        <v/>
      </c>
      <c r="AC152" s="3" t="str">
        <f t="shared" si="39"/>
        <v/>
      </c>
      <c r="AD152" s="3" t="str">
        <f t="shared" si="40"/>
        <v>0</v>
      </c>
      <c r="AE152" s="3">
        <f t="shared" si="41"/>
        <v>0</v>
      </c>
      <c r="AF152" s="3">
        <f t="shared" si="42"/>
        <v>0</v>
      </c>
      <c r="AM152" s="3" t="str">
        <f t="shared" si="43"/>
        <v/>
      </c>
      <c r="AN152" s="3" t="str">
        <f t="shared" si="44"/>
        <v/>
      </c>
      <c r="AO152" s="3" t="str">
        <f t="shared" si="45"/>
        <v/>
      </c>
      <c r="AP152" s="3">
        <f t="shared" si="46"/>
        <v>0</v>
      </c>
      <c r="AQ152" s="3">
        <f t="shared" si="47"/>
        <v>0</v>
      </c>
      <c r="AR152" s="3">
        <f t="shared" si="53"/>
        <v>0</v>
      </c>
      <c r="AS152" s="3" t="e">
        <f t="shared" si="54"/>
        <v>#REF!</v>
      </c>
      <c r="AT152" s="3" t="str">
        <f t="shared" si="48"/>
        <v/>
      </c>
      <c r="AU152" s="3">
        <f t="shared" si="49"/>
        <v>0</v>
      </c>
      <c r="AV152" s="3">
        <f t="shared" si="50"/>
        <v>0</v>
      </c>
      <c r="AW152" s="3">
        <v>296</v>
      </c>
      <c r="AX152" s="3" t="e">
        <f>IF(AND(#REF!="N",OR(AW152=$AX$1,AW152=$AX$2,AW152=$AX$3,AW152=$AX$4,AW152=$AY$1,AW152=$AY$2,AW152=$AY$3,AW152=$AY$4)),0,1)</f>
        <v>#REF!</v>
      </c>
    </row>
    <row r="153" spans="2:50" x14ac:dyDescent="0.2">
      <c r="B153" s="4">
        <v>298</v>
      </c>
      <c r="C153" s="208">
        <v>4.4194173824159217E-8</v>
      </c>
      <c r="D153" s="208">
        <v>4.4194173824159217E-8</v>
      </c>
      <c r="E153" s="208">
        <v>4.4194173824159217E-8</v>
      </c>
      <c r="F153" s="209" t="s">
        <v>714</v>
      </c>
      <c r="G153" s="208">
        <v>3.8103878588504085E-16</v>
      </c>
      <c r="H153" s="210">
        <v>5.2082937590581011E-15</v>
      </c>
      <c r="I153" s="208">
        <v>2.3017623971509733E-24</v>
      </c>
      <c r="J153" s="208">
        <v>2.3017623971509733E-24</v>
      </c>
      <c r="K153" s="208">
        <v>2.3017623971509733E-24</v>
      </c>
      <c r="L153" s="208">
        <v>0</v>
      </c>
      <c r="M153" s="208">
        <v>0</v>
      </c>
      <c r="N153" s="208">
        <v>0</v>
      </c>
      <c r="O153" s="3">
        <v>360</v>
      </c>
      <c r="P153" s="3">
        <v>360</v>
      </c>
      <c r="Q153" s="3">
        <v>360</v>
      </c>
      <c r="S153" s="4">
        <v>0</v>
      </c>
      <c r="T153" s="4">
        <v>74.5</v>
      </c>
      <c r="U153" s="210"/>
      <c r="V153" s="210">
        <v>5.2082937590581011E-15</v>
      </c>
      <c r="W153" s="3">
        <v>0</v>
      </c>
      <c r="X153" s="3">
        <v>0</v>
      </c>
      <c r="Y153" s="3">
        <f t="shared" si="51"/>
        <v>1</v>
      </c>
      <c r="Z153" s="3">
        <f t="shared" si="52"/>
        <v>1</v>
      </c>
      <c r="AA153" s="3" t="str">
        <f t="shared" si="37"/>
        <v/>
      </c>
      <c r="AB153" s="3" t="str">
        <f t="shared" si="38"/>
        <v/>
      </c>
      <c r="AC153" s="3" t="str">
        <f t="shared" si="39"/>
        <v/>
      </c>
      <c r="AD153" s="3" t="str">
        <f t="shared" si="40"/>
        <v>0</v>
      </c>
      <c r="AE153" s="3">
        <f t="shared" si="41"/>
        <v>0</v>
      </c>
      <c r="AF153" s="3">
        <f t="shared" si="42"/>
        <v>0</v>
      </c>
      <c r="AM153" s="3" t="str">
        <f t="shared" si="43"/>
        <v/>
      </c>
      <c r="AN153" s="3" t="str">
        <f t="shared" si="44"/>
        <v/>
      </c>
      <c r="AO153" s="3" t="str">
        <f t="shared" si="45"/>
        <v/>
      </c>
      <c r="AP153" s="3">
        <f t="shared" si="46"/>
        <v>0</v>
      </c>
      <c r="AQ153" s="3">
        <f t="shared" si="47"/>
        <v>0</v>
      </c>
      <c r="AR153" s="3">
        <f t="shared" si="53"/>
        <v>0</v>
      </c>
      <c r="AS153" s="3" t="e">
        <f t="shared" si="54"/>
        <v>#REF!</v>
      </c>
      <c r="AT153" s="3" t="str">
        <f t="shared" si="48"/>
        <v/>
      </c>
      <c r="AU153" s="3">
        <f t="shared" si="49"/>
        <v>0</v>
      </c>
      <c r="AV153" s="3">
        <f t="shared" si="50"/>
        <v>0</v>
      </c>
      <c r="AW153" s="3">
        <v>298</v>
      </c>
      <c r="AX153" s="3" t="e">
        <f>IF(AND(#REF!="N",OR(AW153=$AX$1,AW153=$AX$2,AW153=$AX$3,AW153=$AX$4,AW153=$AY$1,AW153=$AY$2,AW153=$AY$3,AW153=$AY$4)),0,1)</f>
        <v>#REF!</v>
      </c>
    </row>
    <row r="154" spans="2:50" x14ac:dyDescent="0.2">
      <c r="B154" s="4">
        <v>300</v>
      </c>
      <c r="C154" s="208">
        <v>0.65328148243818107</v>
      </c>
      <c r="D154" s="208">
        <v>0.65328148243818085</v>
      </c>
      <c r="E154" s="208">
        <v>0.65328148243819784</v>
      </c>
      <c r="F154" s="209" t="s">
        <v>714</v>
      </c>
      <c r="G154" s="208">
        <v>5.5579570062185152E-16</v>
      </c>
      <c r="H154" s="210">
        <v>7.5969885116457878E-15</v>
      </c>
      <c r="I154" s="208">
        <v>4.9629719169537905E-17</v>
      </c>
      <c r="J154" s="208">
        <v>4.9629719169537892E-17</v>
      </c>
      <c r="K154" s="208">
        <v>4.962971916953918E-17</v>
      </c>
      <c r="L154" s="208">
        <v>1.2871770051361051E-30</v>
      </c>
      <c r="M154" s="208">
        <v>6.0223974098114886E-31</v>
      </c>
      <c r="N154" s="208">
        <v>1.5055835852810627E-30</v>
      </c>
      <c r="O154" s="3">
        <v>360</v>
      </c>
      <c r="P154" s="3">
        <v>360</v>
      </c>
      <c r="Q154" s="3">
        <v>0</v>
      </c>
      <c r="S154" s="4">
        <v>0</v>
      </c>
      <c r="T154" s="4">
        <v>75</v>
      </c>
      <c r="U154" s="210"/>
      <c r="V154" s="210">
        <v>7.5969885116457862E-15</v>
      </c>
      <c r="W154" s="3">
        <v>0</v>
      </c>
      <c r="X154" s="3">
        <v>0</v>
      </c>
      <c r="Y154" s="3">
        <f t="shared" si="51"/>
        <v>1</v>
      </c>
      <c r="Z154" s="3">
        <f t="shared" si="52"/>
        <v>1</v>
      </c>
      <c r="AA154" s="3" t="str">
        <f t="shared" si="37"/>
        <v/>
      </c>
      <c r="AB154" s="3" t="str">
        <f t="shared" si="38"/>
        <v/>
      </c>
      <c r="AC154" s="3" t="str">
        <f t="shared" si="39"/>
        <v/>
      </c>
      <c r="AD154" s="3" t="str">
        <f t="shared" si="40"/>
        <v>0</v>
      </c>
      <c r="AE154" s="3">
        <f t="shared" si="41"/>
        <v>0</v>
      </c>
      <c r="AF154" s="3">
        <f t="shared" si="42"/>
        <v>0</v>
      </c>
      <c r="AM154" s="3" t="str">
        <f t="shared" si="43"/>
        <v/>
      </c>
      <c r="AN154" s="3" t="str">
        <f t="shared" si="44"/>
        <v/>
      </c>
      <c r="AO154" s="3" t="str">
        <f t="shared" si="45"/>
        <v/>
      </c>
      <c r="AP154" s="3">
        <f t="shared" si="46"/>
        <v>0</v>
      </c>
      <c r="AQ154" s="3">
        <f t="shared" si="47"/>
        <v>0</v>
      </c>
      <c r="AR154" s="3">
        <f t="shared" si="53"/>
        <v>0</v>
      </c>
      <c r="AS154" s="3" t="e">
        <f t="shared" si="54"/>
        <v>#REF!</v>
      </c>
      <c r="AT154" s="3" t="str">
        <f t="shared" si="48"/>
        <v/>
      </c>
      <c r="AU154" s="3">
        <f t="shared" si="49"/>
        <v>0</v>
      </c>
      <c r="AV154" s="3">
        <f t="shared" si="50"/>
        <v>0</v>
      </c>
      <c r="AW154" s="3">
        <v>300</v>
      </c>
      <c r="AX154" s="3" t="e">
        <f>IF(AND(#REF!="N",OR(AW154=$AX$1,AW154=$AX$2,AW154=$AX$3,AW154=$AX$4,AW154=$AY$1,AW154=$AY$2,AW154=$AY$3,AW154=$AY$4)),0,1)</f>
        <v>#REF!</v>
      </c>
    </row>
    <row r="155" spans="2:50" x14ac:dyDescent="0.2">
      <c r="B155" s="4">
        <v>302</v>
      </c>
      <c r="C155" s="208">
        <v>4.4194173824159217E-8</v>
      </c>
      <c r="D155" s="208">
        <v>4.4194173824159217E-8</v>
      </c>
      <c r="E155" s="208">
        <v>4.4194173824159217E-8</v>
      </c>
      <c r="F155" s="209" t="s">
        <v>714</v>
      </c>
      <c r="G155" s="208">
        <v>6.1867060967445342E-16</v>
      </c>
      <c r="H155" s="210">
        <v>8.45640495047207E-15</v>
      </c>
      <c r="I155" s="208">
        <v>3.7372383030864315E-24</v>
      </c>
      <c r="J155" s="208">
        <v>3.7372383030864315E-24</v>
      </c>
      <c r="K155" s="208">
        <v>3.7372383030864315E-24</v>
      </c>
      <c r="L155" s="208">
        <v>0</v>
      </c>
      <c r="M155" s="208">
        <v>0</v>
      </c>
      <c r="N155" s="208">
        <v>0</v>
      </c>
      <c r="O155" s="3">
        <v>360</v>
      </c>
      <c r="P155" s="3">
        <v>360</v>
      </c>
      <c r="Q155" s="3">
        <v>360</v>
      </c>
      <c r="S155" s="4">
        <v>0</v>
      </c>
      <c r="T155" s="4">
        <v>75.5</v>
      </c>
      <c r="U155" s="210"/>
      <c r="V155" s="210">
        <v>8.45640495047207E-15</v>
      </c>
      <c r="W155" s="3">
        <v>0</v>
      </c>
      <c r="X155" s="3">
        <v>0</v>
      </c>
      <c r="Y155" s="3">
        <f t="shared" si="51"/>
        <v>1</v>
      </c>
      <c r="Z155" s="3">
        <f t="shared" si="52"/>
        <v>1</v>
      </c>
      <c r="AA155" s="3" t="str">
        <f t="shared" si="37"/>
        <v/>
      </c>
      <c r="AB155" s="3" t="str">
        <f t="shared" si="38"/>
        <v/>
      </c>
      <c r="AC155" s="3" t="str">
        <f t="shared" si="39"/>
        <v/>
      </c>
      <c r="AD155" s="3" t="str">
        <f t="shared" si="40"/>
        <v>0</v>
      </c>
      <c r="AE155" s="3">
        <f t="shared" si="41"/>
        <v>0</v>
      </c>
      <c r="AF155" s="3">
        <f t="shared" si="42"/>
        <v>0</v>
      </c>
      <c r="AM155" s="3" t="str">
        <f t="shared" si="43"/>
        <v/>
      </c>
      <c r="AN155" s="3" t="str">
        <f t="shared" si="44"/>
        <v/>
      </c>
      <c r="AO155" s="3" t="str">
        <f t="shared" si="45"/>
        <v/>
      </c>
      <c r="AP155" s="3">
        <f t="shared" si="46"/>
        <v>0</v>
      </c>
      <c r="AQ155" s="3">
        <f t="shared" si="47"/>
        <v>0</v>
      </c>
      <c r="AR155" s="3">
        <f t="shared" si="53"/>
        <v>0</v>
      </c>
      <c r="AS155" s="3" t="e">
        <f t="shared" si="54"/>
        <v>#REF!</v>
      </c>
      <c r="AT155" s="3" t="str">
        <f t="shared" si="48"/>
        <v/>
      </c>
      <c r="AU155" s="3">
        <f t="shared" si="49"/>
        <v>0</v>
      </c>
      <c r="AV155" s="3">
        <f t="shared" si="50"/>
        <v>0</v>
      </c>
      <c r="AW155" s="3">
        <v>302</v>
      </c>
      <c r="AX155" s="3" t="e">
        <f>IF(AND(#REF!="N",OR(AW155=$AX$1,AW155=$AX$2,AW155=$AX$3,AW155=$AX$4,AW155=$AY$1,AW155=$AY$2,AW155=$AY$3,AW155=$AY$4)),0,1)</f>
        <v>#REF!</v>
      </c>
    </row>
    <row r="156" spans="2:50" x14ac:dyDescent="0.2">
      <c r="B156" s="4">
        <v>304</v>
      </c>
      <c r="C156" s="208">
        <v>4.4194173824159217E-8</v>
      </c>
      <c r="D156" s="208">
        <v>4.4194173824159217E-8</v>
      </c>
      <c r="E156" s="208">
        <v>4.4194173824159217E-8</v>
      </c>
      <c r="F156" s="209" t="s">
        <v>714</v>
      </c>
      <c r="G156" s="208">
        <v>4.7599466731548614E-16</v>
      </c>
      <c r="H156" s="210">
        <v>6.5062144510195156E-15</v>
      </c>
      <c r="I156" s="208">
        <v>2.875367723856131E-24</v>
      </c>
      <c r="J156" s="208">
        <v>2.875367723856131E-24</v>
      </c>
      <c r="K156" s="208">
        <v>2.875367723856131E-24</v>
      </c>
      <c r="L156" s="208">
        <v>0</v>
      </c>
      <c r="M156" s="208">
        <v>0</v>
      </c>
      <c r="N156" s="208">
        <v>0</v>
      </c>
      <c r="O156" s="3">
        <v>360</v>
      </c>
      <c r="P156" s="3">
        <v>360</v>
      </c>
      <c r="Q156" s="3">
        <v>360</v>
      </c>
      <c r="S156" s="4">
        <v>0</v>
      </c>
      <c r="T156" s="4">
        <v>76</v>
      </c>
      <c r="U156" s="210"/>
      <c r="V156" s="210">
        <v>6.5062144510195156E-15</v>
      </c>
      <c r="W156" s="3">
        <v>0</v>
      </c>
      <c r="X156" s="3">
        <v>0</v>
      </c>
      <c r="Y156" s="3">
        <f t="shared" si="51"/>
        <v>1</v>
      </c>
      <c r="Z156" s="3">
        <f t="shared" si="52"/>
        <v>1</v>
      </c>
      <c r="AA156" s="3" t="str">
        <f t="shared" si="37"/>
        <v/>
      </c>
      <c r="AB156" s="3" t="str">
        <f t="shared" si="38"/>
        <v/>
      </c>
      <c r="AC156" s="3" t="str">
        <f t="shared" si="39"/>
        <v/>
      </c>
      <c r="AD156" s="3" t="str">
        <f t="shared" si="40"/>
        <v>0</v>
      </c>
      <c r="AE156" s="3">
        <f t="shared" si="41"/>
        <v>0</v>
      </c>
      <c r="AF156" s="3">
        <f t="shared" si="42"/>
        <v>0</v>
      </c>
      <c r="AM156" s="3" t="str">
        <f t="shared" si="43"/>
        <v/>
      </c>
      <c r="AN156" s="3" t="str">
        <f t="shared" si="44"/>
        <v/>
      </c>
      <c r="AO156" s="3" t="str">
        <f t="shared" si="45"/>
        <v/>
      </c>
      <c r="AP156" s="3">
        <f t="shared" si="46"/>
        <v>0</v>
      </c>
      <c r="AQ156" s="3">
        <f t="shared" si="47"/>
        <v>0</v>
      </c>
      <c r="AR156" s="3">
        <f t="shared" si="53"/>
        <v>0</v>
      </c>
      <c r="AS156" s="3" t="e">
        <f t="shared" si="54"/>
        <v>#REF!</v>
      </c>
      <c r="AT156" s="3" t="str">
        <f t="shared" si="48"/>
        <v/>
      </c>
      <c r="AU156" s="3">
        <f t="shared" si="49"/>
        <v>0</v>
      </c>
      <c r="AV156" s="3">
        <f t="shared" si="50"/>
        <v>0</v>
      </c>
      <c r="AW156" s="3">
        <v>304</v>
      </c>
      <c r="AX156" s="3" t="e">
        <f>IF(AND(#REF!="N",OR(AW156=$AX$1,AW156=$AX$2,AW156=$AX$3,AW156=$AX$4,AW156=$AY$1,AW156=$AY$2,AW156=$AY$3,AW156=$AY$4)),0,1)</f>
        <v>#REF!</v>
      </c>
    </row>
    <row r="157" spans="2:50" x14ac:dyDescent="0.2">
      <c r="B157" s="4">
        <v>306</v>
      </c>
      <c r="C157" s="208">
        <v>4.4194173824159217E-8</v>
      </c>
      <c r="D157" s="208">
        <v>4.4194173824159217E-8</v>
      </c>
      <c r="E157" s="208">
        <v>4.4194173824159217E-8</v>
      </c>
      <c r="F157" s="209" t="s">
        <v>714</v>
      </c>
      <c r="G157" s="208">
        <v>7.1683716332016532E-16</v>
      </c>
      <c r="H157" s="210">
        <v>9.7982112642667405E-15</v>
      </c>
      <c r="I157" s="208">
        <v>4.3302385177883918E-24</v>
      </c>
      <c r="J157" s="208">
        <v>4.3302385177883918E-24</v>
      </c>
      <c r="K157" s="208">
        <v>4.3302385177883918E-24</v>
      </c>
      <c r="L157" s="208">
        <v>0</v>
      </c>
      <c r="M157" s="208">
        <v>0</v>
      </c>
      <c r="N157" s="208">
        <v>0</v>
      </c>
      <c r="O157" s="3">
        <v>360</v>
      </c>
      <c r="P157" s="3">
        <v>360</v>
      </c>
      <c r="Q157" s="3">
        <v>360</v>
      </c>
      <c r="S157" s="4">
        <v>0</v>
      </c>
      <c r="T157" s="4">
        <v>76.5</v>
      </c>
      <c r="U157" s="210"/>
      <c r="V157" s="210">
        <v>9.7982112642667405E-15</v>
      </c>
      <c r="W157" s="3">
        <v>0</v>
      </c>
      <c r="X157" s="3">
        <v>0</v>
      </c>
      <c r="Y157" s="3">
        <f t="shared" si="51"/>
        <v>1</v>
      </c>
      <c r="Z157" s="3">
        <f t="shared" si="52"/>
        <v>1</v>
      </c>
      <c r="AA157" s="3" t="str">
        <f t="shared" si="37"/>
        <v/>
      </c>
      <c r="AB157" s="3" t="str">
        <f t="shared" si="38"/>
        <v/>
      </c>
      <c r="AC157" s="3" t="str">
        <f t="shared" si="39"/>
        <v/>
      </c>
      <c r="AD157" s="3" t="str">
        <f t="shared" si="40"/>
        <v>0</v>
      </c>
      <c r="AE157" s="3">
        <f t="shared" si="41"/>
        <v>0</v>
      </c>
      <c r="AF157" s="3">
        <f t="shared" si="42"/>
        <v>0</v>
      </c>
      <c r="AM157" s="3" t="str">
        <f t="shared" si="43"/>
        <v/>
      </c>
      <c r="AN157" s="3" t="str">
        <f t="shared" si="44"/>
        <v/>
      </c>
      <c r="AO157" s="3" t="str">
        <f t="shared" si="45"/>
        <v/>
      </c>
      <c r="AP157" s="3">
        <f t="shared" si="46"/>
        <v>0</v>
      </c>
      <c r="AQ157" s="3">
        <f t="shared" si="47"/>
        <v>0</v>
      </c>
      <c r="AR157" s="3">
        <f t="shared" si="53"/>
        <v>0</v>
      </c>
      <c r="AS157" s="3" t="e">
        <f t="shared" si="54"/>
        <v>#REF!</v>
      </c>
      <c r="AT157" s="3" t="str">
        <f t="shared" si="48"/>
        <v/>
      </c>
      <c r="AU157" s="3">
        <f t="shared" si="49"/>
        <v>0</v>
      </c>
      <c r="AV157" s="3">
        <f t="shared" si="50"/>
        <v>0</v>
      </c>
      <c r="AW157" s="3">
        <v>306</v>
      </c>
      <c r="AX157" s="3" t="e">
        <f>IF(AND(#REF!="N",OR(AW157=$AX$1,AW157=$AX$2,AW157=$AX$3,AW157=$AX$4,AW157=$AY$1,AW157=$AY$2,AW157=$AY$3,AW157=$AY$4)),0,1)</f>
        <v>#REF!</v>
      </c>
    </row>
    <row r="158" spans="2:50" x14ac:dyDescent="0.2">
      <c r="B158" s="4">
        <v>308</v>
      </c>
      <c r="C158" s="208">
        <v>0.20533495396306756</v>
      </c>
      <c r="D158" s="208">
        <v>0.20533495396307691</v>
      </c>
      <c r="E158" s="208">
        <v>0.20533495396307094</v>
      </c>
      <c r="F158" s="209" t="s">
        <v>714</v>
      </c>
      <c r="G158" s="208">
        <v>2.0371993504063927E-2</v>
      </c>
      <c r="H158" s="210">
        <v>0.27845807449848331</v>
      </c>
      <c r="I158" s="208">
        <v>5.7177175907790502E-4</v>
      </c>
      <c r="J158" s="208">
        <v>5.7177175907793104E-4</v>
      </c>
      <c r="K158" s="208">
        <v>5.7177175907791446E-4</v>
      </c>
      <c r="L158" s="208">
        <v>9.9033773705598199E-4</v>
      </c>
      <c r="M158" s="208">
        <v>9.9033773705597223E-4</v>
      </c>
      <c r="N158" s="208">
        <v>9.9033773705599609E-4</v>
      </c>
      <c r="O158" s="3">
        <v>120</v>
      </c>
      <c r="P158" s="3">
        <v>120</v>
      </c>
      <c r="Q158" s="3">
        <v>120</v>
      </c>
      <c r="R158" s="4" t="s">
        <v>172</v>
      </c>
      <c r="S158" s="4" t="s">
        <v>172</v>
      </c>
      <c r="T158" s="4">
        <v>77</v>
      </c>
      <c r="U158" s="210"/>
      <c r="V158" s="210">
        <v>0.27845807449848331</v>
      </c>
      <c r="W158" s="3">
        <v>0.2784580744984867</v>
      </c>
      <c r="X158" s="3">
        <v>0</v>
      </c>
      <c r="Y158" s="3">
        <f t="shared" si="51"/>
        <v>1</v>
      </c>
      <c r="Z158" s="3">
        <f t="shared" si="52"/>
        <v>1</v>
      </c>
      <c r="AA158" s="3">
        <f t="shared" si="37"/>
        <v>0.13791844010202547</v>
      </c>
      <c r="AB158" s="3">
        <f t="shared" si="38"/>
        <v>6.8959220051012737E-2</v>
      </c>
      <c r="AC158" s="3">
        <f t="shared" si="39"/>
        <v>1.1630834888010242E-4</v>
      </c>
      <c r="AD158" s="3" t="str">
        <f t="shared" si="40"/>
        <v>7.84144835680325E-08+0.000116269075510402i</v>
      </c>
      <c r="AE158" s="3">
        <f t="shared" si="41"/>
        <v>7.8414483568032505E-8</v>
      </c>
      <c r="AF158" s="3">
        <f t="shared" si="42"/>
        <v>1.16269075510402E-4</v>
      </c>
      <c r="AM158" s="3" t="str">
        <f t="shared" si="43"/>
        <v>-8.02053302419291E-06+0.0000160410660483858i</v>
      </c>
      <c r="AN158" s="3" t="str">
        <f t="shared" si="44"/>
        <v>0.137918440102025+0.0690755283998928i</v>
      </c>
      <c r="AO158" s="3" t="str">
        <f t="shared" si="45"/>
        <v>7.84144835680325E-08+0.000116269075510402i</v>
      </c>
      <c r="AP158" s="3">
        <f t="shared" si="46"/>
        <v>7.8414483568032505E-8</v>
      </c>
      <c r="AQ158" s="3">
        <f t="shared" si="47"/>
        <v>1.16269075510402E-4</v>
      </c>
      <c r="AR158" s="3">
        <f t="shared" si="53"/>
        <v>-2.039995229603762</v>
      </c>
      <c r="AS158" s="3" t="e">
        <f t="shared" si="54"/>
        <v>#REF!</v>
      </c>
      <c r="AT158" s="3" t="e">
        <f t="shared" si="48"/>
        <v>#REF!</v>
      </c>
      <c r="AU158" s="3" t="e">
        <f t="shared" si="49"/>
        <v>#REF!</v>
      </c>
      <c r="AV158" s="3" t="e">
        <f t="shared" si="50"/>
        <v>#REF!</v>
      </c>
      <c r="AW158" s="3">
        <v>308</v>
      </c>
      <c r="AX158" s="3" t="e">
        <f>IF(AND(#REF!="N",OR(AW158=$AX$1,AW158=$AX$2,AW158=$AX$3,AW158=$AX$4,AW158=$AY$1,AW158=$AY$2,AW158=$AY$3,AW158=$AY$4)),0,1)</f>
        <v>#REF!</v>
      </c>
    </row>
    <row r="159" spans="2:50" x14ac:dyDescent="0.2">
      <c r="B159" s="4">
        <v>310</v>
      </c>
      <c r="C159" s="208">
        <v>4.4194173824159217E-8</v>
      </c>
      <c r="D159" s="208">
        <v>4.4194173824159217E-8</v>
      </c>
      <c r="E159" s="208">
        <v>4.4194173824159217E-8</v>
      </c>
      <c r="F159" s="209" t="s">
        <v>714</v>
      </c>
      <c r="G159" s="208">
        <v>4.3351926070471654E-16</v>
      </c>
      <c r="H159" s="210">
        <v>5.9256320973084946E-15</v>
      </c>
      <c r="I159" s="208">
        <v>2.6187841492646877E-24</v>
      </c>
      <c r="J159" s="208">
        <v>2.6187841492646877E-24</v>
      </c>
      <c r="K159" s="208">
        <v>2.6187841492646877E-24</v>
      </c>
      <c r="L159" s="208">
        <v>0</v>
      </c>
      <c r="M159" s="208">
        <v>0</v>
      </c>
      <c r="N159" s="208">
        <v>0</v>
      </c>
      <c r="O159" s="3">
        <v>360</v>
      </c>
      <c r="P159" s="3">
        <v>360</v>
      </c>
      <c r="Q159" s="3">
        <v>360</v>
      </c>
      <c r="S159" s="4">
        <v>0</v>
      </c>
      <c r="T159" s="4">
        <v>77.5</v>
      </c>
      <c r="U159" s="210"/>
      <c r="V159" s="210">
        <v>5.9256320973084954E-15</v>
      </c>
      <c r="W159" s="3">
        <v>0</v>
      </c>
      <c r="X159" s="3">
        <v>0</v>
      </c>
      <c r="Y159" s="3">
        <f t="shared" si="51"/>
        <v>1</v>
      </c>
      <c r="Z159" s="3">
        <f t="shared" si="52"/>
        <v>1</v>
      </c>
      <c r="AA159" s="3" t="str">
        <f t="shared" si="37"/>
        <v/>
      </c>
      <c r="AB159" s="3" t="str">
        <f t="shared" si="38"/>
        <v/>
      </c>
      <c r="AC159" s="3" t="str">
        <f t="shared" si="39"/>
        <v/>
      </c>
      <c r="AD159" s="3" t="str">
        <f t="shared" si="40"/>
        <v>0</v>
      </c>
      <c r="AE159" s="3">
        <f t="shared" si="41"/>
        <v>0</v>
      </c>
      <c r="AF159" s="3">
        <f t="shared" si="42"/>
        <v>0</v>
      </c>
      <c r="AM159" s="3" t="str">
        <f t="shared" si="43"/>
        <v/>
      </c>
      <c r="AN159" s="3" t="str">
        <f t="shared" si="44"/>
        <v/>
      </c>
      <c r="AO159" s="3" t="str">
        <f t="shared" si="45"/>
        <v/>
      </c>
      <c r="AP159" s="3">
        <f t="shared" si="46"/>
        <v>0</v>
      </c>
      <c r="AQ159" s="3">
        <f t="shared" si="47"/>
        <v>0</v>
      </c>
      <c r="AR159" s="3">
        <f t="shared" si="53"/>
        <v>0</v>
      </c>
      <c r="AS159" s="3" t="e">
        <f t="shared" si="54"/>
        <v>#REF!</v>
      </c>
      <c r="AT159" s="3" t="str">
        <f t="shared" si="48"/>
        <v/>
      </c>
      <c r="AU159" s="3">
        <f t="shared" si="49"/>
        <v>0</v>
      </c>
      <c r="AV159" s="3">
        <f t="shared" si="50"/>
        <v>0</v>
      </c>
      <c r="AW159" s="3">
        <v>310</v>
      </c>
      <c r="AX159" s="3" t="e">
        <f>IF(AND(#REF!="N",OR(AW159=$AX$1,AW159=$AX$2,AW159=$AX$3,AW159=$AX$4,AW159=$AY$1,AW159=$AY$2,AW159=$AY$3,AW159=$AY$4)),0,1)</f>
        <v>#REF!</v>
      </c>
    </row>
    <row r="160" spans="2:50" x14ac:dyDescent="0.2">
      <c r="B160" s="4">
        <v>312</v>
      </c>
      <c r="C160" s="208">
        <v>4.4194173824159217E-8</v>
      </c>
      <c r="D160" s="208">
        <v>4.4194173824159217E-8</v>
      </c>
      <c r="E160" s="208">
        <v>4.4194173824159217E-8</v>
      </c>
      <c r="F160" s="209" t="s">
        <v>714</v>
      </c>
      <c r="G160" s="208">
        <v>8.1532685675890812E-16</v>
      </c>
      <c r="H160" s="210">
        <v>1.1144434469542516E-14</v>
      </c>
      <c r="I160" s="208">
        <v>4.9251907411891362E-24</v>
      </c>
      <c r="J160" s="208">
        <v>4.9251907411891362E-24</v>
      </c>
      <c r="K160" s="208">
        <v>4.9251907411891362E-24</v>
      </c>
      <c r="L160" s="208">
        <v>0</v>
      </c>
      <c r="M160" s="208">
        <v>0</v>
      </c>
      <c r="N160" s="208">
        <v>0</v>
      </c>
      <c r="O160" s="3">
        <v>360</v>
      </c>
      <c r="P160" s="3">
        <v>360</v>
      </c>
      <c r="Q160" s="3">
        <v>360</v>
      </c>
      <c r="S160" s="4">
        <v>0</v>
      </c>
      <c r="T160" s="4">
        <v>78</v>
      </c>
      <c r="U160" s="210"/>
      <c r="V160" s="210">
        <v>1.1144434469542516E-14</v>
      </c>
      <c r="W160" s="3">
        <v>0</v>
      </c>
      <c r="X160" s="3">
        <v>0</v>
      </c>
      <c r="Y160" s="3">
        <f t="shared" si="51"/>
        <v>1</v>
      </c>
      <c r="Z160" s="3">
        <f t="shared" si="52"/>
        <v>1</v>
      </c>
      <c r="AA160" s="3" t="str">
        <f t="shared" si="37"/>
        <v/>
      </c>
      <c r="AB160" s="3" t="str">
        <f t="shared" si="38"/>
        <v/>
      </c>
      <c r="AC160" s="3" t="str">
        <f t="shared" si="39"/>
        <v/>
      </c>
      <c r="AD160" s="3" t="str">
        <f t="shared" si="40"/>
        <v>0</v>
      </c>
      <c r="AE160" s="3">
        <f t="shared" si="41"/>
        <v>0</v>
      </c>
      <c r="AF160" s="3">
        <f t="shared" si="42"/>
        <v>0</v>
      </c>
      <c r="AM160" s="3" t="str">
        <f t="shared" si="43"/>
        <v/>
      </c>
      <c r="AN160" s="3" t="str">
        <f t="shared" si="44"/>
        <v/>
      </c>
      <c r="AO160" s="3" t="str">
        <f t="shared" si="45"/>
        <v/>
      </c>
      <c r="AP160" s="3">
        <f t="shared" si="46"/>
        <v>0</v>
      </c>
      <c r="AQ160" s="3">
        <f t="shared" si="47"/>
        <v>0</v>
      </c>
      <c r="AR160" s="3">
        <f t="shared" si="53"/>
        <v>0</v>
      </c>
      <c r="AS160" s="3" t="e">
        <f t="shared" si="54"/>
        <v>#REF!</v>
      </c>
      <c r="AT160" s="3" t="str">
        <f t="shared" si="48"/>
        <v/>
      </c>
      <c r="AU160" s="3">
        <f t="shared" si="49"/>
        <v>0</v>
      </c>
      <c r="AV160" s="3">
        <f t="shared" si="50"/>
        <v>0</v>
      </c>
      <c r="AW160" s="3">
        <v>312</v>
      </c>
      <c r="AX160" s="3" t="e">
        <f>IF(AND(#REF!="N",OR(AW160=$AX$1,AW160=$AX$2,AW160=$AX$3,AW160=$AX$4,AW160=$AY$1,AW160=$AY$2,AW160=$AY$3,AW160=$AY$4)),0,1)</f>
        <v>#REF!</v>
      </c>
    </row>
    <row r="161" spans="2:50" x14ac:dyDescent="0.2">
      <c r="B161" s="4">
        <v>314</v>
      </c>
      <c r="C161" s="208">
        <v>4.4194173824159217E-8</v>
      </c>
      <c r="D161" s="208">
        <v>4.4194173824159217E-8</v>
      </c>
      <c r="E161" s="208">
        <v>4.4194173824159217E-8</v>
      </c>
      <c r="F161" s="209" t="s">
        <v>714</v>
      </c>
      <c r="G161" s="208">
        <v>3.1739208409761026E-16</v>
      </c>
      <c r="H161" s="210">
        <v>4.3383279393472507E-15</v>
      </c>
      <c r="I161" s="208">
        <v>1.9172881905771887E-24</v>
      </c>
      <c r="J161" s="208">
        <v>1.9172881905771887E-24</v>
      </c>
      <c r="K161" s="208">
        <v>1.9172881905771887E-24</v>
      </c>
      <c r="L161" s="208">
        <v>0</v>
      </c>
      <c r="M161" s="208">
        <v>0</v>
      </c>
      <c r="N161" s="208">
        <v>0</v>
      </c>
      <c r="O161" s="3">
        <v>360</v>
      </c>
      <c r="P161" s="3">
        <v>360</v>
      </c>
      <c r="Q161" s="3">
        <v>360</v>
      </c>
      <c r="S161" s="4">
        <v>0</v>
      </c>
      <c r="T161" s="4">
        <v>78.5</v>
      </c>
      <c r="U161" s="210"/>
      <c r="V161" s="210">
        <v>4.3383279393472507E-15</v>
      </c>
      <c r="W161" s="3">
        <v>0</v>
      </c>
      <c r="X161" s="3">
        <v>0</v>
      </c>
      <c r="Y161" s="3">
        <f t="shared" si="51"/>
        <v>1</v>
      </c>
      <c r="Z161" s="3">
        <f t="shared" si="52"/>
        <v>1</v>
      </c>
      <c r="AA161" s="3" t="str">
        <f t="shared" si="37"/>
        <v/>
      </c>
      <c r="AB161" s="3" t="str">
        <f t="shared" si="38"/>
        <v/>
      </c>
      <c r="AC161" s="3" t="str">
        <f t="shared" si="39"/>
        <v/>
      </c>
      <c r="AD161" s="3" t="str">
        <f t="shared" si="40"/>
        <v>0</v>
      </c>
      <c r="AE161" s="3">
        <f t="shared" si="41"/>
        <v>0</v>
      </c>
      <c r="AF161" s="3">
        <f t="shared" si="42"/>
        <v>0</v>
      </c>
      <c r="AM161" s="3" t="str">
        <f t="shared" si="43"/>
        <v/>
      </c>
      <c r="AN161" s="3" t="str">
        <f t="shared" si="44"/>
        <v/>
      </c>
      <c r="AO161" s="3" t="str">
        <f t="shared" si="45"/>
        <v/>
      </c>
      <c r="AP161" s="3">
        <f t="shared" si="46"/>
        <v>0</v>
      </c>
      <c r="AQ161" s="3">
        <f t="shared" si="47"/>
        <v>0</v>
      </c>
      <c r="AR161" s="3">
        <f t="shared" si="53"/>
        <v>0</v>
      </c>
      <c r="AS161" s="3" t="e">
        <f t="shared" si="54"/>
        <v>#REF!</v>
      </c>
      <c r="AT161" s="3" t="str">
        <f t="shared" si="48"/>
        <v/>
      </c>
      <c r="AU161" s="3">
        <f t="shared" si="49"/>
        <v>0</v>
      </c>
      <c r="AV161" s="3">
        <f t="shared" si="50"/>
        <v>0</v>
      </c>
      <c r="AW161" s="3">
        <v>314</v>
      </c>
      <c r="AX161" s="3" t="e">
        <f>IF(AND(#REF!="N",OR(AW161=$AX$1,AW161=$AX$2,AW161=$AX$3,AW161=$AX$4,AW161=$AY$1,AW161=$AY$2,AW161=$AY$3,AW161=$AY$4)),0,1)</f>
        <v>#REF!</v>
      </c>
    </row>
    <row r="162" spans="2:50" x14ac:dyDescent="0.2">
      <c r="B162" s="4">
        <v>316</v>
      </c>
      <c r="C162" s="208">
        <v>0.15755905175128135</v>
      </c>
      <c r="D162" s="208">
        <v>0.15755905175127788</v>
      </c>
      <c r="E162" s="208">
        <v>0.15755905175128182</v>
      </c>
      <c r="F162" s="209" t="s">
        <v>714</v>
      </c>
      <c r="G162" s="208">
        <v>1.5236234074990224E-2</v>
      </c>
      <c r="H162" s="210">
        <v>0.20825906911287831</v>
      </c>
      <c r="I162" s="208">
        <v>3.2813101448029674E-4</v>
      </c>
      <c r="J162" s="208">
        <v>3.2813101448028953E-4</v>
      </c>
      <c r="K162" s="208">
        <v>3.2813101448029772E-4</v>
      </c>
      <c r="L162" s="208">
        <v>5.6833958861899649E-4</v>
      </c>
      <c r="M162" s="208">
        <v>5.6833958861898359E-4</v>
      </c>
      <c r="N162" s="208">
        <v>5.6833958861898803E-4</v>
      </c>
      <c r="O162" s="3">
        <v>240</v>
      </c>
      <c r="P162" s="3">
        <v>240</v>
      </c>
      <c r="Q162" s="3">
        <v>240</v>
      </c>
      <c r="R162" s="4" t="s">
        <v>168</v>
      </c>
      <c r="S162" s="4" t="s">
        <v>168</v>
      </c>
      <c r="T162" s="4">
        <v>79</v>
      </c>
      <c r="U162" s="210"/>
      <c r="V162" s="210">
        <v>0.20825906911287831</v>
      </c>
      <c r="W162" s="3">
        <v>0</v>
      </c>
      <c r="X162" s="3">
        <v>0.20825906911287767</v>
      </c>
      <c r="Y162" s="3">
        <f t="shared" si="51"/>
        <v>1</v>
      </c>
      <c r="Z162" s="3">
        <f t="shared" si="52"/>
        <v>1</v>
      </c>
      <c r="AA162" s="3">
        <f t="shared" si="37"/>
        <v>8.120509578441254E-2</v>
      </c>
      <c r="AB162" s="3">
        <f t="shared" si="38"/>
        <v>4.060254789220627E-2</v>
      </c>
      <c r="AC162" s="3">
        <f t="shared" si="39"/>
        <v>6.5057759801644409E-5</v>
      </c>
      <c r="AD162" s="3" t="str">
        <f t="shared" si="40"/>
        <v>4.16702811319597E-08+0.0000650368912767801i</v>
      </c>
      <c r="AE162" s="3">
        <f t="shared" si="41"/>
        <v>4.1670281131959702E-8</v>
      </c>
      <c r="AF162" s="3">
        <f t="shared" si="42"/>
        <v>6.50368912767801E-5</v>
      </c>
      <c r="AM162" s="3" t="str">
        <f t="shared" si="43"/>
        <v>-2.64151080810592E-06+5.28302161621183E-06i</v>
      </c>
      <c r="AN162" s="3" t="str">
        <f t="shared" si="44"/>
        <v>0.0812050957844125+0.0406676056520079i</v>
      </c>
      <c r="AO162" s="3" t="str">
        <f t="shared" si="45"/>
        <v>4.16702811319597E-08+0.0000650368912767801i</v>
      </c>
      <c r="AP162" s="3">
        <f t="shared" si="46"/>
        <v>4.1670281131959702E-8</v>
      </c>
      <c r="AQ162" s="3">
        <f t="shared" si="47"/>
        <v>6.50368912767801E-5</v>
      </c>
      <c r="AR162" s="3">
        <f t="shared" si="53"/>
        <v>1.9883497807530337</v>
      </c>
      <c r="AS162" s="3" t="e">
        <f t="shared" si="54"/>
        <v>#REF!</v>
      </c>
      <c r="AT162" s="3" t="e">
        <f t="shared" si="48"/>
        <v>#REF!</v>
      </c>
      <c r="AU162" s="3" t="e">
        <f t="shared" si="49"/>
        <v>#REF!</v>
      </c>
      <c r="AV162" s="3" t="e">
        <f t="shared" si="50"/>
        <v>#REF!</v>
      </c>
      <c r="AW162" s="3">
        <v>316</v>
      </c>
      <c r="AX162" s="3" t="e">
        <f>IF(AND(#REF!="N",OR(AW162=$AX$1,AW162=$AX$2,AW162=$AX$3,AW162=$AX$4,AW162=$AY$1,AW162=$AY$2,AW162=$AY$3,AW162=$AY$4)),0,1)</f>
        <v>#REF!</v>
      </c>
    </row>
    <row r="163" spans="2:50" x14ac:dyDescent="0.2">
      <c r="B163" s="4">
        <v>318</v>
      </c>
      <c r="C163" s="208">
        <v>4.4194173824159217E-8</v>
      </c>
      <c r="D163" s="208">
        <v>4.4194173824159217E-8</v>
      </c>
      <c r="E163" s="208">
        <v>4.4194173824159217E-8</v>
      </c>
      <c r="F163" s="209" t="s">
        <v>714</v>
      </c>
      <c r="G163" s="208">
        <v>8.5985883722529087E-16</v>
      </c>
      <c r="H163" s="210">
        <v>1.1753127454438635E-14</v>
      </c>
      <c r="I163" s="208">
        <v>5.1941975769895902E-24</v>
      </c>
      <c r="J163" s="208">
        <v>5.1941975769895902E-24</v>
      </c>
      <c r="K163" s="208">
        <v>5.1941975769895902E-24</v>
      </c>
      <c r="L163" s="208">
        <v>0</v>
      </c>
      <c r="M163" s="208">
        <v>0</v>
      </c>
      <c r="N163" s="208">
        <v>0</v>
      </c>
      <c r="O163" s="3">
        <v>360</v>
      </c>
      <c r="P163" s="3">
        <v>360</v>
      </c>
      <c r="Q163" s="3">
        <v>360</v>
      </c>
      <c r="S163" s="4">
        <v>0</v>
      </c>
      <c r="T163" s="4">
        <v>79.5</v>
      </c>
      <c r="U163" s="210"/>
      <c r="V163" s="210">
        <v>1.1753127454438635E-14</v>
      </c>
      <c r="W163" s="3">
        <v>0</v>
      </c>
      <c r="X163" s="3">
        <v>0</v>
      </c>
      <c r="Y163" s="3">
        <f t="shared" si="51"/>
        <v>1</v>
      </c>
      <c r="Z163" s="3">
        <f t="shared" si="52"/>
        <v>1</v>
      </c>
      <c r="AA163" s="3" t="str">
        <f t="shared" si="37"/>
        <v/>
      </c>
      <c r="AB163" s="3" t="str">
        <f t="shared" si="38"/>
        <v/>
      </c>
      <c r="AC163" s="3" t="str">
        <f t="shared" si="39"/>
        <v/>
      </c>
      <c r="AD163" s="3" t="str">
        <f t="shared" si="40"/>
        <v>0</v>
      </c>
      <c r="AE163" s="3">
        <f t="shared" si="41"/>
        <v>0</v>
      </c>
      <c r="AF163" s="3">
        <f t="shared" si="42"/>
        <v>0</v>
      </c>
      <c r="AM163" s="3" t="str">
        <f t="shared" si="43"/>
        <v/>
      </c>
      <c r="AN163" s="3" t="str">
        <f t="shared" si="44"/>
        <v/>
      </c>
      <c r="AO163" s="3" t="str">
        <f t="shared" si="45"/>
        <v/>
      </c>
      <c r="AP163" s="3">
        <f t="shared" si="46"/>
        <v>0</v>
      </c>
      <c r="AQ163" s="3">
        <f t="shared" si="47"/>
        <v>0</v>
      </c>
      <c r="AR163" s="3">
        <f t="shared" si="53"/>
        <v>0</v>
      </c>
      <c r="AS163" s="3" t="e">
        <f t="shared" si="54"/>
        <v>#REF!</v>
      </c>
      <c r="AT163" s="3" t="str">
        <f t="shared" si="48"/>
        <v/>
      </c>
      <c r="AU163" s="3">
        <f t="shared" si="49"/>
        <v>0</v>
      </c>
      <c r="AV163" s="3">
        <f t="shared" si="50"/>
        <v>0</v>
      </c>
      <c r="AW163" s="3">
        <v>318</v>
      </c>
      <c r="AX163" s="3" t="e">
        <f>IF(AND(#REF!="N",OR(AW163=$AX$1,AW163=$AX$2,AW163=$AX$3,AW163=$AX$4,AW163=$AY$1,AW163=$AY$2,AW163=$AY$3,AW163=$AY$4)),0,1)</f>
        <v>#REF!</v>
      </c>
    </row>
    <row r="164" spans="2:50" x14ac:dyDescent="0.2">
      <c r="B164" s="4">
        <v>320</v>
      </c>
      <c r="C164" s="208">
        <v>4.4194173824159217E-8</v>
      </c>
      <c r="D164" s="208">
        <v>4.4194173824159217E-8</v>
      </c>
      <c r="E164" s="208">
        <v>4.4194173824159217E-8</v>
      </c>
      <c r="F164" s="209" t="s">
        <v>714</v>
      </c>
      <c r="G164" s="208">
        <v>3.0205354446699612E-16</v>
      </c>
      <c r="H164" s="210">
        <v>4.1286704892647414E-15</v>
      </c>
      <c r="I164" s="208">
        <v>1.8246318126524245E-24</v>
      </c>
      <c r="J164" s="208">
        <v>1.8246318126524245E-24</v>
      </c>
      <c r="K164" s="208">
        <v>1.8246318126524245E-24</v>
      </c>
      <c r="L164" s="208">
        <v>0</v>
      </c>
      <c r="M164" s="208">
        <v>0</v>
      </c>
      <c r="N164" s="208">
        <v>0</v>
      </c>
      <c r="O164" s="3">
        <v>360</v>
      </c>
      <c r="P164" s="3">
        <v>360</v>
      </c>
      <c r="Q164" s="3">
        <v>360</v>
      </c>
      <c r="S164" s="4">
        <v>0</v>
      </c>
      <c r="T164" s="4">
        <v>80</v>
      </c>
      <c r="U164" s="210"/>
      <c r="V164" s="210">
        <v>4.1286704892647414E-15</v>
      </c>
      <c r="W164" s="3">
        <v>0</v>
      </c>
      <c r="X164" s="3">
        <v>0</v>
      </c>
      <c r="Y164" s="3">
        <f t="shared" si="51"/>
        <v>1</v>
      </c>
      <c r="Z164" s="3">
        <f t="shared" si="52"/>
        <v>1</v>
      </c>
      <c r="AA164" s="3" t="str">
        <f t="shared" si="37"/>
        <v/>
      </c>
      <c r="AB164" s="3" t="str">
        <f t="shared" si="38"/>
        <v/>
      </c>
      <c r="AC164" s="3" t="str">
        <f t="shared" si="39"/>
        <v/>
      </c>
      <c r="AD164" s="3" t="str">
        <f t="shared" si="40"/>
        <v>0</v>
      </c>
      <c r="AE164" s="3">
        <f t="shared" si="41"/>
        <v>0</v>
      </c>
      <c r="AF164" s="3">
        <f t="shared" si="42"/>
        <v>0</v>
      </c>
      <c r="AM164" s="3" t="str">
        <f t="shared" si="43"/>
        <v/>
      </c>
      <c r="AN164" s="3" t="str">
        <f t="shared" si="44"/>
        <v/>
      </c>
      <c r="AO164" s="3" t="str">
        <f t="shared" si="45"/>
        <v/>
      </c>
      <c r="AP164" s="3">
        <f t="shared" si="46"/>
        <v>0</v>
      </c>
      <c r="AQ164" s="3">
        <f t="shared" si="47"/>
        <v>0</v>
      </c>
      <c r="AR164" s="3">
        <f t="shared" si="53"/>
        <v>0</v>
      </c>
      <c r="AS164" s="3" t="e">
        <f t="shared" si="54"/>
        <v>#REF!</v>
      </c>
      <c r="AT164" s="3" t="str">
        <f t="shared" si="48"/>
        <v/>
      </c>
      <c r="AU164" s="3">
        <f t="shared" si="49"/>
        <v>0</v>
      </c>
      <c r="AV164" s="3">
        <f t="shared" si="50"/>
        <v>0</v>
      </c>
      <c r="AW164" s="3">
        <v>320</v>
      </c>
      <c r="AX164" s="3" t="e">
        <f>IF(AND(#REF!="N",OR(AW164=$AX$1,AW164=$AX$2,AW164=$AX$3,AW164=$AX$4,AW164=$AY$1,AW164=$AY$2,AW164=$AY$3,AW164=$AY$4)),0,1)</f>
        <v>#REF!</v>
      </c>
    </row>
    <row r="165" spans="2:50" x14ac:dyDescent="0.2">
      <c r="B165" s="4">
        <v>322</v>
      </c>
      <c r="C165" s="208">
        <v>4.4194173824159217E-8</v>
      </c>
      <c r="D165" s="208">
        <v>4.4194173824159217E-8</v>
      </c>
      <c r="E165" s="208">
        <v>4.4194173824159217E-8</v>
      </c>
      <c r="F165" s="209" t="s">
        <v>714</v>
      </c>
      <c r="G165" s="208">
        <v>1.8558278554431754E-16</v>
      </c>
      <c r="H165" s="210">
        <v>2.5366700177096945E-15</v>
      </c>
      <c r="I165" s="208">
        <v>1.1210603569719528E-24</v>
      </c>
      <c r="J165" s="208">
        <v>1.1210603569719528E-24</v>
      </c>
      <c r="K165" s="208">
        <v>1.1210603569719528E-24</v>
      </c>
      <c r="L165" s="208">
        <v>0</v>
      </c>
      <c r="M165" s="208">
        <v>0</v>
      </c>
      <c r="N165" s="208">
        <v>0</v>
      </c>
      <c r="O165" s="3">
        <v>360</v>
      </c>
      <c r="P165" s="3">
        <v>360</v>
      </c>
      <c r="Q165" s="3">
        <v>360</v>
      </c>
      <c r="S165" s="4">
        <v>0</v>
      </c>
      <c r="T165" s="4">
        <v>80.5</v>
      </c>
      <c r="U165" s="210"/>
      <c r="V165" s="210">
        <v>2.5366700177096945E-15</v>
      </c>
      <c r="W165" s="3">
        <v>0</v>
      </c>
      <c r="X165" s="3">
        <v>0</v>
      </c>
      <c r="Y165" s="3">
        <f t="shared" si="51"/>
        <v>1</v>
      </c>
      <c r="Z165" s="3">
        <f t="shared" si="52"/>
        <v>1</v>
      </c>
      <c r="AA165" s="3" t="str">
        <f t="shared" si="37"/>
        <v/>
      </c>
      <c r="AB165" s="3" t="str">
        <f t="shared" si="38"/>
        <v/>
      </c>
      <c r="AC165" s="3" t="str">
        <f t="shared" si="39"/>
        <v/>
      </c>
      <c r="AD165" s="3" t="str">
        <f t="shared" si="40"/>
        <v>0</v>
      </c>
      <c r="AE165" s="3">
        <f t="shared" si="41"/>
        <v>0</v>
      </c>
      <c r="AF165" s="3">
        <f t="shared" si="42"/>
        <v>0</v>
      </c>
      <c r="AM165" s="3" t="str">
        <f t="shared" si="43"/>
        <v/>
      </c>
      <c r="AN165" s="3" t="str">
        <f t="shared" si="44"/>
        <v/>
      </c>
      <c r="AO165" s="3" t="str">
        <f t="shared" si="45"/>
        <v/>
      </c>
      <c r="AP165" s="3">
        <f t="shared" si="46"/>
        <v>0</v>
      </c>
      <c r="AQ165" s="3">
        <f t="shared" si="47"/>
        <v>0</v>
      </c>
      <c r="AR165" s="3">
        <f t="shared" si="53"/>
        <v>0</v>
      </c>
      <c r="AS165" s="3" t="e">
        <f t="shared" si="54"/>
        <v>#REF!</v>
      </c>
      <c r="AT165" s="3" t="str">
        <f t="shared" si="48"/>
        <v/>
      </c>
      <c r="AU165" s="3">
        <f t="shared" si="49"/>
        <v>0</v>
      </c>
      <c r="AV165" s="3">
        <f t="shared" si="50"/>
        <v>0</v>
      </c>
      <c r="AW165" s="3">
        <v>322</v>
      </c>
      <c r="AX165" s="3" t="e">
        <f>IF(AND(#REF!="N",OR(AW165=$AX$1,AW165=$AX$2,AW165=$AX$3,AW165=$AX$4,AW165=$AY$1,AW165=$AY$2,AW165=$AY$3,AW165=$AY$4)),0,1)</f>
        <v>#REF!</v>
      </c>
    </row>
    <row r="166" spans="2:50" x14ac:dyDescent="0.2">
      <c r="B166" s="4">
        <v>324</v>
      </c>
      <c r="C166" s="208">
        <v>0.27059805007309862</v>
      </c>
      <c r="D166" s="208">
        <v>0.27059805007310611</v>
      </c>
      <c r="E166" s="208">
        <v>0.27059805007309362</v>
      </c>
      <c r="F166" s="209" t="s">
        <v>714</v>
      </c>
      <c r="G166" s="208">
        <v>4.7851714383747635E-16</v>
      </c>
      <c r="H166" s="210">
        <v>6.5406933524162245E-15</v>
      </c>
      <c r="I166" s="208">
        <v>1.7698988672899089E-17</v>
      </c>
      <c r="J166" s="208">
        <v>1.7698988672899579E-17</v>
      </c>
      <c r="K166" s="208">
        <v>1.7698988672898763E-17</v>
      </c>
      <c r="L166" s="208">
        <v>8.7579876444263114E-31</v>
      </c>
      <c r="M166" s="208">
        <v>5.1935871156454983E-31</v>
      </c>
      <c r="N166" s="208">
        <v>1.036568059590583E-30</v>
      </c>
      <c r="O166" s="3">
        <v>360</v>
      </c>
      <c r="P166" s="3">
        <v>0</v>
      </c>
      <c r="Q166" s="3">
        <v>0</v>
      </c>
      <c r="S166" s="4">
        <v>0</v>
      </c>
      <c r="T166" s="4">
        <v>81</v>
      </c>
      <c r="U166" s="210"/>
      <c r="V166" s="210">
        <v>6.5406933524162245E-15</v>
      </c>
      <c r="W166" s="3">
        <v>0</v>
      </c>
      <c r="X166" s="3">
        <v>0</v>
      </c>
      <c r="Y166" s="3">
        <f t="shared" si="51"/>
        <v>1</v>
      </c>
      <c r="Z166" s="3">
        <f t="shared" si="52"/>
        <v>1</v>
      </c>
      <c r="AA166" s="3" t="str">
        <f t="shared" si="37"/>
        <v/>
      </c>
      <c r="AB166" s="3" t="str">
        <f t="shared" si="38"/>
        <v/>
      </c>
      <c r="AC166" s="3" t="str">
        <f t="shared" si="39"/>
        <v/>
      </c>
      <c r="AD166" s="3" t="str">
        <f t="shared" si="40"/>
        <v>0</v>
      </c>
      <c r="AE166" s="3">
        <f t="shared" si="41"/>
        <v>0</v>
      </c>
      <c r="AF166" s="3">
        <f t="shared" si="42"/>
        <v>0</v>
      </c>
      <c r="AM166" s="3" t="str">
        <f t="shared" si="43"/>
        <v/>
      </c>
      <c r="AN166" s="3" t="str">
        <f t="shared" si="44"/>
        <v/>
      </c>
      <c r="AO166" s="3" t="str">
        <f t="shared" si="45"/>
        <v/>
      </c>
      <c r="AP166" s="3">
        <f t="shared" si="46"/>
        <v>0</v>
      </c>
      <c r="AQ166" s="3">
        <f t="shared" si="47"/>
        <v>0</v>
      </c>
      <c r="AR166" s="3">
        <f t="shared" si="53"/>
        <v>0</v>
      </c>
      <c r="AS166" s="3" t="e">
        <f t="shared" si="54"/>
        <v>#REF!</v>
      </c>
      <c r="AT166" s="3" t="str">
        <f t="shared" si="48"/>
        <v/>
      </c>
      <c r="AU166" s="3">
        <f t="shared" si="49"/>
        <v>0</v>
      </c>
      <c r="AV166" s="3">
        <f t="shared" si="50"/>
        <v>0</v>
      </c>
      <c r="AW166" s="3">
        <v>324</v>
      </c>
      <c r="AX166" s="3" t="e">
        <f>IF(AND(#REF!="N",OR(AW166=$AX$1,AW166=$AX$2,AW166=$AX$3,AW166=$AX$4,AW166=$AY$1,AW166=$AY$2,AW166=$AY$3,AW166=$AY$4)),0,1)</f>
        <v>#REF!</v>
      </c>
    </row>
    <row r="167" spans="2:50" x14ac:dyDescent="0.2">
      <c r="B167" s="4">
        <v>326</v>
      </c>
      <c r="C167" s="208">
        <v>4.4194173824159217E-8</v>
      </c>
      <c r="D167" s="208">
        <v>4.4194173824159217E-8</v>
      </c>
      <c r="E167" s="208">
        <v>4.4194173824159217E-8</v>
      </c>
      <c r="F167" s="209" t="s">
        <v>714</v>
      </c>
      <c r="G167" s="208">
        <v>1.8480888221861291E-16</v>
      </c>
      <c r="H167" s="210">
        <v>2.5260917878530686E-15</v>
      </c>
      <c r="I167" s="208">
        <v>1.1163853956815964E-24</v>
      </c>
      <c r="J167" s="208">
        <v>1.1163853956815964E-24</v>
      </c>
      <c r="K167" s="208">
        <v>1.1163853956815964E-24</v>
      </c>
      <c r="L167" s="208">
        <v>0</v>
      </c>
      <c r="M167" s="208">
        <v>0</v>
      </c>
      <c r="N167" s="208">
        <v>0</v>
      </c>
      <c r="O167" s="3">
        <v>360</v>
      </c>
      <c r="P167" s="3">
        <v>360</v>
      </c>
      <c r="Q167" s="3">
        <v>360</v>
      </c>
      <c r="S167" s="4">
        <v>0</v>
      </c>
      <c r="T167" s="4">
        <v>81.5</v>
      </c>
      <c r="U167" s="210"/>
      <c r="V167" s="210">
        <v>2.5260917878530686E-15</v>
      </c>
      <c r="W167" s="3">
        <v>0</v>
      </c>
      <c r="X167" s="3">
        <v>0</v>
      </c>
      <c r="Y167" s="3">
        <f t="shared" si="51"/>
        <v>1</v>
      </c>
      <c r="Z167" s="3">
        <f t="shared" si="52"/>
        <v>1</v>
      </c>
      <c r="AA167" s="3" t="str">
        <f t="shared" si="37"/>
        <v/>
      </c>
      <c r="AB167" s="3" t="str">
        <f t="shared" si="38"/>
        <v/>
      </c>
      <c r="AC167" s="3" t="str">
        <f t="shared" si="39"/>
        <v/>
      </c>
      <c r="AD167" s="3" t="str">
        <f t="shared" si="40"/>
        <v>0</v>
      </c>
      <c r="AE167" s="3">
        <f t="shared" si="41"/>
        <v>0</v>
      </c>
      <c r="AF167" s="3">
        <f t="shared" si="42"/>
        <v>0</v>
      </c>
      <c r="AM167" s="3" t="str">
        <f t="shared" si="43"/>
        <v/>
      </c>
      <c r="AN167" s="3" t="str">
        <f t="shared" si="44"/>
        <v/>
      </c>
      <c r="AO167" s="3" t="str">
        <f t="shared" si="45"/>
        <v/>
      </c>
      <c r="AP167" s="3">
        <f t="shared" si="46"/>
        <v>0</v>
      </c>
      <c r="AQ167" s="3">
        <f t="shared" si="47"/>
        <v>0</v>
      </c>
      <c r="AR167" s="3">
        <f t="shared" si="53"/>
        <v>0</v>
      </c>
      <c r="AS167" s="3" t="e">
        <f t="shared" si="54"/>
        <v>#REF!</v>
      </c>
      <c r="AT167" s="3" t="str">
        <f t="shared" si="48"/>
        <v/>
      </c>
      <c r="AU167" s="3">
        <f t="shared" si="49"/>
        <v>0</v>
      </c>
      <c r="AV167" s="3">
        <f t="shared" si="50"/>
        <v>0</v>
      </c>
      <c r="AW167" s="3">
        <v>326</v>
      </c>
      <c r="AX167" s="3" t="e">
        <f>IF(AND(#REF!="N",OR(AW167=$AX$1,AW167=$AX$2,AW167=$AX$3,AW167=$AX$4,AW167=$AY$1,AW167=$AY$2,AW167=$AY$3,AW167=$AY$4)),0,1)</f>
        <v>#REF!</v>
      </c>
    </row>
    <row r="168" spans="2:50" x14ac:dyDescent="0.2">
      <c r="B168" s="4">
        <v>328</v>
      </c>
      <c r="C168" s="208">
        <v>4.4194173824159217E-8</v>
      </c>
      <c r="D168" s="208">
        <v>4.4194173824159217E-8</v>
      </c>
      <c r="E168" s="208">
        <v>4.4194173824159217E-8</v>
      </c>
      <c r="F168" s="209" t="s">
        <v>714</v>
      </c>
      <c r="G168" s="208">
        <v>1.8169979606698512E-16</v>
      </c>
      <c r="H168" s="210">
        <v>2.4835947124902932E-15</v>
      </c>
      <c r="I168" s="208">
        <v>1.0976041643255876E-24</v>
      </c>
      <c r="J168" s="208">
        <v>1.0976041643255876E-24</v>
      </c>
      <c r="K168" s="208">
        <v>1.0976041643255876E-24</v>
      </c>
      <c r="L168" s="208">
        <v>0</v>
      </c>
      <c r="M168" s="208">
        <v>0</v>
      </c>
      <c r="N168" s="208">
        <v>0</v>
      </c>
      <c r="O168" s="3">
        <v>360</v>
      </c>
      <c r="P168" s="3">
        <v>360</v>
      </c>
      <c r="Q168" s="3">
        <v>360</v>
      </c>
      <c r="S168" s="4">
        <v>0</v>
      </c>
      <c r="T168" s="4">
        <v>82</v>
      </c>
      <c r="U168" s="210"/>
      <c r="V168" s="210">
        <v>2.4835947124902932E-15</v>
      </c>
      <c r="W168" s="3">
        <v>0</v>
      </c>
      <c r="X168" s="3">
        <v>0</v>
      </c>
      <c r="Y168" s="3">
        <f t="shared" si="51"/>
        <v>1</v>
      </c>
      <c r="Z168" s="3">
        <f t="shared" si="52"/>
        <v>1</v>
      </c>
      <c r="AA168" s="3" t="str">
        <f t="shared" si="37"/>
        <v/>
      </c>
      <c r="AB168" s="3" t="str">
        <f t="shared" si="38"/>
        <v/>
      </c>
      <c r="AC168" s="3" t="str">
        <f t="shared" si="39"/>
        <v/>
      </c>
      <c r="AD168" s="3" t="str">
        <f t="shared" si="40"/>
        <v>0</v>
      </c>
      <c r="AE168" s="3">
        <f t="shared" si="41"/>
        <v>0</v>
      </c>
      <c r="AF168" s="3">
        <f t="shared" si="42"/>
        <v>0</v>
      </c>
      <c r="AM168" s="3" t="str">
        <f t="shared" si="43"/>
        <v/>
      </c>
      <c r="AN168" s="3" t="str">
        <f t="shared" si="44"/>
        <v/>
      </c>
      <c r="AO168" s="3" t="str">
        <f t="shared" si="45"/>
        <v/>
      </c>
      <c r="AP168" s="3">
        <f t="shared" si="46"/>
        <v>0</v>
      </c>
      <c r="AQ168" s="3">
        <f t="shared" si="47"/>
        <v>0</v>
      </c>
      <c r="AR168" s="3">
        <f t="shared" si="53"/>
        <v>0</v>
      </c>
      <c r="AS168" s="3" t="e">
        <f t="shared" si="54"/>
        <v>#REF!</v>
      </c>
      <c r="AT168" s="3" t="str">
        <f t="shared" si="48"/>
        <v/>
      </c>
      <c r="AU168" s="3">
        <f t="shared" si="49"/>
        <v>0</v>
      </c>
      <c r="AV168" s="3">
        <f t="shared" si="50"/>
        <v>0</v>
      </c>
      <c r="AW168" s="3">
        <v>328</v>
      </c>
      <c r="AX168" s="3" t="e">
        <f>IF(AND(#REF!="N",OR(AW168=$AX$1,AW168=$AX$2,AW168=$AX$3,AW168=$AX$4,AW168=$AY$1,AW168=$AY$2,AW168=$AY$3,AW168=$AY$4)),0,1)</f>
        <v>#REF!</v>
      </c>
    </row>
    <row r="169" spans="2:50" x14ac:dyDescent="0.2">
      <c r="B169" s="4">
        <v>330</v>
      </c>
      <c r="C169" s="208">
        <v>4.4194173824159217E-8</v>
      </c>
      <c r="D169" s="208">
        <v>4.4194173824159217E-8</v>
      </c>
      <c r="E169" s="208">
        <v>4.4194173824159217E-8</v>
      </c>
      <c r="F169" s="209" t="s">
        <v>714</v>
      </c>
      <c r="G169" s="208">
        <v>1.3341343039867724E-16</v>
      </c>
      <c r="H169" s="210">
        <v>1.823584271889846E-15</v>
      </c>
      <c r="I169" s="208">
        <v>8.0591800294902675E-25</v>
      </c>
      <c r="J169" s="208">
        <v>8.0591800294902675E-25</v>
      </c>
      <c r="K169" s="208">
        <v>8.0591800294902675E-25</v>
      </c>
      <c r="L169" s="208">
        <v>0</v>
      </c>
      <c r="M169" s="208">
        <v>0</v>
      </c>
      <c r="N169" s="208">
        <v>0</v>
      </c>
      <c r="O169" s="3">
        <v>360</v>
      </c>
      <c r="P169" s="3">
        <v>360</v>
      </c>
      <c r="Q169" s="3">
        <v>360</v>
      </c>
      <c r="S169" s="4">
        <v>0</v>
      </c>
      <c r="T169" s="4">
        <v>82.5</v>
      </c>
      <c r="U169" s="210"/>
      <c r="V169" s="210">
        <v>1.8235842718898456E-15</v>
      </c>
      <c r="W169" s="3">
        <v>0</v>
      </c>
      <c r="X169" s="3">
        <v>0</v>
      </c>
      <c r="Y169" s="3">
        <f t="shared" si="51"/>
        <v>1</v>
      </c>
      <c r="Z169" s="3">
        <f t="shared" si="52"/>
        <v>1</v>
      </c>
      <c r="AA169" s="3" t="str">
        <f t="shared" si="37"/>
        <v/>
      </c>
      <c r="AB169" s="3" t="str">
        <f t="shared" si="38"/>
        <v/>
      </c>
      <c r="AC169" s="3" t="str">
        <f t="shared" si="39"/>
        <v/>
      </c>
      <c r="AD169" s="3" t="str">
        <f t="shared" si="40"/>
        <v>0</v>
      </c>
      <c r="AE169" s="3">
        <f t="shared" si="41"/>
        <v>0</v>
      </c>
      <c r="AF169" s="3">
        <f t="shared" si="42"/>
        <v>0</v>
      </c>
      <c r="AM169" s="3" t="str">
        <f t="shared" si="43"/>
        <v/>
      </c>
      <c r="AN169" s="3" t="str">
        <f t="shared" si="44"/>
        <v/>
      </c>
      <c r="AO169" s="3" t="str">
        <f t="shared" si="45"/>
        <v/>
      </c>
      <c r="AP169" s="3">
        <f t="shared" si="46"/>
        <v>0</v>
      </c>
      <c r="AQ169" s="3">
        <f t="shared" si="47"/>
        <v>0</v>
      </c>
      <c r="AR169" s="3">
        <f t="shared" si="53"/>
        <v>0</v>
      </c>
      <c r="AS169" s="3" t="e">
        <f t="shared" si="54"/>
        <v>#REF!</v>
      </c>
      <c r="AT169" s="3" t="str">
        <f t="shared" si="48"/>
        <v/>
      </c>
      <c r="AU169" s="3">
        <f t="shared" si="49"/>
        <v>0</v>
      </c>
      <c r="AV169" s="3">
        <f t="shared" si="50"/>
        <v>0</v>
      </c>
      <c r="AW169" s="3">
        <v>330</v>
      </c>
      <c r="AX169" s="3" t="e">
        <f>IF(AND(#REF!="N",OR(AW169=$AX$1,AW169=$AX$2,AW169=$AX$3,AW169=$AX$4,AW169=$AY$1,AW169=$AY$2,AW169=$AY$3,AW169=$AY$4)),0,1)</f>
        <v>#REF!</v>
      </c>
    </row>
    <row r="170" spans="2:50" x14ac:dyDescent="0.2">
      <c r="B170" s="4">
        <v>332</v>
      </c>
      <c r="C170" s="208">
        <v>0.12607862007251888</v>
      </c>
      <c r="D170" s="208">
        <v>0.12607862007251891</v>
      </c>
      <c r="E170" s="208">
        <v>0.12607862007251891</v>
      </c>
      <c r="F170" s="209" t="s">
        <v>714</v>
      </c>
      <c r="G170" s="208">
        <v>1.1604454324479851E-2</v>
      </c>
      <c r="H170" s="210">
        <v>0.15861746697276569</v>
      </c>
      <c r="I170" s="208">
        <v>1.9998271355324638E-4</v>
      </c>
      <c r="J170" s="208">
        <v>1.9998271355324641E-4</v>
      </c>
      <c r="K170" s="208">
        <v>1.9998271355324641E-4</v>
      </c>
      <c r="L170" s="208">
        <v>3.4638022050971636E-4</v>
      </c>
      <c r="M170" s="208">
        <v>3.4638022050971495E-4</v>
      </c>
      <c r="N170" s="208">
        <v>3.4638022050971647E-4</v>
      </c>
      <c r="O170" s="3">
        <v>120</v>
      </c>
      <c r="P170" s="3">
        <v>120</v>
      </c>
      <c r="Q170" s="3">
        <v>120</v>
      </c>
      <c r="R170" s="4" t="s">
        <v>172</v>
      </c>
      <c r="S170" s="4" t="s">
        <v>172</v>
      </c>
      <c r="T170" s="4">
        <v>83</v>
      </c>
      <c r="U170" s="210"/>
      <c r="V170" s="210">
        <v>0.15861746697276569</v>
      </c>
      <c r="W170" s="3">
        <v>0.1586174669727663</v>
      </c>
      <c r="X170" s="3">
        <v>0</v>
      </c>
      <c r="Y170" s="3">
        <f t="shared" si="51"/>
        <v>1</v>
      </c>
      <c r="Z170" s="3">
        <f t="shared" si="52"/>
        <v>1</v>
      </c>
      <c r="AA170" s="3">
        <f t="shared" si="37"/>
        <v>5.1997140362997643E-2</v>
      </c>
      <c r="AB170" s="3">
        <f t="shared" si="38"/>
        <v>2.5998570181498822E-2</v>
      </c>
      <c r="AC170" s="3">
        <f t="shared" si="39"/>
        <v>3.7739251243284694E-5</v>
      </c>
      <c r="AD170" s="3" t="str">
        <f t="shared" si="40"/>
        <v>2.19000350201197E-08+0.0000377282853308444i</v>
      </c>
      <c r="AE170" s="3">
        <f t="shared" si="41"/>
        <v>2.1900035020119701E-8</v>
      </c>
      <c r="AF170" s="3">
        <f t="shared" si="42"/>
        <v>3.7728285330844403E-5</v>
      </c>
      <c r="AM170" s="3" t="str">
        <f t="shared" si="43"/>
        <v>-9.81166572045753E-07+1.96233314409151E-06i</v>
      </c>
      <c r="AN170" s="3" t="str">
        <f t="shared" si="44"/>
        <v>0.0519971403629976+0.0260363094327421i</v>
      </c>
      <c r="AO170" s="3" t="str">
        <f t="shared" si="45"/>
        <v>2.19000350201197E-08+0.0000377282853308444i</v>
      </c>
      <c r="AP170" s="3">
        <f t="shared" si="46"/>
        <v>2.1900035020119701E-8</v>
      </c>
      <c r="AQ170" s="3">
        <f t="shared" si="47"/>
        <v>3.7728285330844403E-5</v>
      </c>
      <c r="AR170" s="3">
        <f t="shared" si="53"/>
        <v>-1.8925256949336104</v>
      </c>
      <c r="AS170" s="3" t="e">
        <f t="shared" si="54"/>
        <v>#REF!</v>
      </c>
      <c r="AT170" s="3" t="e">
        <f t="shared" si="48"/>
        <v>#REF!</v>
      </c>
      <c r="AU170" s="3" t="e">
        <f t="shared" si="49"/>
        <v>#REF!</v>
      </c>
      <c r="AV170" s="3" t="e">
        <f t="shared" si="50"/>
        <v>#REF!</v>
      </c>
      <c r="AW170" s="3">
        <v>332</v>
      </c>
      <c r="AX170" s="3" t="e">
        <f>IF(AND(#REF!="N",OR(AW170=$AX$1,AW170=$AX$2,AW170=$AX$3,AW170=$AX$4,AW170=$AY$1,AW170=$AY$2,AW170=$AY$3,AW170=$AY$4)),0,1)</f>
        <v>#REF!</v>
      </c>
    </row>
    <row r="171" spans="2:50" x14ac:dyDescent="0.2">
      <c r="B171" s="4">
        <v>334</v>
      </c>
      <c r="C171" s="208">
        <v>4.4194173824159217E-8</v>
      </c>
      <c r="D171" s="208">
        <v>4.4194173824159217E-8</v>
      </c>
      <c r="E171" s="208">
        <v>4.4194173824159217E-8</v>
      </c>
      <c r="F171" s="209" t="s">
        <v>714</v>
      </c>
      <c r="G171" s="208">
        <v>1.0209328087224543E-15</v>
      </c>
      <c r="H171" s="210">
        <v>1.3954794559131962E-14</v>
      </c>
      <c r="I171" s="208">
        <v>6.1672061642670925E-24</v>
      </c>
      <c r="J171" s="208">
        <v>6.1672061642670925E-24</v>
      </c>
      <c r="K171" s="208">
        <v>6.1672061642670925E-24</v>
      </c>
      <c r="L171" s="208">
        <v>0</v>
      </c>
      <c r="M171" s="208">
        <v>0</v>
      </c>
      <c r="N171" s="208">
        <v>0</v>
      </c>
      <c r="O171" s="3">
        <v>360</v>
      </c>
      <c r="P171" s="3">
        <v>360</v>
      </c>
      <c r="Q171" s="3">
        <v>360</v>
      </c>
      <c r="S171" s="4">
        <v>0</v>
      </c>
      <c r="T171" s="4">
        <v>83.5</v>
      </c>
      <c r="U171" s="210"/>
      <c r="V171" s="210">
        <v>1.3954794559131962E-14</v>
      </c>
      <c r="W171" s="3">
        <v>0</v>
      </c>
      <c r="X171" s="3">
        <v>0</v>
      </c>
      <c r="Y171" s="3">
        <f t="shared" si="51"/>
        <v>1</v>
      </c>
      <c r="Z171" s="3">
        <f t="shared" si="52"/>
        <v>1</v>
      </c>
      <c r="AA171" s="3" t="str">
        <f t="shared" si="37"/>
        <v/>
      </c>
      <c r="AB171" s="3" t="str">
        <f t="shared" si="38"/>
        <v/>
      </c>
      <c r="AC171" s="3" t="str">
        <f t="shared" si="39"/>
        <v/>
      </c>
      <c r="AD171" s="3" t="str">
        <f t="shared" si="40"/>
        <v>0</v>
      </c>
      <c r="AE171" s="3">
        <f t="shared" si="41"/>
        <v>0</v>
      </c>
      <c r="AF171" s="3">
        <f t="shared" si="42"/>
        <v>0</v>
      </c>
      <c r="AM171" s="3" t="str">
        <f t="shared" si="43"/>
        <v/>
      </c>
      <c r="AN171" s="3" t="str">
        <f t="shared" si="44"/>
        <v/>
      </c>
      <c r="AO171" s="3" t="str">
        <f t="shared" si="45"/>
        <v/>
      </c>
      <c r="AP171" s="3">
        <f t="shared" si="46"/>
        <v>0</v>
      </c>
      <c r="AQ171" s="3">
        <f t="shared" si="47"/>
        <v>0</v>
      </c>
      <c r="AR171" s="3">
        <f t="shared" si="53"/>
        <v>0</v>
      </c>
      <c r="AS171" s="3" t="e">
        <f t="shared" si="54"/>
        <v>#REF!</v>
      </c>
      <c r="AT171" s="3" t="str">
        <f t="shared" si="48"/>
        <v/>
      </c>
      <c r="AU171" s="3">
        <f t="shared" si="49"/>
        <v>0</v>
      </c>
      <c r="AV171" s="3">
        <f t="shared" si="50"/>
        <v>0</v>
      </c>
      <c r="AW171" s="3">
        <v>334</v>
      </c>
      <c r="AX171" s="3" t="e">
        <f>IF(AND(#REF!="N",OR(AW171=$AX$1,AW171=$AX$2,AW171=$AX$3,AW171=$AX$4,AW171=$AY$1,AW171=$AY$2,AW171=$AY$3,AW171=$AY$4)),0,1)</f>
        <v>#REF!</v>
      </c>
    </row>
    <row r="172" spans="2:50" x14ac:dyDescent="0.2">
      <c r="B172" s="4">
        <v>336</v>
      </c>
      <c r="C172" s="208">
        <v>4.4194173824159217E-8</v>
      </c>
      <c r="D172" s="208">
        <v>4.4194173824159217E-8</v>
      </c>
      <c r="E172" s="208">
        <v>4.4194173824159217E-8</v>
      </c>
      <c r="F172" s="209" t="s">
        <v>714</v>
      </c>
      <c r="G172" s="208">
        <v>4.0387995955092269E-17</v>
      </c>
      <c r="H172" s="210">
        <v>5.5205022445466778E-16</v>
      </c>
      <c r="I172" s="208">
        <v>2.4397403579215699E-25</v>
      </c>
      <c r="J172" s="208">
        <v>2.4397403579215699E-25</v>
      </c>
      <c r="K172" s="208">
        <v>2.4397403579215699E-25</v>
      </c>
      <c r="L172" s="208">
        <v>0</v>
      </c>
      <c r="M172" s="208">
        <v>0</v>
      </c>
      <c r="N172" s="208">
        <v>0</v>
      </c>
      <c r="O172" s="3">
        <v>360</v>
      </c>
      <c r="P172" s="3">
        <v>360</v>
      </c>
      <c r="Q172" s="3">
        <v>360</v>
      </c>
      <c r="S172" s="4">
        <v>0</v>
      </c>
      <c r="T172" s="4">
        <v>84</v>
      </c>
      <c r="U172" s="210"/>
      <c r="V172" s="210">
        <v>5.5205022445466778E-16</v>
      </c>
      <c r="W172" s="3">
        <v>0</v>
      </c>
      <c r="X172" s="3">
        <v>0</v>
      </c>
      <c r="Y172" s="3">
        <f t="shared" si="51"/>
        <v>1</v>
      </c>
      <c r="Z172" s="3">
        <f t="shared" si="52"/>
        <v>1</v>
      </c>
      <c r="AA172" s="3" t="str">
        <f t="shared" si="37"/>
        <v/>
      </c>
      <c r="AB172" s="3" t="str">
        <f t="shared" si="38"/>
        <v/>
      </c>
      <c r="AC172" s="3" t="str">
        <f t="shared" si="39"/>
        <v/>
      </c>
      <c r="AD172" s="3" t="str">
        <f t="shared" si="40"/>
        <v>0</v>
      </c>
      <c r="AE172" s="3">
        <f t="shared" si="41"/>
        <v>0</v>
      </c>
      <c r="AF172" s="3">
        <f t="shared" si="42"/>
        <v>0</v>
      </c>
      <c r="AM172" s="3" t="str">
        <f t="shared" si="43"/>
        <v/>
      </c>
      <c r="AN172" s="3" t="str">
        <f t="shared" si="44"/>
        <v/>
      </c>
      <c r="AO172" s="3" t="str">
        <f t="shared" si="45"/>
        <v/>
      </c>
      <c r="AP172" s="3">
        <f t="shared" si="46"/>
        <v>0</v>
      </c>
      <c r="AQ172" s="3">
        <f t="shared" si="47"/>
        <v>0</v>
      </c>
      <c r="AR172" s="3">
        <f t="shared" si="53"/>
        <v>0</v>
      </c>
      <c r="AS172" s="3" t="e">
        <f t="shared" si="54"/>
        <v>#REF!</v>
      </c>
      <c r="AT172" s="3" t="str">
        <f t="shared" si="48"/>
        <v/>
      </c>
      <c r="AU172" s="3">
        <f t="shared" si="49"/>
        <v>0</v>
      </c>
      <c r="AV172" s="3">
        <f t="shared" si="50"/>
        <v>0</v>
      </c>
      <c r="AW172" s="3">
        <v>336</v>
      </c>
      <c r="AX172" s="3" t="e">
        <f>IF(AND(#REF!="N",OR(AW172=$AX$1,AW172=$AX$2,AW172=$AX$3,AW172=$AX$4,AW172=$AY$1,AW172=$AY$2,AW172=$AY$3,AW172=$AY$4)),0,1)</f>
        <v>#REF!</v>
      </c>
    </row>
    <row r="173" spans="2:50" x14ac:dyDescent="0.2">
      <c r="B173" s="4">
        <v>338</v>
      </c>
      <c r="C173" s="208">
        <v>4.4194173824159217E-8</v>
      </c>
      <c r="D173" s="208">
        <v>4.4194173824159217E-8</v>
      </c>
      <c r="E173" s="208">
        <v>4.4194173824159217E-8</v>
      </c>
      <c r="F173" s="209" t="s">
        <v>714</v>
      </c>
      <c r="G173" s="208">
        <v>4.2716346575704402E-16</v>
      </c>
      <c r="H173" s="210">
        <v>5.8387568279499501E-15</v>
      </c>
      <c r="I173" s="208">
        <v>2.5803903417141657E-24</v>
      </c>
      <c r="J173" s="208">
        <v>2.5803903417141657E-24</v>
      </c>
      <c r="K173" s="208">
        <v>2.5803903417141657E-24</v>
      </c>
      <c r="L173" s="208">
        <v>0</v>
      </c>
      <c r="M173" s="208">
        <v>0</v>
      </c>
      <c r="N173" s="208">
        <v>0</v>
      </c>
      <c r="O173" s="3">
        <v>360</v>
      </c>
      <c r="P173" s="3">
        <v>360</v>
      </c>
      <c r="Q173" s="3">
        <v>360</v>
      </c>
      <c r="S173" s="4">
        <v>0</v>
      </c>
      <c r="T173" s="4">
        <v>84.5</v>
      </c>
      <c r="U173" s="210"/>
      <c r="V173" s="210">
        <v>5.8387568279499501E-15</v>
      </c>
      <c r="W173" s="3">
        <v>0</v>
      </c>
      <c r="X173" s="3">
        <v>0</v>
      </c>
      <c r="Y173" s="3">
        <f t="shared" si="51"/>
        <v>1</v>
      </c>
      <c r="Z173" s="3">
        <f t="shared" si="52"/>
        <v>1</v>
      </c>
      <c r="AA173" s="3" t="str">
        <f t="shared" si="37"/>
        <v/>
      </c>
      <c r="AB173" s="3" t="str">
        <f t="shared" si="38"/>
        <v/>
      </c>
      <c r="AC173" s="3" t="str">
        <f t="shared" si="39"/>
        <v/>
      </c>
      <c r="AD173" s="3" t="str">
        <f t="shared" si="40"/>
        <v>0</v>
      </c>
      <c r="AE173" s="3">
        <f t="shared" si="41"/>
        <v>0</v>
      </c>
      <c r="AF173" s="3">
        <f t="shared" si="42"/>
        <v>0</v>
      </c>
      <c r="AM173" s="3" t="str">
        <f t="shared" si="43"/>
        <v/>
      </c>
      <c r="AN173" s="3" t="str">
        <f t="shared" si="44"/>
        <v/>
      </c>
      <c r="AO173" s="3" t="str">
        <f t="shared" si="45"/>
        <v/>
      </c>
      <c r="AP173" s="3">
        <f t="shared" si="46"/>
        <v>0</v>
      </c>
      <c r="AQ173" s="3">
        <f t="shared" si="47"/>
        <v>0</v>
      </c>
      <c r="AR173" s="3">
        <f t="shared" si="53"/>
        <v>0</v>
      </c>
      <c r="AS173" s="3" t="e">
        <f t="shared" si="54"/>
        <v>#REF!</v>
      </c>
      <c r="AT173" s="3" t="str">
        <f t="shared" si="48"/>
        <v/>
      </c>
      <c r="AU173" s="3">
        <f t="shared" si="49"/>
        <v>0</v>
      </c>
      <c r="AV173" s="3">
        <f t="shared" si="50"/>
        <v>0</v>
      </c>
      <c r="AW173" s="3">
        <v>338</v>
      </c>
      <c r="AX173" s="3" t="e">
        <f>IF(AND(#REF!="N",OR(AW173=$AX$1,AW173=$AX$2,AW173=$AX$3,AW173=$AX$4,AW173=$AY$1,AW173=$AY$2,AW173=$AY$3,AW173=$AY$4)),0,1)</f>
        <v>#REF!</v>
      </c>
    </row>
    <row r="174" spans="2:50" x14ac:dyDescent="0.2">
      <c r="B174" s="4">
        <v>340</v>
      </c>
      <c r="C174" s="208">
        <v>0.12607862007252146</v>
      </c>
      <c r="D174" s="208">
        <v>0.1260786200725145</v>
      </c>
      <c r="E174" s="208">
        <v>0.12607862007252035</v>
      </c>
      <c r="F174" s="209" t="s">
        <v>714</v>
      </c>
      <c r="G174" s="208">
        <v>1.1331408340374471E-2</v>
      </c>
      <c r="H174" s="210">
        <v>0.15488529127928924</v>
      </c>
      <c r="I174" s="208">
        <v>1.9527723794023329E-4</v>
      </c>
      <c r="J174" s="208">
        <v>1.952772379402225E-4</v>
      </c>
      <c r="K174" s="208">
        <v>1.9527723794023159E-4</v>
      </c>
      <c r="L174" s="208">
        <v>3.3823009767419818E-4</v>
      </c>
      <c r="M174" s="208">
        <v>3.3823009767418994E-4</v>
      </c>
      <c r="N174" s="208">
        <v>3.3823009767419292E-4</v>
      </c>
      <c r="O174" s="3">
        <v>240</v>
      </c>
      <c r="P174" s="3">
        <v>240</v>
      </c>
      <c r="Q174" s="3">
        <v>240</v>
      </c>
      <c r="R174" s="4" t="s">
        <v>168</v>
      </c>
      <c r="S174" s="4" t="s">
        <v>168</v>
      </c>
      <c r="T174" s="4">
        <v>85</v>
      </c>
      <c r="U174" s="210"/>
      <c r="V174" s="210">
        <v>0.15488529127928924</v>
      </c>
      <c r="W174" s="3">
        <v>0</v>
      </c>
      <c r="X174" s="3">
        <v>0.15488529127928932</v>
      </c>
      <c r="Y174" s="3">
        <f t="shared" si="51"/>
        <v>1</v>
      </c>
      <c r="Z174" s="3">
        <f t="shared" si="52"/>
        <v>1</v>
      </c>
      <c r="AA174" s="3">
        <f t="shared" si="37"/>
        <v>5.1997140362999766E-2</v>
      </c>
      <c r="AB174" s="3">
        <f t="shared" si="38"/>
        <v>2.5998570181499883E-2</v>
      </c>
      <c r="AC174" s="3">
        <f t="shared" si="39"/>
        <v>3.5984180182006766E-5</v>
      </c>
      <c r="AD174" s="3" t="str">
        <f t="shared" si="40"/>
        <v>1.99110064477534E-08+0.0000359742108995396i</v>
      </c>
      <c r="AE174" s="3">
        <f t="shared" si="41"/>
        <v>1.9911006447753399E-8</v>
      </c>
      <c r="AF174" s="3">
        <f t="shared" si="42"/>
        <v>3.5974210899539597E-5</v>
      </c>
      <c r="AM174" s="3" t="str">
        <f t="shared" si="43"/>
        <v>-9.35537233885642E-07+1.87107446777128E-06i</v>
      </c>
      <c r="AN174" s="3" t="str">
        <f t="shared" si="44"/>
        <v>0.0519971403629998+0.0260345543616819i</v>
      </c>
      <c r="AO174" s="3" t="str">
        <f t="shared" si="45"/>
        <v>1.99110064477534E-08+0.0000359742108995396i</v>
      </c>
      <c r="AP174" s="3">
        <f t="shared" si="46"/>
        <v>1.9911006447753399E-8</v>
      </c>
      <c r="AQ174" s="3">
        <f t="shared" si="47"/>
        <v>3.5974210899539597E-5</v>
      </c>
      <c r="AR174" s="3">
        <f t="shared" si="53"/>
        <v>1.8479956785822313</v>
      </c>
      <c r="AS174" s="3" t="e">
        <f t="shared" si="54"/>
        <v>#REF!</v>
      </c>
      <c r="AT174" s="3" t="e">
        <f t="shared" si="48"/>
        <v>#REF!</v>
      </c>
      <c r="AU174" s="3" t="e">
        <f t="shared" si="49"/>
        <v>#REF!</v>
      </c>
      <c r="AV174" s="3" t="e">
        <f t="shared" si="50"/>
        <v>#REF!</v>
      </c>
      <c r="AW174" s="3">
        <v>340</v>
      </c>
      <c r="AX174" s="3" t="e">
        <f>IF(AND(#REF!="N",OR(AW174=$AX$1,AW174=$AX$2,AW174=$AX$3,AW174=$AX$4,AW174=$AY$1,AW174=$AY$2,AW174=$AY$3,AW174=$AY$4)),0,1)</f>
        <v>#REF!</v>
      </c>
    </row>
    <row r="175" spans="2:50" x14ac:dyDescent="0.2">
      <c r="B175" s="4">
        <v>342</v>
      </c>
      <c r="C175" s="208">
        <v>4.4194173824159217E-8</v>
      </c>
      <c r="D175" s="208">
        <v>4.4194173824159217E-8</v>
      </c>
      <c r="E175" s="208">
        <v>4.4194173824159217E-8</v>
      </c>
      <c r="F175" s="209" t="s">
        <v>714</v>
      </c>
      <c r="G175" s="208">
        <v>9.9023202206719595E-16</v>
      </c>
      <c r="H175" s="210">
        <v>1.3535155610400383E-14</v>
      </c>
      <c r="I175" s="208">
        <v>5.9817501978307838E-24</v>
      </c>
      <c r="J175" s="208">
        <v>5.9817501978307838E-24</v>
      </c>
      <c r="K175" s="208">
        <v>5.9817501978307838E-24</v>
      </c>
      <c r="L175" s="208">
        <v>0</v>
      </c>
      <c r="M175" s="208">
        <v>0</v>
      </c>
      <c r="N175" s="208">
        <v>0</v>
      </c>
      <c r="O175" s="3">
        <v>360</v>
      </c>
      <c r="P175" s="3">
        <v>360</v>
      </c>
      <c r="Q175" s="3">
        <v>360</v>
      </c>
      <c r="S175" s="4">
        <v>0</v>
      </c>
      <c r="T175" s="4">
        <v>85.5</v>
      </c>
      <c r="U175" s="210"/>
      <c r="V175" s="210">
        <v>1.3535155610400383E-14</v>
      </c>
      <c r="W175" s="3">
        <v>0</v>
      </c>
      <c r="X175" s="3">
        <v>0</v>
      </c>
      <c r="Y175" s="3">
        <f t="shared" si="51"/>
        <v>1</v>
      </c>
      <c r="Z175" s="3">
        <f t="shared" si="52"/>
        <v>1</v>
      </c>
      <c r="AA175" s="3" t="str">
        <f t="shared" si="37"/>
        <v/>
      </c>
      <c r="AB175" s="3" t="str">
        <f t="shared" si="38"/>
        <v/>
      </c>
      <c r="AC175" s="3" t="str">
        <f t="shared" si="39"/>
        <v/>
      </c>
      <c r="AD175" s="3" t="str">
        <f t="shared" si="40"/>
        <v>0</v>
      </c>
      <c r="AE175" s="3">
        <f t="shared" si="41"/>
        <v>0</v>
      </c>
      <c r="AF175" s="3">
        <f t="shared" si="42"/>
        <v>0</v>
      </c>
      <c r="AM175" s="3" t="str">
        <f t="shared" si="43"/>
        <v/>
      </c>
      <c r="AN175" s="3" t="str">
        <f t="shared" si="44"/>
        <v/>
      </c>
      <c r="AO175" s="3" t="str">
        <f t="shared" si="45"/>
        <v/>
      </c>
      <c r="AP175" s="3">
        <f t="shared" si="46"/>
        <v>0</v>
      </c>
      <c r="AQ175" s="3">
        <f t="shared" si="47"/>
        <v>0</v>
      </c>
      <c r="AR175" s="3">
        <f t="shared" si="53"/>
        <v>0</v>
      </c>
      <c r="AS175" s="3" t="e">
        <f t="shared" si="54"/>
        <v>#REF!</v>
      </c>
      <c r="AT175" s="3" t="str">
        <f t="shared" si="48"/>
        <v/>
      </c>
      <c r="AU175" s="3">
        <f t="shared" si="49"/>
        <v>0</v>
      </c>
      <c r="AV175" s="3">
        <f t="shared" si="50"/>
        <v>0</v>
      </c>
      <c r="AW175" s="3">
        <v>342</v>
      </c>
      <c r="AX175" s="3" t="e">
        <f>IF(AND(#REF!="N",OR(AW175=$AX$1,AW175=$AX$2,AW175=$AX$3,AW175=$AX$4,AW175=$AY$1,AW175=$AY$2,AW175=$AY$3,AW175=$AY$4)),0,1)</f>
        <v>#REF!</v>
      </c>
    </row>
    <row r="176" spans="2:50" x14ac:dyDescent="0.2">
      <c r="B176" s="4">
        <v>344</v>
      </c>
      <c r="C176" s="208">
        <v>4.4194173824159217E-8</v>
      </c>
      <c r="D176" s="208">
        <v>4.4194173824159217E-8</v>
      </c>
      <c r="E176" s="208">
        <v>4.4194173824159217E-8</v>
      </c>
      <c r="F176" s="209" t="s">
        <v>714</v>
      </c>
      <c r="G176" s="208">
        <v>2.2037244519900093E-16</v>
      </c>
      <c r="H176" s="210">
        <v>3.0121984257650079E-15</v>
      </c>
      <c r="I176" s="208">
        <v>1.3312162082111751E-24</v>
      </c>
      <c r="J176" s="208">
        <v>1.3312162082111751E-24</v>
      </c>
      <c r="K176" s="208">
        <v>1.3312162082111751E-24</v>
      </c>
      <c r="L176" s="208">
        <v>0</v>
      </c>
      <c r="M176" s="208">
        <v>0</v>
      </c>
      <c r="N176" s="208">
        <v>0</v>
      </c>
      <c r="O176" s="3">
        <v>360</v>
      </c>
      <c r="P176" s="3">
        <v>360</v>
      </c>
      <c r="Q176" s="3">
        <v>360</v>
      </c>
      <c r="S176" s="4">
        <v>0</v>
      </c>
      <c r="T176" s="4">
        <v>86</v>
      </c>
      <c r="U176" s="210"/>
      <c r="V176" s="210">
        <v>3.0121984257650079E-15</v>
      </c>
      <c r="W176" s="3">
        <v>0</v>
      </c>
      <c r="X176" s="3">
        <v>0</v>
      </c>
      <c r="Y176" s="3">
        <f t="shared" si="51"/>
        <v>1</v>
      </c>
      <c r="Z176" s="3">
        <f t="shared" si="52"/>
        <v>1</v>
      </c>
      <c r="AA176" s="3" t="str">
        <f t="shared" si="37"/>
        <v/>
      </c>
      <c r="AB176" s="3" t="str">
        <f t="shared" si="38"/>
        <v/>
      </c>
      <c r="AC176" s="3" t="str">
        <f t="shared" si="39"/>
        <v/>
      </c>
      <c r="AD176" s="3" t="str">
        <f t="shared" si="40"/>
        <v>0</v>
      </c>
      <c r="AE176" s="3">
        <f t="shared" si="41"/>
        <v>0</v>
      </c>
      <c r="AF176" s="3">
        <f t="shared" si="42"/>
        <v>0</v>
      </c>
      <c r="AM176" s="3" t="str">
        <f t="shared" si="43"/>
        <v/>
      </c>
      <c r="AN176" s="3" t="str">
        <f t="shared" si="44"/>
        <v/>
      </c>
      <c r="AO176" s="3" t="str">
        <f t="shared" si="45"/>
        <v/>
      </c>
      <c r="AP176" s="3">
        <f t="shared" si="46"/>
        <v>0</v>
      </c>
      <c r="AQ176" s="3">
        <f t="shared" si="47"/>
        <v>0</v>
      </c>
      <c r="AR176" s="3">
        <f t="shared" si="53"/>
        <v>0</v>
      </c>
      <c r="AS176" s="3" t="e">
        <f t="shared" si="54"/>
        <v>#REF!</v>
      </c>
      <c r="AT176" s="3" t="str">
        <f t="shared" si="48"/>
        <v/>
      </c>
      <c r="AU176" s="3">
        <f t="shared" si="49"/>
        <v>0</v>
      </c>
      <c r="AV176" s="3">
        <f t="shared" si="50"/>
        <v>0</v>
      </c>
      <c r="AW176" s="3">
        <v>344</v>
      </c>
      <c r="AX176" s="3" t="e">
        <f>IF(AND(#REF!="N",OR(AW176=$AX$1,AW176=$AX$2,AW176=$AX$3,AW176=$AX$4,AW176=$AY$1,AW176=$AY$2,AW176=$AY$3,AW176=$AY$4)),0,1)</f>
        <v>#REF!</v>
      </c>
    </row>
    <row r="177" spans="2:50" x14ac:dyDescent="0.2">
      <c r="B177" s="4">
        <v>346</v>
      </c>
      <c r="C177" s="208">
        <v>4.4194173824159217E-8</v>
      </c>
      <c r="D177" s="208">
        <v>4.4194173824159217E-8</v>
      </c>
      <c r="E177" s="208">
        <v>4.4194173824159217E-8</v>
      </c>
      <c r="F177" s="209" t="s">
        <v>714</v>
      </c>
      <c r="G177" s="208">
        <v>1.4115060723556695E-16</v>
      </c>
      <c r="H177" s="210">
        <v>1.9293411956599611E-15</v>
      </c>
      <c r="I177" s="208">
        <v>8.5265640167107513E-25</v>
      </c>
      <c r="J177" s="208">
        <v>8.5265640167107513E-25</v>
      </c>
      <c r="K177" s="208">
        <v>8.5265640167107513E-25</v>
      </c>
      <c r="L177" s="208">
        <v>0</v>
      </c>
      <c r="M177" s="208">
        <v>0</v>
      </c>
      <c r="N177" s="208">
        <v>0</v>
      </c>
      <c r="O177" s="3">
        <v>360</v>
      </c>
      <c r="P177" s="3">
        <v>360</v>
      </c>
      <c r="Q177" s="3">
        <v>360</v>
      </c>
      <c r="S177" s="4">
        <v>0</v>
      </c>
      <c r="T177" s="4">
        <v>86.5</v>
      </c>
      <c r="U177" s="210"/>
      <c r="V177" s="210">
        <v>1.9293411956599611E-15</v>
      </c>
      <c r="W177" s="3">
        <v>0</v>
      </c>
      <c r="X177" s="3">
        <v>0</v>
      </c>
      <c r="Y177" s="3">
        <f t="shared" si="51"/>
        <v>1</v>
      </c>
      <c r="Z177" s="3">
        <f t="shared" si="52"/>
        <v>1</v>
      </c>
      <c r="AA177" s="3" t="str">
        <f t="shared" si="37"/>
        <v/>
      </c>
      <c r="AB177" s="3" t="str">
        <f t="shared" si="38"/>
        <v/>
      </c>
      <c r="AC177" s="3" t="str">
        <f t="shared" si="39"/>
        <v/>
      </c>
      <c r="AD177" s="3" t="str">
        <f t="shared" si="40"/>
        <v>0</v>
      </c>
      <c r="AE177" s="3">
        <f t="shared" si="41"/>
        <v>0</v>
      </c>
      <c r="AF177" s="3">
        <f t="shared" si="42"/>
        <v>0</v>
      </c>
      <c r="AM177" s="3" t="str">
        <f t="shared" si="43"/>
        <v/>
      </c>
      <c r="AN177" s="3" t="str">
        <f t="shared" si="44"/>
        <v/>
      </c>
      <c r="AO177" s="3" t="str">
        <f t="shared" si="45"/>
        <v/>
      </c>
      <c r="AP177" s="3">
        <f t="shared" si="46"/>
        <v>0</v>
      </c>
      <c r="AQ177" s="3">
        <f t="shared" si="47"/>
        <v>0</v>
      </c>
      <c r="AR177" s="3">
        <f t="shared" si="53"/>
        <v>0</v>
      </c>
      <c r="AS177" s="3" t="e">
        <f t="shared" si="54"/>
        <v>#REF!</v>
      </c>
      <c r="AT177" s="3" t="str">
        <f t="shared" si="48"/>
        <v/>
      </c>
      <c r="AU177" s="3">
        <f t="shared" si="49"/>
        <v>0</v>
      </c>
      <c r="AV177" s="3">
        <f t="shared" si="50"/>
        <v>0</v>
      </c>
      <c r="AW177" s="3">
        <v>346</v>
      </c>
      <c r="AX177" s="3" t="e">
        <f>IF(AND(#REF!="N",OR(AW177=$AX$1,AW177=$AX$2,AW177=$AX$3,AW177=$AX$4,AW177=$AY$1,AW177=$AY$2,AW177=$AY$3,AW177=$AY$4)),0,1)</f>
        <v>#REF!</v>
      </c>
    </row>
    <row r="178" spans="2:50" x14ac:dyDescent="0.2">
      <c r="B178" s="4">
        <v>348</v>
      </c>
      <c r="C178" s="208">
        <v>0.27059805007309867</v>
      </c>
      <c r="D178" s="208">
        <v>0.27059805007309162</v>
      </c>
      <c r="E178" s="208">
        <v>0.27059805007309712</v>
      </c>
      <c r="F178" s="209" t="s">
        <v>714</v>
      </c>
      <c r="G178" s="208">
        <v>3.5216166136644014E-16</v>
      </c>
      <c r="H178" s="210">
        <v>4.8135818478797273E-15</v>
      </c>
      <c r="I178" s="208">
        <v>1.3025458619035172E-17</v>
      </c>
      <c r="J178" s="208">
        <v>1.3025458619034833E-17</v>
      </c>
      <c r="K178" s="208">
        <v>1.3025458619035098E-17</v>
      </c>
      <c r="L178" s="208">
        <v>2.429983292679341E-31</v>
      </c>
      <c r="M178" s="208">
        <v>3.7612223497321991E-31</v>
      </c>
      <c r="N178" s="208">
        <v>2.7422753733994117E-31</v>
      </c>
      <c r="O178" s="3">
        <v>0</v>
      </c>
      <c r="P178" s="3">
        <v>360</v>
      </c>
      <c r="Q178" s="3">
        <v>360</v>
      </c>
      <c r="S178" s="4">
        <v>0</v>
      </c>
      <c r="T178" s="4">
        <v>87</v>
      </c>
      <c r="U178" s="210"/>
      <c r="V178" s="210">
        <v>4.8135818478797273E-15</v>
      </c>
      <c r="W178" s="3">
        <v>0</v>
      </c>
      <c r="X178" s="3">
        <v>0</v>
      </c>
      <c r="Y178" s="3">
        <f t="shared" si="51"/>
        <v>1</v>
      </c>
      <c r="Z178" s="3">
        <f t="shared" si="52"/>
        <v>1</v>
      </c>
      <c r="AA178" s="3" t="str">
        <f t="shared" si="37"/>
        <v/>
      </c>
      <c r="AB178" s="3" t="str">
        <f t="shared" si="38"/>
        <v/>
      </c>
      <c r="AC178" s="3" t="str">
        <f t="shared" si="39"/>
        <v/>
      </c>
      <c r="AD178" s="3" t="str">
        <f t="shared" si="40"/>
        <v>0</v>
      </c>
      <c r="AE178" s="3">
        <f t="shared" si="41"/>
        <v>0</v>
      </c>
      <c r="AF178" s="3">
        <f t="shared" si="42"/>
        <v>0</v>
      </c>
      <c r="AM178" s="3" t="str">
        <f t="shared" si="43"/>
        <v/>
      </c>
      <c r="AN178" s="3" t="str">
        <f t="shared" si="44"/>
        <v/>
      </c>
      <c r="AO178" s="3" t="str">
        <f t="shared" si="45"/>
        <v/>
      </c>
      <c r="AP178" s="3">
        <f t="shared" si="46"/>
        <v>0</v>
      </c>
      <c r="AQ178" s="3">
        <f t="shared" si="47"/>
        <v>0</v>
      </c>
      <c r="AR178" s="3">
        <f t="shared" si="53"/>
        <v>0</v>
      </c>
      <c r="AS178" s="3" t="e">
        <f t="shared" si="54"/>
        <v>#REF!</v>
      </c>
      <c r="AT178" s="3" t="str">
        <f t="shared" si="48"/>
        <v/>
      </c>
      <c r="AU178" s="3">
        <f t="shared" si="49"/>
        <v>0</v>
      </c>
      <c r="AV178" s="3">
        <f t="shared" si="50"/>
        <v>0</v>
      </c>
      <c r="AW178" s="3">
        <v>348</v>
      </c>
      <c r="AX178" s="3" t="e">
        <f>IF(AND(#REF!="N",OR(AW178=$AX$1,AW178=$AX$2,AW178=$AX$3,AW178=$AX$4,AW178=$AY$1,AW178=$AY$2,AW178=$AY$3,AW178=$AY$4)),0,1)</f>
        <v>#REF!</v>
      </c>
    </row>
    <row r="179" spans="2:50" x14ac:dyDescent="0.2">
      <c r="B179" s="4">
        <v>350</v>
      </c>
      <c r="C179" s="208">
        <v>4.4194173824159217E-8</v>
      </c>
      <c r="D179" s="208">
        <v>4.4194173824159217E-8</v>
      </c>
      <c r="E179" s="208">
        <v>4.4194173824159217E-8</v>
      </c>
      <c r="F179" s="209" t="s">
        <v>714</v>
      </c>
      <c r="G179" s="208">
        <v>2.2032688307971869E-16</v>
      </c>
      <c r="H179" s="210">
        <v>3.0115756521516713E-15</v>
      </c>
      <c r="I179" s="208">
        <v>1.3309409785579662E-24</v>
      </c>
      <c r="J179" s="208">
        <v>1.3309409785579662E-24</v>
      </c>
      <c r="K179" s="208">
        <v>1.3309409785579662E-24</v>
      </c>
      <c r="L179" s="208">
        <v>0</v>
      </c>
      <c r="M179" s="208">
        <v>0</v>
      </c>
      <c r="N179" s="208">
        <v>0</v>
      </c>
      <c r="O179" s="3">
        <v>360</v>
      </c>
      <c r="P179" s="3">
        <v>360</v>
      </c>
      <c r="Q179" s="3">
        <v>360</v>
      </c>
      <c r="S179" s="4">
        <v>0</v>
      </c>
      <c r="T179" s="4">
        <v>87.5</v>
      </c>
      <c r="U179" s="210"/>
      <c r="V179" s="210">
        <v>3.0115756521516709E-15</v>
      </c>
      <c r="W179" s="3">
        <v>0</v>
      </c>
      <c r="X179" s="3">
        <v>0</v>
      </c>
      <c r="Y179" s="3">
        <f t="shared" si="51"/>
        <v>1</v>
      </c>
      <c r="Z179" s="3">
        <f t="shared" si="52"/>
        <v>1</v>
      </c>
      <c r="AA179" s="3" t="str">
        <f t="shared" si="37"/>
        <v/>
      </c>
      <c r="AB179" s="3" t="str">
        <f t="shared" si="38"/>
        <v/>
      </c>
      <c r="AC179" s="3" t="str">
        <f t="shared" si="39"/>
        <v/>
      </c>
      <c r="AD179" s="3" t="str">
        <f t="shared" si="40"/>
        <v>0</v>
      </c>
      <c r="AE179" s="3">
        <f t="shared" si="41"/>
        <v>0</v>
      </c>
      <c r="AF179" s="3">
        <f t="shared" si="42"/>
        <v>0</v>
      </c>
      <c r="AM179" s="3" t="str">
        <f t="shared" si="43"/>
        <v/>
      </c>
      <c r="AN179" s="3" t="str">
        <f t="shared" si="44"/>
        <v/>
      </c>
      <c r="AO179" s="3" t="str">
        <f t="shared" si="45"/>
        <v/>
      </c>
      <c r="AP179" s="3">
        <f t="shared" si="46"/>
        <v>0</v>
      </c>
      <c r="AQ179" s="3">
        <f t="shared" si="47"/>
        <v>0</v>
      </c>
      <c r="AR179" s="3">
        <f t="shared" si="53"/>
        <v>0</v>
      </c>
      <c r="AS179" s="3" t="e">
        <f t="shared" si="54"/>
        <v>#REF!</v>
      </c>
      <c r="AT179" s="3" t="str">
        <f t="shared" si="48"/>
        <v/>
      </c>
      <c r="AU179" s="3">
        <f t="shared" si="49"/>
        <v>0</v>
      </c>
      <c r="AV179" s="3">
        <f t="shared" si="50"/>
        <v>0</v>
      </c>
      <c r="AW179" s="3">
        <v>350</v>
      </c>
      <c r="AX179" s="3" t="e">
        <f>IF(AND(#REF!="N",OR(AW179=$AX$1,AW179=$AX$2,AW179=$AX$3,AW179=$AX$4,AW179=$AY$1,AW179=$AY$2,AW179=$AY$3,AW179=$AY$4)),0,1)</f>
        <v>#REF!</v>
      </c>
    </row>
    <row r="180" spans="2:50" x14ac:dyDescent="0.2">
      <c r="B180" s="4">
        <v>352</v>
      </c>
      <c r="C180" s="208">
        <v>4.4194173824159217E-8</v>
      </c>
      <c r="D180" s="208">
        <v>4.4194173824159217E-8</v>
      </c>
      <c r="E180" s="208">
        <v>4.4194173824159217E-8</v>
      </c>
      <c r="F180" s="209" t="s">
        <v>714</v>
      </c>
      <c r="G180" s="208">
        <v>7.8625787821754124E-16</v>
      </c>
      <c r="H180" s="210">
        <v>1.07471001688688E-14</v>
      </c>
      <c r="I180" s="208">
        <v>4.7495921296863857E-24</v>
      </c>
      <c r="J180" s="208">
        <v>4.7495921296863857E-24</v>
      </c>
      <c r="K180" s="208">
        <v>4.7495921296863857E-24</v>
      </c>
      <c r="L180" s="208">
        <v>0</v>
      </c>
      <c r="M180" s="208">
        <v>0</v>
      </c>
      <c r="N180" s="208">
        <v>0</v>
      </c>
      <c r="O180" s="3">
        <v>360</v>
      </c>
      <c r="P180" s="3">
        <v>360</v>
      </c>
      <c r="Q180" s="3">
        <v>360</v>
      </c>
      <c r="S180" s="4">
        <v>0</v>
      </c>
      <c r="T180" s="4">
        <v>88</v>
      </c>
      <c r="U180" s="210"/>
      <c r="V180" s="210">
        <v>1.0747100168868799E-14</v>
      </c>
      <c r="W180" s="3">
        <v>0</v>
      </c>
      <c r="X180" s="3">
        <v>0</v>
      </c>
      <c r="Y180" s="3">
        <f t="shared" si="51"/>
        <v>1</v>
      </c>
      <c r="Z180" s="3">
        <f t="shared" si="52"/>
        <v>1</v>
      </c>
      <c r="AA180" s="3" t="str">
        <f t="shared" si="37"/>
        <v/>
      </c>
      <c r="AB180" s="3" t="str">
        <f t="shared" si="38"/>
        <v/>
      </c>
      <c r="AC180" s="3" t="str">
        <f t="shared" si="39"/>
        <v/>
      </c>
      <c r="AD180" s="3" t="str">
        <f t="shared" si="40"/>
        <v>0</v>
      </c>
      <c r="AE180" s="3">
        <f t="shared" si="41"/>
        <v>0</v>
      </c>
      <c r="AF180" s="3">
        <f t="shared" si="42"/>
        <v>0</v>
      </c>
      <c r="AM180" s="3" t="str">
        <f t="shared" si="43"/>
        <v/>
      </c>
      <c r="AN180" s="3" t="str">
        <f t="shared" si="44"/>
        <v/>
      </c>
      <c r="AO180" s="3" t="str">
        <f t="shared" si="45"/>
        <v/>
      </c>
      <c r="AP180" s="3">
        <f t="shared" si="46"/>
        <v>0</v>
      </c>
      <c r="AQ180" s="3">
        <f t="shared" si="47"/>
        <v>0</v>
      </c>
      <c r="AR180" s="3">
        <f t="shared" si="53"/>
        <v>0</v>
      </c>
      <c r="AS180" s="3" t="e">
        <f t="shared" si="54"/>
        <v>#REF!</v>
      </c>
      <c r="AT180" s="3" t="str">
        <f t="shared" si="48"/>
        <v/>
      </c>
      <c r="AU180" s="3">
        <f t="shared" si="49"/>
        <v>0</v>
      </c>
      <c r="AV180" s="3">
        <f t="shared" si="50"/>
        <v>0</v>
      </c>
      <c r="AW180" s="3">
        <v>352</v>
      </c>
      <c r="AX180" s="3" t="e">
        <f>IF(AND(#REF!="N",OR(AW180=$AX$1,AW180=$AX$2,AW180=$AX$3,AW180=$AX$4,AW180=$AY$1,AW180=$AY$2,AW180=$AY$3,AW180=$AY$4)),0,1)</f>
        <v>#REF!</v>
      </c>
    </row>
    <row r="181" spans="2:50" x14ac:dyDescent="0.2">
      <c r="B181" s="4">
        <v>354</v>
      </c>
      <c r="C181" s="208">
        <v>4.4194173824159217E-8</v>
      </c>
      <c r="D181" s="208">
        <v>4.4194173824159217E-8</v>
      </c>
      <c r="E181" s="208">
        <v>4.4194173824159217E-8</v>
      </c>
      <c r="F181" s="209" t="s">
        <v>714</v>
      </c>
      <c r="G181" s="208">
        <v>3.1656248651230918E-16</v>
      </c>
      <c r="H181" s="210">
        <v>4.3269884429859616E-15</v>
      </c>
      <c r="I181" s="208">
        <v>1.9122767938444965E-24</v>
      </c>
      <c r="J181" s="208">
        <v>1.9122767938444965E-24</v>
      </c>
      <c r="K181" s="208">
        <v>1.9122767938444965E-24</v>
      </c>
      <c r="L181" s="208">
        <v>0</v>
      </c>
      <c r="M181" s="208">
        <v>0</v>
      </c>
      <c r="N181" s="208">
        <v>0</v>
      </c>
      <c r="O181" s="3">
        <v>360</v>
      </c>
      <c r="P181" s="3">
        <v>360</v>
      </c>
      <c r="Q181" s="3">
        <v>360</v>
      </c>
      <c r="S181" s="4">
        <v>0</v>
      </c>
      <c r="T181" s="4">
        <v>88.5</v>
      </c>
      <c r="U181" s="210"/>
      <c r="V181" s="210">
        <v>4.3269884429859624E-15</v>
      </c>
      <c r="W181" s="3">
        <v>0</v>
      </c>
      <c r="X181" s="3">
        <v>0</v>
      </c>
      <c r="Y181" s="3">
        <f t="shared" si="51"/>
        <v>1</v>
      </c>
      <c r="Z181" s="3">
        <f t="shared" si="52"/>
        <v>1</v>
      </c>
      <c r="AA181" s="3" t="str">
        <f t="shared" si="37"/>
        <v/>
      </c>
      <c r="AB181" s="3" t="str">
        <f t="shared" si="38"/>
        <v/>
      </c>
      <c r="AC181" s="3" t="str">
        <f t="shared" si="39"/>
        <v/>
      </c>
      <c r="AD181" s="3" t="str">
        <f t="shared" si="40"/>
        <v>0</v>
      </c>
      <c r="AE181" s="3">
        <f t="shared" si="41"/>
        <v>0</v>
      </c>
      <c r="AF181" s="3">
        <f t="shared" si="42"/>
        <v>0</v>
      </c>
      <c r="AM181" s="3" t="str">
        <f t="shared" si="43"/>
        <v/>
      </c>
      <c r="AN181" s="3" t="str">
        <f t="shared" si="44"/>
        <v/>
      </c>
      <c r="AO181" s="3" t="str">
        <f t="shared" si="45"/>
        <v/>
      </c>
      <c r="AP181" s="3">
        <f t="shared" si="46"/>
        <v>0</v>
      </c>
      <c r="AQ181" s="3">
        <f t="shared" si="47"/>
        <v>0</v>
      </c>
      <c r="AR181" s="3">
        <f t="shared" si="53"/>
        <v>0</v>
      </c>
      <c r="AS181" s="3" t="e">
        <f t="shared" si="54"/>
        <v>#REF!</v>
      </c>
      <c r="AT181" s="3" t="str">
        <f t="shared" si="48"/>
        <v/>
      </c>
      <c r="AU181" s="3">
        <f t="shared" si="49"/>
        <v>0</v>
      </c>
      <c r="AV181" s="3">
        <f t="shared" si="50"/>
        <v>0</v>
      </c>
      <c r="AW181" s="3">
        <v>354</v>
      </c>
      <c r="AX181" s="3" t="e">
        <f>IF(AND(#REF!="N",OR(AW181=$AX$1,AW181=$AX$2,AW181=$AX$3,AW181=$AX$4,AW181=$AY$1,AW181=$AY$2,AW181=$AY$3,AW181=$AY$4)),0,1)</f>
        <v>#REF!</v>
      </c>
    </row>
    <row r="182" spans="2:50" x14ac:dyDescent="0.2">
      <c r="B182" s="4">
        <v>356</v>
      </c>
      <c r="C182" s="208">
        <v>0.15755905175128801</v>
      </c>
      <c r="D182" s="208">
        <v>0.1575590517512816</v>
      </c>
      <c r="E182" s="208">
        <v>0.15755905175128623</v>
      </c>
      <c r="F182" s="209" t="s">
        <v>714</v>
      </c>
      <c r="G182" s="208">
        <v>1.3524297662070644E-2</v>
      </c>
      <c r="H182" s="210">
        <v>0.1848591737069461</v>
      </c>
      <c r="I182" s="208">
        <v>2.9126236116793061E-4</v>
      </c>
      <c r="J182" s="208">
        <v>2.9126236116791874E-4</v>
      </c>
      <c r="K182" s="208">
        <v>2.912623611679273E-4</v>
      </c>
      <c r="L182" s="208">
        <v>5.0448120787533444E-4</v>
      </c>
      <c r="M182" s="208">
        <v>5.0448120787532306E-4</v>
      </c>
      <c r="N182" s="208">
        <v>5.0448120787531297E-4</v>
      </c>
      <c r="O182" s="3">
        <v>120</v>
      </c>
      <c r="P182" s="3">
        <v>120</v>
      </c>
      <c r="Q182" s="3">
        <v>120</v>
      </c>
      <c r="R182" s="4" t="s">
        <v>172</v>
      </c>
      <c r="S182" s="4" t="s">
        <v>172</v>
      </c>
      <c r="T182" s="4">
        <v>89</v>
      </c>
      <c r="U182" s="210"/>
      <c r="V182" s="210">
        <v>0.1848591737069461</v>
      </c>
      <c r="W182" s="3">
        <v>0.18485917370694285</v>
      </c>
      <c r="X182" s="3">
        <v>0</v>
      </c>
      <c r="Y182" s="3">
        <f t="shared" si="51"/>
        <v>1</v>
      </c>
      <c r="Z182" s="3">
        <f t="shared" si="52"/>
        <v>1</v>
      </c>
      <c r="AA182" s="3">
        <f t="shared" si="37"/>
        <v>8.1205095784419423E-2</v>
      </c>
      <c r="AB182" s="3">
        <f t="shared" si="38"/>
        <v>4.0602547892209712E-2</v>
      </c>
      <c r="AC182" s="3">
        <f t="shared" si="39"/>
        <v>5.125937115542192E-5</v>
      </c>
      <c r="AD182" s="3" t="str">
        <f t="shared" si="40"/>
        <v>2.58722295641578E-08+0.0000512464187092236i</v>
      </c>
      <c r="AE182" s="3">
        <f t="shared" si="41"/>
        <v>2.58722295641578E-8</v>
      </c>
      <c r="AF182" s="3">
        <f t="shared" si="42"/>
        <v>5.1246418709223601E-5</v>
      </c>
      <c r="AM182" s="3" t="str">
        <f t="shared" si="43"/>
        <v>-2.08126107226257E-06+4.16252214452514E-06i</v>
      </c>
      <c r="AN182" s="3" t="str">
        <f t="shared" si="44"/>
        <v>0.0812050957844194+0.0406538072633651i</v>
      </c>
      <c r="AO182" s="3" t="str">
        <f t="shared" si="45"/>
        <v>2.58722295641578E-08+0.0000512464187092236i</v>
      </c>
      <c r="AP182" s="3">
        <f t="shared" si="46"/>
        <v>2.58722295641578E-8</v>
      </c>
      <c r="AQ182" s="3">
        <f t="shared" si="47"/>
        <v>5.1246418709223601E-5</v>
      </c>
      <c r="AR182" s="3">
        <f t="shared" si="53"/>
        <v>-1.7649396930279737</v>
      </c>
      <c r="AS182" s="3" t="e">
        <f t="shared" si="54"/>
        <v>#REF!</v>
      </c>
      <c r="AT182" s="3" t="e">
        <f t="shared" si="48"/>
        <v>#REF!</v>
      </c>
      <c r="AU182" s="3" t="e">
        <f t="shared" si="49"/>
        <v>#REF!</v>
      </c>
      <c r="AV182" s="3" t="e">
        <f t="shared" si="50"/>
        <v>#REF!</v>
      </c>
      <c r="AW182" s="3">
        <v>356</v>
      </c>
      <c r="AX182" s="3" t="e">
        <f>IF(AND(#REF!="N",OR(AW182=$AX$1,AW182=$AX$2,AW182=$AX$3,AW182=$AX$4,AW182=$AY$1,AW182=$AY$2,AW182=$AY$3,AW182=$AY$4)),0,1)</f>
        <v>#REF!</v>
      </c>
    </row>
    <row r="183" spans="2:50" x14ac:dyDescent="0.2">
      <c r="B183" s="4">
        <v>358</v>
      </c>
      <c r="C183" s="208">
        <v>4.4194173824159217E-8</v>
      </c>
      <c r="D183" s="208">
        <v>4.4194173824159217E-8</v>
      </c>
      <c r="E183" s="208">
        <v>4.4194173824159217E-8</v>
      </c>
      <c r="F183" s="209" t="s">
        <v>714</v>
      </c>
      <c r="G183" s="208">
        <v>4.0544321326129288E-16</v>
      </c>
      <c r="H183" s="210">
        <v>5.5418698450250237E-15</v>
      </c>
      <c r="I183" s="208">
        <v>2.4491835924190221E-24</v>
      </c>
      <c r="J183" s="208">
        <v>2.4491835924190221E-24</v>
      </c>
      <c r="K183" s="208">
        <v>2.4491835924190221E-24</v>
      </c>
      <c r="L183" s="208">
        <v>0</v>
      </c>
      <c r="M183" s="208">
        <v>0</v>
      </c>
      <c r="N183" s="208">
        <v>0</v>
      </c>
      <c r="O183" s="3">
        <v>360</v>
      </c>
      <c r="P183" s="3">
        <v>360</v>
      </c>
      <c r="Q183" s="3">
        <v>360</v>
      </c>
      <c r="S183" s="4">
        <v>0</v>
      </c>
      <c r="T183" s="4">
        <v>89.5</v>
      </c>
      <c r="U183" s="210"/>
      <c r="V183" s="210">
        <v>5.5418698450250237E-15</v>
      </c>
      <c r="W183" s="3">
        <v>0</v>
      </c>
      <c r="X183" s="3">
        <v>0</v>
      </c>
      <c r="Y183" s="3">
        <f t="shared" si="51"/>
        <v>1</v>
      </c>
      <c r="Z183" s="3">
        <f t="shared" si="52"/>
        <v>1</v>
      </c>
      <c r="AA183" s="3" t="str">
        <f t="shared" si="37"/>
        <v/>
      </c>
      <c r="AB183" s="3" t="str">
        <f t="shared" si="38"/>
        <v/>
      </c>
      <c r="AC183" s="3" t="str">
        <f t="shared" si="39"/>
        <v/>
      </c>
      <c r="AD183" s="3" t="str">
        <f t="shared" si="40"/>
        <v>0</v>
      </c>
      <c r="AE183" s="3">
        <f t="shared" si="41"/>
        <v>0</v>
      </c>
      <c r="AF183" s="3">
        <f t="shared" si="42"/>
        <v>0</v>
      </c>
      <c r="AM183" s="3" t="str">
        <f t="shared" si="43"/>
        <v/>
      </c>
      <c r="AN183" s="3" t="str">
        <f t="shared" si="44"/>
        <v/>
      </c>
      <c r="AO183" s="3" t="str">
        <f t="shared" si="45"/>
        <v/>
      </c>
      <c r="AP183" s="3">
        <f t="shared" si="46"/>
        <v>0</v>
      </c>
      <c r="AQ183" s="3">
        <f t="shared" si="47"/>
        <v>0</v>
      </c>
      <c r="AR183" s="3">
        <f t="shared" si="53"/>
        <v>0</v>
      </c>
      <c r="AS183" s="3" t="e">
        <f t="shared" si="54"/>
        <v>#REF!</v>
      </c>
      <c r="AT183" s="3" t="str">
        <f t="shared" si="48"/>
        <v/>
      </c>
      <c r="AU183" s="3">
        <f t="shared" si="49"/>
        <v>0</v>
      </c>
      <c r="AV183" s="3">
        <f t="shared" si="50"/>
        <v>0</v>
      </c>
      <c r="AW183" s="3">
        <v>358</v>
      </c>
      <c r="AX183" s="3" t="e">
        <f>IF(AND(#REF!="N",OR(AW183=$AX$1,AW183=$AX$2,AW183=$AX$3,AW183=$AX$4,AW183=$AY$1,AW183=$AY$2,AW183=$AY$3,AW183=$AY$4)),0,1)</f>
        <v>#REF!</v>
      </c>
    </row>
    <row r="184" spans="2:50" x14ac:dyDescent="0.2">
      <c r="B184" s="4">
        <v>360</v>
      </c>
      <c r="C184" s="208">
        <v>4.4194173824159217E-8</v>
      </c>
      <c r="D184" s="208">
        <v>4.4194173824159217E-8</v>
      </c>
      <c r="E184" s="208">
        <v>4.4194173824159217E-8</v>
      </c>
      <c r="F184" s="209" t="s">
        <v>714</v>
      </c>
      <c r="G184" s="208">
        <v>5.569658257965678E-16</v>
      </c>
      <c r="H184" s="210">
        <v>7.6129825675543888E-15</v>
      </c>
      <c r="I184" s="208">
        <v>3.3644947491079265E-24</v>
      </c>
      <c r="J184" s="208">
        <v>3.3644947491079265E-24</v>
      </c>
      <c r="K184" s="208">
        <v>3.3644947491079265E-24</v>
      </c>
      <c r="L184" s="208">
        <v>0</v>
      </c>
      <c r="M184" s="208">
        <v>0</v>
      </c>
      <c r="N184" s="208">
        <v>0</v>
      </c>
      <c r="O184" s="3">
        <v>360</v>
      </c>
      <c r="P184" s="3">
        <v>360</v>
      </c>
      <c r="Q184" s="3">
        <v>360</v>
      </c>
      <c r="S184" s="4">
        <v>0</v>
      </c>
      <c r="T184" s="4">
        <v>90</v>
      </c>
      <c r="U184" s="210"/>
      <c r="V184" s="210">
        <v>7.6129825675543904E-15</v>
      </c>
      <c r="W184" s="3">
        <v>0</v>
      </c>
      <c r="X184" s="3">
        <v>0</v>
      </c>
      <c r="Y184" s="3">
        <f t="shared" si="51"/>
        <v>1</v>
      </c>
      <c r="Z184" s="3">
        <f t="shared" si="52"/>
        <v>1</v>
      </c>
      <c r="AA184" s="3" t="str">
        <f t="shared" si="37"/>
        <v/>
      </c>
      <c r="AB184" s="3" t="str">
        <f t="shared" si="38"/>
        <v/>
      </c>
      <c r="AC184" s="3" t="str">
        <f t="shared" si="39"/>
        <v/>
      </c>
      <c r="AD184" s="3" t="str">
        <f t="shared" si="40"/>
        <v>0</v>
      </c>
      <c r="AE184" s="3">
        <f t="shared" si="41"/>
        <v>0</v>
      </c>
      <c r="AF184" s="3">
        <f t="shared" si="42"/>
        <v>0</v>
      </c>
      <c r="AM184" s="3" t="str">
        <f t="shared" si="43"/>
        <v/>
      </c>
      <c r="AN184" s="3" t="str">
        <f t="shared" si="44"/>
        <v/>
      </c>
      <c r="AO184" s="3" t="str">
        <f t="shared" si="45"/>
        <v/>
      </c>
      <c r="AP184" s="3">
        <f t="shared" si="46"/>
        <v>0</v>
      </c>
      <c r="AQ184" s="3">
        <f t="shared" si="47"/>
        <v>0</v>
      </c>
      <c r="AR184" s="3">
        <f t="shared" si="53"/>
        <v>0</v>
      </c>
      <c r="AS184" s="3" t="e">
        <f t="shared" si="54"/>
        <v>#REF!</v>
      </c>
      <c r="AT184" s="3" t="str">
        <f t="shared" si="48"/>
        <v/>
      </c>
      <c r="AU184" s="3">
        <f t="shared" si="49"/>
        <v>0</v>
      </c>
      <c r="AV184" s="3">
        <f t="shared" si="50"/>
        <v>0</v>
      </c>
      <c r="AW184" s="3">
        <v>360</v>
      </c>
      <c r="AX184" s="3" t="e">
        <f>IF(AND(#REF!="N",OR(AW184=$AX$1,AW184=$AX$2,AW184=$AX$3,AW184=$AX$4,AW184=$AY$1,AW184=$AY$2,AW184=$AY$3,AW184=$AY$4)),0,1)</f>
        <v>#REF!</v>
      </c>
    </row>
    <row r="185" spans="2:50" x14ac:dyDescent="0.2">
      <c r="B185" s="4">
        <v>362</v>
      </c>
      <c r="C185" s="208">
        <v>4.4194173824159217E-8</v>
      </c>
      <c r="D185" s="208">
        <v>4.4194173824159217E-8</v>
      </c>
      <c r="E185" s="208">
        <v>4.4194173824159217E-8</v>
      </c>
      <c r="F185" s="209" t="s">
        <v>714</v>
      </c>
      <c r="G185" s="208">
        <v>4.9053538741952576E-16</v>
      </c>
      <c r="H185" s="210">
        <v>6.7049667685668657E-15</v>
      </c>
      <c r="I185" s="208">
        <v>2.9632046685525517E-24</v>
      </c>
      <c r="J185" s="208">
        <v>2.9632046685525517E-24</v>
      </c>
      <c r="K185" s="208">
        <v>2.9632046685525517E-24</v>
      </c>
      <c r="L185" s="208">
        <v>0</v>
      </c>
      <c r="M185" s="208">
        <v>0</v>
      </c>
      <c r="N185" s="208">
        <v>0</v>
      </c>
      <c r="O185" s="3">
        <v>360</v>
      </c>
      <c r="P185" s="3">
        <v>360</v>
      </c>
      <c r="Q185" s="3">
        <v>360</v>
      </c>
      <c r="S185" s="4">
        <v>0</v>
      </c>
      <c r="T185" s="4">
        <v>90.5</v>
      </c>
      <c r="U185" s="210"/>
      <c r="V185" s="210">
        <v>6.7049667685668649E-15</v>
      </c>
      <c r="W185" s="3">
        <v>0</v>
      </c>
      <c r="X185" s="3">
        <v>0</v>
      </c>
      <c r="Y185" s="3">
        <f t="shared" si="51"/>
        <v>1</v>
      </c>
      <c r="Z185" s="3">
        <f t="shared" si="52"/>
        <v>1</v>
      </c>
      <c r="AA185" s="3" t="str">
        <f t="shared" si="37"/>
        <v/>
      </c>
      <c r="AB185" s="3" t="str">
        <f t="shared" si="38"/>
        <v/>
      </c>
      <c r="AC185" s="3" t="str">
        <f t="shared" si="39"/>
        <v/>
      </c>
      <c r="AD185" s="3" t="str">
        <f t="shared" si="40"/>
        <v>0</v>
      </c>
      <c r="AE185" s="3">
        <f t="shared" si="41"/>
        <v>0</v>
      </c>
      <c r="AF185" s="3">
        <f t="shared" si="42"/>
        <v>0</v>
      </c>
      <c r="AM185" s="3" t="str">
        <f t="shared" si="43"/>
        <v/>
      </c>
      <c r="AN185" s="3" t="str">
        <f t="shared" si="44"/>
        <v/>
      </c>
      <c r="AO185" s="3" t="str">
        <f t="shared" si="45"/>
        <v/>
      </c>
      <c r="AP185" s="3">
        <f t="shared" si="46"/>
        <v>0</v>
      </c>
      <c r="AQ185" s="3">
        <f t="shared" si="47"/>
        <v>0</v>
      </c>
      <c r="AR185" s="3">
        <f t="shared" si="53"/>
        <v>0</v>
      </c>
      <c r="AS185" s="3" t="e">
        <f t="shared" si="54"/>
        <v>#REF!</v>
      </c>
      <c r="AT185" s="3" t="str">
        <f t="shared" si="48"/>
        <v/>
      </c>
      <c r="AU185" s="3">
        <f t="shared" si="49"/>
        <v>0</v>
      </c>
      <c r="AV185" s="3">
        <f t="shared" si="50"/>
        <v>0</v>
      </c>
      <c r="AW185" s="3">
        <v>362</v>
      </c>
      <c r="AX185" s="3" t="e">
        <f>IF(AND(#REF!="N",OR(AW185=$AX$1,AW185=$AX$2,AW185=$AX$3,AW185=$AX$4,AW185=$AY$1,AW185=$AY$2,AW185=$AY$3,AW185=$AY$4)),0,1)</f>
        <v>#REF!</v>
      </c>
    </row>
    <row r="186" spans="2:50" x14ac:dyDescent="0.2">
      <c r="B186" s="4">
        <v>364</v>
      </c>
      <c r="C186" s="208">
        <v>0.20533495396307466</v>
      </c>
      <c r="D186" s="208">
        <v>0.20533495396306839</v>
      </c>
      <c r="E186" s="208">
        <v>0.2053349539630602</v>
      </c>
      <c r="F186" s="209" t="s">
        <v>714</v>
      </c>
      <c r="G186" s="208">
        <v>1.7237840657284821E-2</v>
      </c>
      <c r="H186" s="210">
        <v>0.23561837072948533</v>
      </c>
      <c r="I186" s="208">
        <v>4.8380687306593528E-4</v>
      </c>
      <c r="J186" s="208">
        <v>4.8380687306592049E-4</v>
      </c>
      <c r="K186" s="208">
        <v>4.8380687306590124E-4</v>
      </c>
      <c r="L186" s="208">
        <v>8.3797808520120196E-4</v>
      </c>
      <c r="M186" s="208">
        <v>8.3797808520119871E-4</v>
      </c>
      <c r="N186" s="208">
        <v>8.3797808520119426E-4</v>
      </c>
      <c r="O186" s="3">
        <v>240</v>
      </c>
      <c r="P186" s="3">
        <v>240</v>
      </c>
      <c r="Q186" s="3">
        <v>240</v>
      </c>
      <c r="R186" s="4" t="s">
        <v>168</v>
      </c>
      <c r="S186" s="4" t="s">
        <v>168</v>
      </c>
      <c r="T186" s="4">
        <v>91</v>
      </c>
      <c r="U186" s="210"/>
      <c r="V186" s="210">
        <v>0.23561837072948533</v>
      </c>
      <c r="W186" s="3">
        <v>0</v>
      </c>
      <c r="X186" s="3">
        <v>0.23561837072948463</v>
      </c>
      <c r="Y186" s="3">
        <f t="shared" si="51"/>
        <v>1</v>
      </c>
      <c r="Z186" s="3">
        <f t="shared" si="52"/>
        <v>1</v>
      </c>
      <c r="AA186" s="3">
        <f t="shared" si="37"/>
        <v>0.13791844010203505</v>
      </c>
      <c r="AB186" s="3">
        <f t="shared" si="38"/>
        <v>6.8959220051017525E-2</v>
      </c>
      <c r="AC186" s="3">
        <f t="shared" si="39"/>
        <v>8.3274024937830598E-5</v>
      </c>
      <c r="AD186" s="3" t="str">
        <f t="shared" si="40"/>
        <v>4.02047076223324E-08+0.0000832538983087465i</v>
      </c>
      <c r="AE186" s="3">
        <f t="shared" si="41"/>
        <v>4.0204707622332402E-8</v>
      </c>
      <c r="AF186" s="3">
        <f t="shared" si="42"/>
        <v>8.3253898308746505E-5</v>
      </c>
      <c r="AM186" s="3" t="str">
        <f t="shared" si="43"/>
        <v>-5.74251181022178E-06+0.0000114850236204436i</v>
      </c>
      <c r="AN186" s="3" t="str">
        <f t="shared" si="44"/>
        <v>0.137918440102035+0.0690424940759553i</v>
      </c>
      <c r="AO186" s="3" t="str">
        <f t="shared" si="45"/>
        <v>4.02047076223324E-08+0.0000832538983087465i</v>
      </c>
      <c r="AP186" s="3">
        <f t="shared" si="46"/>
        <v>4.0204707622332402E-8</v>
      </c>
      <c r="AQ186" s="3">
        <f t="shared" si="47"/>
        <v>8.3253898308746505E-5</v>
      </c>
      <c r="AR186" s="3">
        <f t="shared" si="53"/>
        <v>1.7261498096647216</v>
      </c>
      <c r="AS186" s="3" t="e">
        <f t="shared" si="54"/>
        <v>#REF!</v>
      </c>
      <c r="AT186" s="3" t="e">
        <f t="shared" si="48"/>
        <v>#REF!</v>
      </c>
      <c r="AU186" s="3" t="e">
        <f t="shared" si="49"/>
        <v>#REF!</v>
      </c>
      <c r="AV186" s="3" t="e">
        <f t="shared" si="50"/>
        <v>#REF!</v>
      </c>
      <c r="AW186" s="3">
        <v>364</v>
      </c>
      <c r="AX186" s="3" t="e">
        <f>IF(AND(#REF!="N",OR(AW186=$AX$1,AW186=$AX$2,AW186=$AX$3,AW186=$AX$4,AW186=$AY$1,AW186=$AY$2,AW186=$AY$3,AW186=$AY$4)),0,1)</f>
        <v>#REF!</v>
      </c>
    </row>
    <row r="187" spans="2:50" x14ac:dyDescent="0.2">
      <c r="B187" s="4">
        <v>366</v>
      </c>
      <c r="C187" s="208">
        <v>4.4194173824159217E-8</v>
      </c>
      <c r="D187" s="208">
        <v>4.4194173824159217E-8</v>
      </c>
      <c r="E187" s="208">
        <v>4.4194173824159217E-8</v>
      </c>
      <c r="F187" s="209" t="s">
        <v>714</v>
      </c>
      <c r="G187" s="208">
        <v>9.8409746219397208E-16</v>
      </c>
      <c r="H187" s="210">
        <v>1.3451304330462914E-14</v>
      </c>
      <c r="I187" s="208">
        <v>5.9446928174214359E-24</v>
      </c>
      <c r="J187" s="208">
        <v>5.9446928174214359E-24</v>
      </c>
      <c r="K187" s="208">
        <v>5.9446928174214359E-24</v>
      </c>
      <c r="L187" s="208">
        <v>0</v>
      </c>
      <c r="M187" s="208">
        <v>0</v>
      </c>
      <c r="N187" s="208">
        <v>0</v>
      </c>
      <c r="O187" s="3">
        <v>360</v>
      </c>
      <c r="P187" s="3">
        <v>360</v>
      </c>
      <c r="Q187" s="3">
        <v>360</v>
      </c>
      <c r="S187" s="4">
        <v>0</v>
      </c>
      <c r="T187" s="4">
        <v>91.5</v>
      </c>
      <c r="U187" s="210"/>
      <c r="V187" s="210">
        <v>1.3451304330462912E-14</v>
      </c>
      <c r="W187" s="3">
        <v>0</v>
      </c>
      <c r="X187" s="3">
        <v>0</v>
      </c>
      <c r="Y187" s="3">
        <f t="shared" si="51"/>
        <v>1</v>
      </c>
      <c r="Z187" s="3">
        <f t="shared" si="52"/>
        <v>1</v>
      </c>
      <c r="AA187" s="3" t="str">
        <f t="shared" si="37"/>
        <v/>
      </c>
      <c r="AB187" s="3" t="str">
        <f t="shared" si="38"/>
        <v/>
      </c>
      <c r="AC187" s="3" t="str">
        <f t="shared" si="39"/>
        <v/>
      </c>
      <c r="AD187" s="3" t="str">
        <f t="shared" si="40"/>
        <v>0</v>
      </c>
      <c r="AE187" s="3">
        <f t="shared" si="41"/>
        <v>0</v>
      </c>
      <c r="AF187" s="3">
        <f t="shared" si="42"/>
        <v>0</v>
      </c>
      <c r="AM187" s="3" t="str">
        <f t="shared" si="43"/>
        <v/>
      </c>
      <c r="AN187" s="3" t="str">
        <f t="shared" si="44"/>
        <v/>
      </c>
      <c r="AO187" s="3" t="str">
        <f t="shared" si="45"/>
        <v/>
      </c>
      <c r="AP187" s="3">
        <f t="shared" si="46"/>
        <v>0</v>
      </c>
      <c r="AQ187" s="3">
        <f t="shared" si="47"/>
        <v>0</v>
      </c>
      <c r="AR187" s="3">
        <f t="shared" si="53"/>
        <v>0</v>
      </c>
      <c r="AS187" s="3" t="e">
        <f t="shared" si="54"/>
        <v>#REF!</v>
      </c>
      <c r="AT187" s="3" t="str">
        <f t="shared" si="48"/>
        <v/>
      </c>
      <c r="AU187" s="3">
        <f t="shared" si="49"/>
        <v>0</v>
      </c>
      <c r="AV187" s="3">
        <f t="shared" si="50"/>
        <v>0</v>
      </c>
      <c r="AW187" s="3">
        <v>366</v>
      </c>
      <c r="AX187" s="3" t="e">
        <f>IF(AND(#REF!="N",OR(AW187=$AX$1,AW187=$AX$2,AW187=$AX$3,AW187=$AX$4,AW187=$AY$1,AW187=$AY$2,AW187=$AY$3,AW187=$AY$4)),0,1)</f>
        <v>#REF!</v>
      </c>
    </row>
    <row r="188" spans="2:50" x14ac:dyDescent="0.2">
      <c r="B188" s="4">
        <v>368</v>
      </c>
      <c r="C188" s="208">
        <v>4.4194173824159217E-8</v>
      </c>
      <c r="D188" s="208">
        <v>4.4194173824159217E-8</v>
      </c>
      <c r="E188" s="208">
        <v>4.4194173824159217E-8</v>
      </c>
      <c r="F188" s="209" t="s">
        <v>714</v>
      </c>
      <c r="G188" s="208">
        <v>3.1763232446838493E-16</v>
      </c>
      <c r="H188" s="210">
        <v>4.3416117059088968E-15</v>
      </c>
      <c r="I188" s="208">
        <v>1.9187394240794223E-24</v>
      </c>
      <c r="J188" s="208">
        <v>1.9187394240794223E-24</v>
      </c>
      <c r="K188" s="208">
        <v>1.9187394240794223E-24</v>
      </c>
      <c r="L188" s="208">
        <v>0</v>
      </c>
      <c r="M188" s="208">
        <v>0</v>
      </c>
      <c r="N188" s="208">
        <v>0</v>
      </c>
      <c r="O188" s="3">
        <v>360</v>
      </c>
      <c r="P188" s="3">
        <v>360</v>
      </c>
      <c r="Q188" s="3">
        <v>360</v>
      </c>
      <c r="S188" s="4">
        <v>0</v>
      </c>
      <c r="T188" s="4">
        <v>92</v>
      </c>
      <c r="U188" s="210"/>
      <c r="V188" s="210">
        <v>4.3416117059088968E-15</v>
      </c>
      <c r="W188" s="3">
        <v>0</v>
      </c>
      <c r="X188" s="3">
        <v>0</v>
      </c>
      <c r="Y188" s="3">
        <f t="shared" si="51"/>
        <v>1</v>
      </c>
      <c r="Z188" s="3">
        <f t="shared" si="52"/>
        <v>1</v>
      </c>
      <c r="AA188" s="3" t="str">
        <f t="shared" si="37"/>
        <v/>
      </c>
      <c r="AB188" s="3" t="str">
        <f t="shared" si="38"/>
        <v/>
      </c>
      <c r="AC188" s="3" t="str">
        <f t="shared" si="39"/>
        <v/>
      </c>
      <c r="AD188" s="3" t="str">
        <f t="shared" si="40"/>
        <v>0</v>
      </c>
      <c r="AE188" s="3">
        <f t="shared" si="41"/>
        <v>0</v>
      </c>
      <c r="AF188" s="3">
        <f t="shared" si="42"/>
        <v>0</v>
      </c>
      <c r="AM188" s="3" t="str">
        <f t="shared" si="43"/>
        <v/>
      </c>
      <c r="AN188" s="3" t="str">
        <f t="shared" si="44"/>
        <v/>
      </c>
      <c r="AO188" s="3" t="str">
        <f t="shared" si="45"/>
        <v/>
      </c>
      <c r="AP188" s="3">
        <f t="shared" si="46"/>
        <v>0</v>
      </c>
      <c r="AQ188" s="3">
        <f t="shared" si="47"/>
        <v>0</v>
      </c>
      <c r="AR188" s="3">
        <f t="shared" si="53"/>
        <v>0</v>
      </c>
      <c r="AS188" s="3" t="e">
        <f t="shared" si="54"/>
        <v>#REF!</v>
      </c>
      <c r="AT188" s="3" t="str">
        <f t="shared" si="48"/>
        <v/>
      </c>
      <c r="AU188" s="3">
        <f t="shared" si="49"/>
        <v>0</v>
      </c>
      <c r="AV188" s="3">
        <f t="shared" si="50"/>
        <v>0</v>
      </c>
      <c r="AW188" s="3">
        <v>368</v>
      </c>
      <c r="AX188" s="3" t="e">
        <f>IF(AND(#REF!="N",OR(AW188=$AX$1,AW188=$AX$2,AW188=$AX$3,AW188=$AX$4,AW188=$AY$1,AW188=$AY$2,AW188=$AY$3,AW188=$AY$4)),0,1)</f>
        <v>#REF!</v>
      </c>
    </row>
    <row r="189" spans="2:50" x14ac:dyDescent="0.2">
      <c r="B189" s="4">
        <v>370</v>
      </c>
      <c r="C189" s="208">
        <v>4.4194173824159217E-8</v>
      </c>
      <c r="D189" s="208">
        <v>4.4194173824159217E-8</v>
      </c>
      <c r="E189" s="208">
        <v>4.4194173824159217E-8</v>
      </c>
      <c r="F189" s="209" t="s">
        <v>714</v>
      </c>
      <c r="G189" s="208">
        <v>9.6154138547126806E-16</v>
      </c>
      <c r="H189" s="210">
        <v>1.3142992741261234E-14</v>
      </c>
      <c r="I189" s="208">
        <v>5.8084370577696183E-24</v>
      </c>
      <c r="J189" s="208">
        <v>5.8084370577696183E-24</v>
      </c>
      <c r="K189" s="208">
        <v>5.8084370577696183E-24</v>
      </c>
      <c r="L189" s="208">
        <v>0</v>
      </c>
      <c r="M189" s="208">
        <v>0</v>
      </c>
      <c r="N189" s="208">
        <v>0</v>
      </c>
      <c r="O189" s="3">
        <v>360</v>
      </c>
      <c r="P189" s="3">
        <v>360</v>
      </c>
      <c r="Q189" s="3">
        <v>360</v>
      </c>
      <c r="S189" s="4">
        <v>0</v>
      </c>
      <c r="T189" s="4">
        <v>92.5</v>
      </c>
      <c r="U189" s="210"/>
      <c r="V189" s="210">
        <v>1.3142992741261234E-14</v>
      </c>
      <c r="W189" s="3">
        <v>0</v>
      </c>
      <c r="X189" s="3">
        <v>0</v>
      </c>
      <c r="Y189" s="3">
        <f t="shared" si="51"/>
        <v>1</v>
      </c>
      <c r="Z189" s="3">
        <f t="shared" si="52"/>
        <v>1</v>
      </c>
      <c r="AA189" s="3" t="str">
        <f t="shared" si="37"/>
        <v/>
      </c>
      <c r="AB189" s="3" t="str">
        <f t="shared" si="38"/>
        <v/>
      </c>
      <c r="AC189" s="3" t="str">
        <f t="shared" si="39"/>
        <v/>
      </c>
      <c r="AD189" s="3" t="str">
        <f t="shared" si="40"/>
        <v>0</v>
      </c>
      <c r="AE189" s="3">
        <f t="shared" si="41"/>
        <v>0</v>
      </c>
      <c r="AF189" s="3">
        <f t="shared" si="42"/>
        <v>0</v>
      </c>
      <c r="AM189" s="3" t="str">
        <f t="shared" si="43"/>
        <v/>
      </c>
      <c r="AN189" s="3" t="str">
        <f t="shared" si="44"/>
        <v/>
      </c>
      <c r="AO189" s="3" t="str">
        <f t="shared" si="45"/>
        <v/>
      </c>
      <c r="AP189" s="3">
        <f t="shared" si="46"/>
        <v>0</v>
      </c>
      <c r="AQ189" s="3">
        <f t="shared" si="47"/>
        <v>0</v>
      </c>
      <c r="AR189" s="3">
        <f t="shared" si="53"/>
        <v>0</v>
      </c>
      <c r="AS189" s="3" t="e">
        <f t="shared" si="54"/>
        <v>#REF!</v>
      </c>
      <c r="AT189" s="3" t="str">
        <f t="shared" si="48"/>
        <v/>
      </c>
      <c r="AU189" s="3">
        <f t="shared" si="49"/>
        <v>0</v>
      </c>
      <c r="AV189" s="3">
        <f t="shared" si="50"/>
        <v>0</v>
      </c>
      <c r="AW189" s="3">
        <v>370</v>
      </c>
      <c r="AX189" s="3" t="e">
        <f>IF(AND(#REF!="N",OR(AW189=$AX$1,AW189=$AX$2,AW189=$AX$3,AW189=$AX$4,AW189=$AY$1,AW189=$AY$2,AW189=$AY$3,AW189=$AY$4)),0,1)</f>
        <v>#REF!</v>
      </c>
    </row>
    <row r="190" spans="2:50" x14ac:dyDescent="0.2">
      <c r="B190" s="4">
        <v>372</v>
      </c>
      <c r="C190" s="208">
        <v>0.65328148243818873</v>
      </c>
      <c r="D190" s="208">
        <v>0.65328148243819595</v>
      </c>
      <c r="E190" s="208">
        <v>0.65328148243819506</v>
      </c>
      <c r="F190" s="209" t="s">
        <v>714</v>
      </c>
      <c r="G190" s="208">
        <v>3.5809227842677154E-16</v>
      </c>
      <c r="H190" s="210">
        <v>4.8946455006282078E-15</v>
      </c>
      <c r="I190" s="208">
        <v>3.1975812686598058E-17</v>
      </c>
      <c r="J190" s="208">
        <v>3.1975812686598416E-17</v>
      </c>
      <c r="K190" s="208">
        <v>3.1975812686598372E-17</v>
      </c>
      <c r="L190" s="208">
        <v>3.8374114270070516E-31</v>
      </c>
      <c r="M190" s="208">
        <v>5.2439645490525946E-31</v>
      </c>
      <c r="N190" s="208">
        <v>6.1484757712313472E-31</v>
      </c>
      <c r="O190" s="3">
        <v>0</v>
      </c>
      <c r="P190" s="3">
        <v>0</v>
      </c>
      <c r="Q190" s="3">
        <v>360</v>
      </c>
      <c r="S190" s="4">
        <v>0</v>
      </c>
      <c r="T190" s="4">
        <v>93</v>
      </c>
      <c r="U190" s="210"/>
      <c r="V190" s="210">
        <v>4.8946455006282078E-15</v>
      </c>
      <c r="W190" s="3">
        <v>0</v>
      </c>
      <c r="X190" s="3">
        <v>0</v>
      </c>
      <c r="Y190" s="3">
        <f t="shared" si="51"/>
        <v>1</v>
      </c>
      <c r="Z190" s="3">
        <f t="shared" si="52"/>
        <v>1</v>
      </c>
      <c r="AA190" s="3" t="str">
        <f t="shared" si="37"/>
        <v/>
      </c>
      <c r="AB190" s="3" t="str">
        <f t="shared" si="38"/>
        <v/>
      </c>
      <c r="AC190" s="3" t="str">
        <f t="shared" si="39"/>
        <v/>
      </c>
      <c r="AD190" s="3" t="str">
        <f t="shared" si="40"/>
        <v>0</v>
      </c>
      <c r="AE190" s="3">
        <f t="shared" si="41"/>
        <v>0</v>
      </c>
      <c r="AF190" s="3">
        <f t="shared" si="42"/>
        <v>0</v>
      </c>
      <c r="AM190" s="3" t="str">
        <f t="shared" si="43"/>
        <v/>
      </c>
      <c r="AN190" s="3" t="str">
        <f t="shared" si="44"/>
        <v/>
      </c>
      <c r="AO190" s="3" t="str">
        <f t="shared" si="45"/>
        <v/>
      </c>
      <c r="AP190" s="3">
        <f t="shared" si="46"/>
        <v>0</v>
      </c>
      <c r="AQ190" s="3">
        <f t="shared" si="47"/>
        <v>0</v>
      </c>
      <c r="AR190" s="3">
        <f t="shared" si="53"/>
        <v>0</v>
      </c>
      <c r="AS190" s="3" t="e">
        <f t="shared" si="54"/>
        <v>#REF!</v>
      </c>
      <c r="AT190" s="3" t="str">
        <f t="shared" si="48"/>
        <v/>
      </c>
      <c r="AU190" s="3">
        <f t="shared" si="49"/>
        <v>0</v>
      </c>
      <c r="AV190" s="3">
        <f t="shared" si="50"/>
        <v>0</v>
      </c>
      <c r="AW190" s="3">
        <v>372</v>
      </c>
      <c r="AX190" s="3" t="e">
        <f>IF(AND(#REF!="N",OR(AW190=$AX$1,AW190=$AX$2,AW190=$AX$3,AW190=$AX$4,AW190=$AY$1,AW190=$AY$2,AW190=$AY$3,AW190=$AY$4)),0,1)</f>
        <v>#REF!</v>
      </c>
    </row>
    <row r="191" spans="2:50" x14ac:dyDescent="0.2">
      <c r="B191" s="4">
        <v>374</v>
      </c>
      <c r="C191" s="208">
        <v>4.4194173824159217E-8</v>
      </c>
      <c r="D191" s="208">
        <v>4.4194173824159217E-8</v>
      </c>
      <c r="E191" s="208">
        <v>4.4194173824159217E-8</v>
      </c>
      <c r="F191" s="209" t="s">
        <v>714</v>
      </c>
      <c r="G191" s="208">
        <v>1.3082883037348183E-15</v>
      </c>
      <c r="H191" s="210">
        <v>1.7882562247735398E-14</v>
      </c>
      <c r="I191" s="208">
        <v>7.9030506439776553E-24</v>
      </c>
      <c r="J191" s="208">
        <v>7.9030506439776553E-24</v>
      </c>
      <c r="K191" s="208">
        <v>7.9030506439776553E-24</v>
      </c>
      <c r="L191" s="208">
        <v>0</v>
      </c>
      <c r="M191" s="208">
        <v>0</v>
      </c>
      <c r="N191" s="208">
        <v>0</v>
      </c>
      <c r="O191" s="3">
        <v>360</v>
      </c>
      <c r="P191" s="3">
        <v>360</v>
      </c>
      <c r="Q191" s="3">
        <v>360</v>
      </c>
      <c r="S191" s="4">
        <v>0</v>
      </c>
      <c r="T191" s="4">
        <v>93.5</v>
      </c>
      <c r="U191" s="210"/>
      <c r="V191" s="210">
        <v>1.7882562247735401E-14</v>
      </c>
      <c r="W191" s="3">
        <v>0</v>
      </c>
      <c r="X191" s="3">
        <v>0</v>
      </c>
      <c r="Y191" s="3">
        <f t="shared" si="51"/>
        <v>1</v>
      </c>
      <c r="Z191" s="3">
        <f t="shared" si="52"/>
        <v>1</v>
      </c>
      <c r="AA191" s="3" t="str">
        <f t="shared" si="37"/>
        <v/>
      </c>
      <c r="AB191" s="3" t="str">
        <f t="shared" si="38"/>
        <v/>
      </c>
      <c r="AC191" s="3" t="str">
        <f t="shared" si="39"/>
        <v/>
      </c>
      <c r="AD191" s="3" t="str">
        <f t="shared" si="40"/>
        <v>0</v>
      </c>
      <c r="AE191" s="3">
        <f t="shared" si="41"/>
        <v>0</v>
      </c>
      <c r="AF191" s="3">
        <f t="shared" si="42"/>
        <v>0</v>
      </c>
      <c r="AM191" s="3" t="str">
        <f t="shared" si="43"/>
        <v/>
      </c>
      <c r="AN191" s="3" t="str">
        <f t="shared" si="44"/>
        <v/>
      </c>
      <c r="AO191" s="3" t="str">
        <f t="shared" si="45"/>
        <v/>
      </c>
      <c r="AP191" s="3">
        <f t="shared" si="46"/>
        <v>0</v>
      </c>
      <c r="AQ191" s="3">
        <f t="shared" si="47"/>
        <v>0</v>
      </c>
      <c r="AR191" s="3">
        <f t="shared" si="53"/>
        <v>0</v>
      </c>
      <c r="AS191" s="3" t="e">
        <f t="shared" si="54"/>
        <v>#REF!</v>
      </c>
      <c r="AT191" s="3" t="str">
        <f t="shared" si="48"/>
        <v/>
      </c>
      <c r="AU191" s="3">
        <f t="shared" si="49"/>
        <v>0</v>
      </c>
      <c r="AV191" s="3">
        <f t="shared" si="50"/>
        <v>0</v>
      </c>
      <c r="AW191" s="3">
        <v>374</v>
      </c>
      <c r="AX191" s="3" t="e">
        <f>IF(AND(#REF!="N",OR(AW191=$AX$1,AW191=$AX$2,AW191=$AX$3,AW191=$AX$4,AW191=$AY$1,AW191=$AY$2,AW191=$AY$3,AW191=$AY$4)),0,1)</f>
        <v>#REF!</v>
      </c>
    </row>
    <row r="192" spans="2:50" x14ac:dyDescent="0.2">
      <c r="B192" s="4">
        <v>376</v>
      </c>
      <c r="C192" s="208">
        <v>4.4194173824159217E-8</v>
      </c>
      <c r="D192" s="208">
        <v>4.4194173824159217E-8</v>
      </c>
      <c r="E192" s="208">
        <v>4.4194173824159217E-8</v>
      </c>
      <c r="F192" s="209" t="s">
        <v>714</v>
      </c>
      <c r="G192" s="208">
        <v>3.5595536191393346E-16</v>
      </c>
      <c r="H192" s="210">
        <v>4.8654366921033961E-15</v>
      </c>
      <c r="I192" s="208">
        <v>2.1502395490125973E-24</v>
      </c>
      <c r="J192" s="208">
        <v>2.1502395490125973E-24</v>
      </c>
      <c r="K192" s="208">
        <v>2.1502395490125973E-24</v>
      </c>
      <c r="L192" s="208">
        <v>0</v>
      </c>
      <c r="M192" s="208">
        <v>0</v>
      </c>
      <c r="N192" s="208">
        <v>0</v>
      </c>
      <c r="O192" s="3">
        <v>360</v>
      </c>
      <c r="P192" s="3">
        <v>360</v>
      </c>
      <c r="Q192" s="3">
        <v>360</v>
      </c>
      <c r="S192" s="4">
        <v>0</v>
      </c>
      <c r="T192" s="4">
        <v>94</v>
      </c>
      <c r="U192" s="210"/>
      <c r="V192" s="210">
        <v>4.8654366921033961E-15</v>
      </c>
      <c r="W192" s="3">
        <v>0</v>
      </c>
      <c r="X192" s="3">
        <v>0</v>
      </c>
      <c r="Y192" s="3">
        <f t="shared" si="51"/>
        <v>1</v>
      </c>
      <c r="Z192" s="3">
        <f t="shared" si="52"/>
        <v>1</v>
      </c>
      <c r="AA192" s="3" t="str">
        <f t="shared" si="37"/>
        <v/>
      </c>
      <c r="AB192" s="3" t="str">
        <f t="shared" si="38"/>
        <v/>
      </c>
      <c r="AC192" s="3" t="str">
        <f t="shared" si="39"/>
        <v/>
      </c>
      <c r="AD192" s="3" t="str">
        <f t="shared" si="40"/>
        <v>0</v>
      </c>
      <c r="AE192" s="3">
        <f t="shared" si="41"/>
        <v>0</v>
      </c>
      <c r="AF192" s="3">
        <f t="shared" si="42"/>
        <v>0</v>
      </c>
      <c r="AM192" s="3" t="str">
        <f t="shared" si="43"/>
        <v/>
      </c>
      <c r="AN192" s="3" t="str">
        <f t="shared" si="44"/>
        <v/>
      </c>
      <c r="AO192" s="3" t="str">
        <f t="shared" si="45"/>
        <v/>
      </c>
      <c r="AP192" s="3">
        <f t="shared" si="46"/>
        <v>0</v>
      </c>
      <c r="AQ192" s="3">
        <f t="shared" si="47"/>
        <v>0</v>
      </c>
      <c r="AR192" s="3">
        <f t="shared" si="53"/>
        <v>0</v>
      </c>
      <c r="AS192" s="3" t="e">
        <f t="shared" si="54"/>
        <v>#REF!</v>
      </c>
      <c r="AT192" s="3" t="str">
        <f t="shared" si="48"/>
        <v/>
      </c>
      <c r="AU192" s="3">
        <f t="shared" si="49"/>
        <v>0</v>
      </c>
      <c r="AV192" s="3">
        <f t="shared" si="50"/>
        <v>0</v>
      </c>
      <c r="AW192" s="3">
        <v>376</v>
      </c>
      <c r="AX192" s="3" t="e">
        <f>IF(AND(#REF!="N",OR(AW192=$AX$1,AW192=$AX$2,AW192=$AX$3,AW192=$AX$4,AW192=$AY$1,AW192=$AY$2,AW192=$AY$3,AW192=$AY$4)),0,1)</f>
        <v>#REF!</v>
      </c>
    </row>
    <row r="193" spans="2:50" x14ac:dyDescent="0.2">
      <c r="B193" s="4">
        <v>378</v>
      </c>
      <c r="C193" s="208">
        <v>4.4194173824159217E-8</v>
      </c>
      <c r="D193" s="208">
        <v>4.4194173824159217E-8</v>
      </c>
      <c r="E193" s="208">
        <v>4.4194173824159217E-8</v>
      </c>
      <c r="F193" s="209" t="s">
        <v>714</v>
      </c>
      <c r="G193" s="208">
        <v>2.800521685678948E-16</v>
      </c>
      <c r="H193" s="210">
        <v>3.8279409230610732E-15</v>
      </c>
      <c r="I193" s="208">
        <v>1.6917268654237354E-24</v>
      </c>
      <c r="J193" s="208">
        <v>1.6917268654237354E-24</v>
      </c>
      <c r="K193" s="208">
        <v>1.6917268654237354E-24</v>
      </c>
      <c r="L193" s="208">
        <v>0</v>
      </c>
      <c r="M193" s="208">
        <v>0</v>
      </c>
      <c r="N193" s="208">
        <v>0</v>
      </c>
      <c r="O193" s="3">
        <v>360</v>
      </c>
      <c r="P193" s="3">
        <v>360</v>
      </c>
      <c r="Q193" s="3">
        <v>360</v>
      </c>
      <c r="S193" s="4">
        <v>0</v>
      </c>
      <c r="T193" s="4">
        <v>94.5</v>
      </c>
      <c r="U193" s="210"/>
      <c r="V193" s="210">
        <v>3.8279409230610732E-15</v>
      </c>
      <c r="W193" s="3">
        <v>0</v>
      </c>
      <c r="X193" s="3">
        <v>0</v>
      </c>
      <c r="Y193" s="3">
        <f t="shared" si="51"/>
        <v>1</v>
      </c>
      <c r="Z193" s="3">
        <f t="shared" si="52"/>
        <v>1</v>
      </c>
      <c r="AA193" s="3" t="str">
        <f t="shared" si="37"/>
        <v/>
      </c>
      <c r="AB193" s="3" t="str">
        <f t="shared" si="38"/>
        <v/>
      </c>
      <c r="AC193" s="3" t="str">
        <f t="shared" si="39"/>
        <v/>
      </c>
      <c r="AD193" s="3" t="str">
        <f t="shared" si="40"/>
        <v>0</v>
      </c>
      <c r="AE193" s="3">
        <f t="shared" si="41"/>
        <v>0</v>
      </c>
      <c r="AF193" s="3">
        <f t="shared" si="42"/>
        <v>0</v>
      </c>
      <c r="AM193" s="3" t="str">
        <f t="shared" si="43"/>
        <v/>
      </c>
      <c r="AN193" s="3" t="str">
        <f t="shared" si="44"/>
        <v/>
      </c>
      <c r="AO193" s="3" t="str">
        <f t="shared" si="45"/>
        <v/>
      </c>
      <c r="AP193" s="3">
        <f t="shared" si="46"/>
        <v>0</v>
      </c>
      <c r="AQ193" s="3">
        <f t="shared" si="47"/>
        <v>0</v>
      </c>
      <c r="AR193" s="3">
        <f t="shared" si="53"/>
        <v>0</v>
      </c>
      <c r="AS193" s="3" t="e">
        <f t="shared" si="54"/>
        <v>#REF!</v>
      </c>
      <c r="AT193" s="3" t="str">
        <f t="shared" si="48"/>
        <v/>
      </c>
      <c r="AU193" s="3">
        <f t="shared" si="49"/>
        <v>0</v>
      </c>
      <c r="AV193" s="3">
        <f t="shared" si="50"/>
        <v>0</v>
      </c>
      <c r="AW193" s="3">
        <v>378</v>
      </c>
      <c r="AX193" s="3" t="e">
        <f>IF(AND(#REF!="N",OR(AW193=$AX$1,AW193=$AX$2,AW193=$AX$3,AW193=$AX$4,AW193=$AY$1,AW193=$AY$2,AW193=$AY$3,AW193=$AY$4)),0,1)</f>
        <v>#REF!</v>
      </c>
    </row>
    <row r="194" spans="2:50" x14ac:dyDescent="0.2">
      <c r="B194" s="4">
        <v>380</v>
      </c>
      <c r="C194" s="208">
        <v>0.95766219694254384</v>
      </c>
      <c r="D194" s="208">
        <v>0.95766219694254573</v>
      </c>
      <c r="E194" s="208">
        <v>0.95766219694255128</v>
      </c>
      <c r="F194" s="209" t="s">
        <v>714</v>
      </c>
      <c r="G194" s="208">
        <v>7.7010529240750178E-2</v>
      </c>
      <c r="H194" s="210">
        <v>1.052631578947373</v>
      </c>
      <c r="I194" s="208">
        <v>1.0080654704658401E-2</v>
      </c>
      <c r="J194" s="208">
        <v>1.0080654704658422E-2</v>
      </c>
      <c r="K194" s="208">
        <v>1.0080654704658479E-2</v>
      </c>
      <c r="L194" s="208">
        <v>1.7460206122026641E-2</v>
      </c>
      <c r="M194" s="208">
        <v>1.7460206122026745E-2</v>
      </c>
      <c r="N194" s="208">
        <v>1.7460206122026541E-2</v>
      </c>
      <c r="O194" s="3">
        <v>120</v>
      </c>
      <c r="P194" s="3">
        <v>120</v>
      </c>
      <c r="Q194" s="3">
        <v>120</v>
      </c>
      <c r="R194" s="4" t="s">
        <v>172</v>
      </c>
      <c r="S194" s="4" t="s">
        <v>172</v>
      </c>
      <c r="T194" s="4">
        <v>95</v>
      </c>
      <c r="U194" s="210"/>
      <c r="V194" s="210">
        <v>1.052631578947373</v>
      </c>
      <c r="W194" s="3">
        <v>1.0526315789473666</v>
      </c>
      <c r="X194" s="3">
        <v>0</v>
      </c>
      <c r="Y194" s="3">
        <f t="shared" si="51"/>
        <v>1</v>
      </c>
      <c r="Z194" s="3">
        <f t="shared" si="52"/>
        <v>1</v>
      </c>
      <c r="AA194" s="3">
        <f t="shared" si="37"/>
        <v>2.9999999999999707</v>
      </c>
      <c r="AB194" s="3">
        <f t="shared" si="38"/>
        <v>1.4999999999999853</v>
      </c>
      <c r="AC194" s="3">
        <f t="shared" si="39"/>
        <v>1.6620498614958283E-3</v>
      </c>
      <c r="AD194" s="3" t="str">
        <f t="shared" si="40"/>
        <v>7.36316072015797E-07+0.00166168129552848i</v>
      </c>
      <c r="AE194" s="3">
        <f t="shared" si="41"/>
        <v>7.3631607201579696E-7</v>
      </c>
      <c r="AF194" s="3">
        <f t="shared" si="42"/>
        <v>1.6616812955284801E-3</v>
      </c>
      <c r="AM194" s="3" t="str">
        <f t="shared" si="43"/>
        <v>-0.00249307479224373+0.00498614958448744i</v>
      </c>
      <c r="AN194" s="3" t="str">
        <f t="shared" si="44"/>
        <v>2.99999999999997+1.50166204986148i</v>
      </c>
      <c r="AO194" s="3" t="str">
        <f t="shared" si="45"/>
        <v>7.36316072015797E-07+0.00166168129552848i</v>
      </c>
      <c r="AP194" s="3">
        <f t="shared" si="46"/>
        <v>7.3631607201579696E-7</v>
      </c>
      <c r="AQ194" s="3">
        <f t="shared" si="47"/>
        <v>1.6616812955284801E-3</v>
      </c>
      <c r="AR194" s="3">
        <f t="shared" si="53"/>
        <v>-1.6534698176788385</v>
      </c>
      <c r="AS194" s="3" t="e">
        <f t="shared" si="54"/>
        <v>#REF!</v>
      </c>
      <c r="AT194" s="3" t="e">
        <f t="shared" si="48"/>
        <v>#REF!</v>
      </c>
      <c r="AU194" s="3" t="e">
        <f t="shared" si="49"/>
        <v>#REF!</v>
      </c>
      <c r="AV194" s="3" t="e">
        <f t="shared" si="50"/>
        <v>#REF!</v>
      </c>
      <c r="AW194" s="3">
        <v>380</v>
      </c>
      <c r="AX194" s="3" t="e">
        <f>IF(AND(#REF!="N",OR(AW194=$AX$1,AW194=$AX$2,AW194=$AX$3,AW194=$AX$4,AW194=$AY$1,AW194=$AY$2,AW194=$AY$3,AW194=$AY$4)),0,1)</f>
        <v>#REF!</v>
      </c>
    </row>
    <row r="195" spans="2:50" x14ac:dyDescent="0.2">
      <c r="B195" s="4">
        <v>382</v>
      </c>
      <c r="C195" s="208">
        <v>4.4194173824159217E-8</v>
      </c>
      <c r="D195" s="208">
        <v>4.4194173824159217E-8</v>
      </c>
      <c r="E195" s="208">
        <v>4.4194173824159217E-8</v>
      </c>
      <c r="F195" s="209" t="s">
        <v>714</v>
      </c>
      <c r="G195" s="208">
        <v>1.1761591343164443E-15</v>
      </c>
      <c r="H195" s="210">
        <v>1.607653211651703E-14</v>
      </c>
      <c r="I195" s="208">
        <v>7.1048905484703195E-24</v>
      </c>
      <c r="J195" s="208">
        <v>7.1048905484703195E-24</v>
      </c>
      <c r="K195" s="208">
        <v>7.1048905484703195E-24</v>
      </c>
      <c r="L195" s="208">
        <v>0</v>
      </c>
      <c r="M195" s="208">
        <v>0</v>
      </c>
      <c r="N195" s="208">
        <v>0</v>
      </c>
      <c r="O195" s="3">
        <v>360</v>
      </c>
      <c r="P195" s="3">
        <v>360</v>
      </c>
      <c r="Q195" s="3">
        <v>360</v>
      </c>
      <c r="S195" s="4">
        <v>0</v>
      </c>
      <c r="T195" s="4">
        <v>95.5</v>
      </c>
      <c r="U195" s="210"/>
      <c r="V195" s="210">
        <v>1.6076532116517033E-14</v>
      </c>
      <c r="W195" s="3">
        <v>0</v>
      </c>
      <c r="X195" s="3">
        <v>0</v>
      </c>
      <c r="Y195" s="3">
        <f t="shared" si="51"/>
        <v>1</v>
      </c>
      <c r="Z195" s="3">
        <f t="shared" si="52"/>
        <v>1</v>
      </c>
      <c r="AA195" s="3" t="str">
        <f t="shared" si="37"/>
        <v/>
      </c>
      <c r="AB195" s="3" t="str">
        <f t="shared" si="38"/>
        <v/>
      </c>
      <c r="AC195" s="3" t="str">
        <f t="shared" si="39"/>
        <v/>
      </c>
      <c r="AD195" s="3" t="str">
        <f t="shared" si="40"/>
        <v>0</v>
      </c>
      <c r="AE195" s="3">
        <f t="shared" si="41"/>
        <v>0</v>
      </c>
      <c r="AF195" s="3">
        <f t="shared" si="42"/>
        <v>0</v>
      </c>
      <c r="AM195" s="3" t="str">
        <f t="shared" si="43"/>
        <v/>
      </c>
      <c r="AN195" s="3" t="str">
        <f t="shared" si="44"/>
        <v/>
      </c>
      <c r="AO195" s="3" t="str">
        <f t="shared" si="45"/>
        <v/>
      </c>
      <c r="AP195" s="3">
        <f t="shared" si="46"/>
        <v>0</v>
      </c>
      <c r="AQ195" s="3">
        <f t="shared" si="47"/>
        <v>0</v>
      </c>
      <c r="AR195" s="3">
        <f t="shared" si="53"/>
        <v>0</v>
      </c>
      <c r="AS195" s="3" t="e">
        <f t="shared" si="54"/>
        <v>#REF!</v>
      </c>
      <c r="AT195" s="3" t="str">
        <f t="shared" si="48"/>
        <v/>
      </c>
      <c r="AU195" s="3">
        <f t="shared" si="49"/>
        <v>0</v>
      </c>
      <c r="AV195" s="3">
        <f t="shared" si="50"/>
        <v>0</v>
      </c>
      <c r="AW195" s="3">
        <v>382</v>
      </c>
      <c r="AX195" s="3" t="e">
        <f>IF(AND(#REF!="N",OR(AW195=$AX$1,AW195=$AX$2,AW195=$AX$3,AW195=$AX$4,AW195=$AY$1,AW195=$AY$2,AW195=$AY$3,AW195=$AY$4)),0,1)</f>
        <v>#REF!</v>
      </c>
    </row>
    <row r="196" spans="2:50" x14ac:dyDescent="0.2">
      <c r="B196" s="4">
        <v>384</v>
      </c>
      <c r="C196" s="208">
        <v>4.4194173824159217E-8</v>
      </c>
      <c r="D196" s="208">
        <v>4.4194173824159217E-8</v>
      </c>
      <c r="E196" s="208">
        <v>4.4194173824159217E-8</v>
      </c>
      <c r="F196" s="209" t="s">
        <v>714</v>
      </c>
      <c r="G196" s="208">
        <v>4.5335924367700707E-16</v>
      </c>
      <c r="H196" s="210">
        <v>6.1968182949402894E-15</v>
      </c>
      <c r="I196" s="208">
        <v>2.7386326488332112E-24</v>
      </c>
      <c r="J196" s="208">
        <v>2.7386326488332112E-24</v>
      </c>
      <c r="K196" s="208">
        <v>2.7386326488332112E-24</v>
      </c>
      <c r="L196" s="208">
        <v>0</v>
      </c>
      <c r="M196" s="208">
        <v>0</v>
      </c>
      <c r="N196" s="208">
        <v>0</v>
      </c>
      <c r="O196" s="3">
        <v>360</v>
      </c>
      <c r="P196" s="3">
        <v>360</v>
      </c>
      <c r="Q196" s="3">
        <v>360</v>
      </c>
      <c r="S196" s="4">
        <v>0</v>
      </c>
      <c r="T196" s="4">
        <v>96</v>
      </c>
      <c r="U196" s="210"/>
      <c r="V196" s="210">
        <v>6.1968182949402894E-15</v>
      </c>
      <c r="W196" s="3">
        <v>0</v>
      </c>
      <c r="X196" s="3">
        <v>0</v>
      </c>
      <c r="Y196" s="3">
        <f t="shared" si="51"/>
        <v>1</v>
      </c>
      <c r="Z196" s="3">
        <f t="shared" si="52"/>
        <v>1</v>
      </c>
      <c r="AA196" s="3" t="str">
        <f t="shared" si="37"/>
        <v/>
      </c>
      <c r="AB196" s="3" t="str">
        <f t="shared" si="38"/>
        <v/>
      </c>
      <c r="AC196" s="3" t="str">
        <f t="shared" si="39"/>
        <v/>
      </c>
      <c r="AD196" s="3" t="str">
        <f t="shared" si="40"/>
        <v>0</v>
      </c>
      <c r="AE196" s="3">
        <f t="shared" si="41"/>
        <v>0</v>
      </c>
      <c r="AF196" s="3">
        <f t="shared" si="42"/>
        <v>0</v>
      </c>
      <c r="AM196" s="3" t="str">
        <f t="shared" si="43"/>
        <v/>
      </c>
      <c r="AN196" s="3" t="str">
        <f t="shared" si="44"/>
        <v/>
      </c>
      <c r="AO196" s="3" t="str">
        <f t="shared" si="45"/>
        <v/>
      </c>
      <c r="AP196" s="3">
        <f t="shared" si="46"/>
        <v>0</v>
      </c>
      <c r="AQ196" s="3">
        <f t="shared" si="47"/>
        <v>0</v>
      </c>
      <c r="AR196" s="3">
        <f t="shared" si="53"/>
        <v>0</v>
      </c>
      <c r="AS196" s="3" t="e">
        <f t="shared" si="54"/>
        <v>#REF!</v>
      </c>
      <c r="AT196" s="3" t="str">
        <f t="shared" si="48"/>
        <v/>
      </c>
      <c r="AU196" s="3">
        <f t="shared" si="49"/>
        <v>0</v>
      </c>
      <c r="AV196" s="3">
        <f t="shared" si="50"/>
        <v>0</v>
      </c>
      <c r="AW196" s="3">
        <v>384</v>
      </c>
      <c r="AX196" s="3" t="e">
        <f>IF(AND(#REF!="N",OR(AW196=$AX$1,AW196=$AX$2,AW196=$AX$3,AW196=$AX$4,AW196=$AY$1,AW196=$AY$2,AW196=$AY$3,AW196=$AY$4)),0,1)</f>
        <v>#REF!</v>
      </c>
    </row>
    <row r="197" spans="2:50" x14ac:dyDescent="0.2">
      <c r="B197" s="4">
        <v>386</v>
      </c>
      <c r="C197" s="208">
        <v>4.4194173824159217E-8</v>
      </c>
      <c r="D197" s="208">
        <v>4.4194173824159217E-8</v>
      </c>
      <c r="E197" s="208">
        <v>4.4194173824159217E-8</v>
      </c>
      <c r="F197" s="209" t="s">
        <v>714</v>
      </c>
      <c r="G197" s="208">
        <v>4.454523401484755E-16</v>
      </c>
      <c r="H197" s="210">
        <v>6.0887414328815544E-15</v>
      </c>
      <c r="I197" s="208">
        <v>2.6908689725512768E-24</v>
      </c>
      <c r="J197" s="208">
        <v>2.6908689725512768E-24</v>
      </c>
      <c r="K197" s="208">
        <v>2.6908689725512768E-24</v>
      </c>
      <c r="L197" s="208">
        <v>0</v>
      </c>
      <c r="M197" s="208">
        <v>0</v>
      </c>
      <c r="N197" s="208">
        <v>0</v>
      </c>
      <c r="O197" s="3">
        <v>360</v>
      </c>
      <c r="P197" s="3">
        <v>360</v>
      </c>
      <c r="Q197" s="3">
        <v>360</v>
      </c>
      <c r="S197" s="4">
        <v>0</v>
      </c>
      <c r="T197" s="4">
        <v>96.5</v>
      </c>
      <c r="U197" s="210"/>
      <c r="V197" s="210">
        <v>6.0887414328815544E-15</v>
      </c>
      <c r="W197" s="3">
        <v>0</v>
      </c>
      <c r="X197" s="3">
        <v>0</v>
      </c>
      <c r="Y197" s="3">
        <f t="shared" si="51"/>
        <v>1</v>
      </c>
      <c r="Z197" s="3">
        <f t="shared" si="52"/>
        <v>1</v>
      </c>
      <c r="AA197" s="3" t="str">
        <f t="shared" ref="AA197:AA260" si="55">IF(R197="","",$AB$1*(C197/$C$3)^2)</f>
        <v/>
      </c>
      <c r="AB197" s="3" t="str">
        <f t="shared" ref="AB197:AB260" si="56">IF(R197="","",$AB$2*(C197/$C$3)^2)</f>
        <v/>
      </c>
      <c r="AC197" s="3" t="str">
        <f t="shared" ref="AC197:AC260" si="57">IF(R197="","",$AB$3*(C197/$C$3/T197)^2)</f>
        <v/>
      </c>
      <c r="AD197" s="3" t="str">
        <f t="shared" ref="AD197:AD260" si="58">IF(R197="",COMPLEX(0,0),IMDIV(IMPRODUCT(COMPLEX(AA197,AB197),COMPLEX(0,AC197)),COMPLEX(AA197,AB197+AC197)))</f>
        <v>0</v>
      </c>
      <c r="AE197" s="3">
        <f t="shared" ref="AE197:AE260" si="59">IMREAL(AD197)</f>
        <v>0</v>
      </c>
      <c r="AF197" s="3">
        <f t="shared" ref="AF197:AF260" si="60">IMAGINARY(AD197)</f>
        <v>0</v>
      </c>
      <c r="AM197" s="3" t="str">
        <f t="shared" ref="AM197:AM260" si="61">IF(R197="","",IMPRODUCT(COMPLEX(AA197,Y197*AB197),COMPLEX(0,AC197)))</f>
        <v/>
      </c>
      <c r="AN197" s="3" t="str">
        <f t="shared" ref="AN197:AN260" si="62">IF(R197="","",COMPLEX(AA197,Y197*(AB197+AC197)))</f>
        <v/>
      </c>
      <c r="AO197" s="3" t="str">
        <f t="shared" ref="AO197:AO260" si="63">IF(R197="","",IMDIV(AM197,AN197))</f>
        <v/>
      </c>
      <c r="AP197" s="3">
        <f t="shared" ref="AP197:AP260" si="64">IF(R197="",0,IMREAL(AO197))</f>
        <v>0</v>
      </c>
      <c r="AQ197" s="3">
        <f t="shared" ref="AQ197:AQ260" si="65">IF(R197="",0,IMAGINARY(AO197))</f>
        <v>0</v>
      </c>
      <c r="AR197" s="3">
        <f t="shared" si="53"/>
        <v>0</v>
      </c>
      <c r="AS197" s="3" t="e">
        <f t="shared" si="54"/>
        <v>#REF!</v>
      </c>
      <c r="AT197" s="3" t="str">
        <f t="shared" ref="AT197:AT260" si="66">IF(R197="","",IMDIV($AP$3,IMSUM(AO197,$AP$2)))</f>
        <v/>
      </c>
      <c r="AU197" s="3">
        <f t="shared" ref="AU197:AU260" si="67">IF(R197="",0,IMREAL(AT197))</f>
        <v>0</v>
      </c>
      <c r="AV197" s="3">
        <f t="shared" ref="AV197:AV260" si="68">IF(R197="",0,IMAGINARY(AT197))</f>
        <v>0</v>
      </c>
      <c r="AW197" s="3">
        <v>386</v>
      </c>
      <c r="AX197" s="3" t="e">
        <f>IF(AND(#REF!="N",OR(AW197=$AX$1,AW197=$AX$2,AW197=$AX$3,AW197=$AX$4,AW197=$AY$1,AW197=$AY$2,AW197=$AY$3,AW197=$AY$4)),0,1)</f>
        <v>#REF!</v>
      </c>
    </row>
    <row r="198" spans="2:50" x14ac:dyDescent="0.2">
      <c r="B198" s="4">
        <v>388</v>
      </c>
      <c r="C198" s="208">
        <v>0.95766219694255239</v>
      </c>
      <c r="D198" s="208">
        <v>0.95766219694254828</v>
      </c>
      <c r="E198" s="208">
        <v>0.95766219694254773</v>
      </c>
      <c r="F198" s="209" t="s">
        <v>714</v>
      </c>
      <c r="G198" s="208">
        <v>7.5422683277022562E-2</v>
      </c>
      <c r="H198" s="210">
        <v>1.0309278350515401</v>
      </c>
      <c r="I198" s="208">
        <v>9.8728061540468703E-3</v>
      </c>
      <c r="J198" s="208">
        <v>9.8728061540468287E-3</v>
      </c>
      <c r="K198" s="208">
        <v>9.8728061540468218E-3</v>
      </c>
      <c r="L198" s="208">
        <v>1.7100201872087883E-2</v>
      </c>
      <c r="M198" s="208">
        <v>1.7100201872087613E-2</v>
      </c>
      <c r="N198" s="208">
        <v>1.7100201872087935E-2</v>
      </c>
      <c r="O198" s="3">
        <v>240</v>
      </c>
      <c r="P198" s="3">
        <v>240</v>
      </c>
      <c r="Q198" s="3">
        <v>240</v>
      </c>
      <c r="R198" s="4" t="s">
        <v>168</v>
      </c>
      <c r="S198" s="4" t="s">
        <v>168</v>
      </c>
      <c r="T198" s="4">
        <v>97</v>
      </c>
      <c r="U198" s="210"/>
      <c r="V198" s="210">
        <v>1.0309278350515398</v>
      </c>
      <c r="W198" s="3">
        <v>0</v>
      </c>
      <c r="X198" s="3">
        <v>1.0309278350515474</v>
      </c>
      <c r="Y198" s="3">
        <f t="shared" ref="Y198:Y261" si="69">IF($S$3="+",IF(X198&gt;W198,1-B198/$E$2*(1-$Y$1),1+B198/$E$2*(1-$Y$1)),IF(W198&gt;X198,1-B198/$E$2*(1-$Y$1),1+B198/$E$2*(1-$Y$1)))</f>
        <v>1</v>
      </c>
      <c r="Z198" s="3">
        <f t="shared" ref="Z198:Z261" si="70">2-Y198</f>
        <v>1</v>
      </c>
      <c r="AA198" s="3">
        <f t="shared" si="55"/>
        <v>3.000000000000024</v>
      </c>
      <c r="AB198" s="3">
        <f t="shared" si="56"/>
        <v>1.500000000000012</v>
      </c>
      <c r="AC198" s="3">
        <f t="shared" si="57"/>
        <v>1.5942183016261155E-3</v>
      </c>
      <c r="AD198" s="3" t="str">
        <f t="shared" si="58"/>
        <v>6.77453709390729E-07+0.00159387921476839i</v>
      </c>
      <c r="AE198" s="3">
        <f t="shared" si="59"/>
        <v>6.7745370939072897E-7</v>
      </c>
      <c r="AF198" s="3">
        <f t="shared" si="60"/>
        <v>1.59387921476839E-3</v>
      </c>
      <c r="AM198" s="3" t="str">
        <f t="shared" si="61"/>
        <v>-0.0023913274524392+0.00478265490487839i</v>
      </c>
      <c r="AN198" s="3" t="str">
        <f t="shared" si="62"/>
        <v>3.00000000000002+1.50159421830164i</v>
      </c>
      <c r="AO198" s="3" t="str">
        <f t="shared" si="63"/>
        <v>6.77453709390729E-07+0.00159387921476839i</v>
      </c>
      <c r="AP198" s="3">
        <f t="shared" si="64"/>
        <v>6.7745370939072897E-7</v>
      </c>
      <c r="AQ198" s="3">
        <f t="shared" si="65"/>
        <v>1.59387921476839E-3</v>
      </c>
      <c r="AR198" s="3">
        <f t="shared" ref="AR198:AR261" si="71">IF(R198="",0,IF(X198&gt;W198,1,-1)*2*PI()*$Y$2/(B198/2))</f>
        <v>1.6193776564895841</v>
      </c>
      <c r="AS198" s="3" t="e">
        <f t="shared" ref="AS198:AS261" si="72">IF(OR(R198="",S198=0),0,3*$AV$2^2*AP198/AR198)*AX198</f>
        <v>#REF!</v>
      </c>
      <c r="AT198" s="3" t="e">
        <f t="shared" si="66"/>
        <v>#REF!</v>
      </c>
      <c r="AU198" s="3" t="e">
        <f t="shared" si="67"/>
        <v>#REF!</v>
      </c>
      <c r="AV198" s="3" t="e">
        <f t="shared" si="68"/>
        <v>#REF!</v>
      </c>
      <c r="AW198" s="3">
        <v>388</v>
      </c>
      <c r="AX198" s="3" t="e">
        <f>IF(AND(#REF!="N",OR(AW198=$AX$1,AW198=$AX$2,AW198=$AX$3,AW198=$AX$4,AW198=$AY$1,AW198=$AY$2,AW198=$AY$3,AW198=$AY$4)),0,1)</f>
        <v>#REF!</v>
      </c>
    </row>
    <row r="199" spans="2:50" x14ac:dyDescent="0.2">
      <c r="B199" s="4">
        <v>390</v>
      </c>
      <c r="C199" s="208">
        <v>4.4194173824159217E-8</v>
      </c>
      <c r="D199" s="208">
        <v>4.4194173824159217E-8</v>
      </c>
      <c r="E199" s="208">
        <v>4.4194173824159217E-8</v>
      </c>
      <c r="F199" s="209" t="s">
        <v>714</v>
      </c>
      <c r="G199" s="208">
        <v>1.5133907581667139E-15</v>
      </c>
      <c r="H199" s="210">
        <v>2.0686040195272809E-14</v>
      </c>
      <c r="I199" s="208">
        <v>9.1420245612343102E-24</v>
      </c>
      <c r="J199" s="208">
        <v>9.1420245612343102E-24</v>
      </c>
      <c r="K199" s="208">
        <v>9.1420245612343102E-24</v>
      </c>
      <c r="L199" s="208">
        <v>0</v>
      </c>
      <c r="M199" s="208">
        <v>0</v>
      </c>
      <c r="N199" s="208">
        <v>0</v>
      </c>
      <c r="O199" s="3">
        <v>360</v>
      </c>
      <c r="P199" s="3">
        <v>360</v>
      </c>
      <c r="Q199" s="3">
        <v>360</v>
      </c>
      <c r="S199" s="4">
        <v>0</v>
      </c>
      <c r="T199" s="4">
        <v>97.5</v>
      </c>
      <c r="U199" s="210"/>
      <c r="V199" s="210">
        <v>2.0686040195272809E-14</v>
      </c>
      <c r="W199" s="3">
        <v>0</v>
      </c>
      <c r="X199" s="3">
        <v>0</v>
      </c>
      <c r="Y199" s="3">
        <f t="shared" si="69"/>
        <v>1</v>
      </c>
      <c r="Z199" s="3">
        <f t="shared" si="70"/>
        <v>1</v>
      </c>
      <c r="AA199" s="3" t="str">
        <f t="shared" si="55"/>
        <v/>
      </c>
      <c r="AB199" s="3" t="str">
        <f t="shared" si="56"/>
        <v/>
      </c>
      <c r="AC199" s="3" t="str">
        <f t="shared" si="57"/>
        <v/>
      </c>
      <c r="AD199" s="3" t="str">
        <f t="shared" si="58"/>
        <v>0</v>
      </c>
      <c r="AE199" s="3">
        <f t="shared" si="59"/>
        <v>0</v>
      </c>
      <c r="AF199" s="3">
        <f t="shared" si="60"/>
        <v>0</v>
      </c>
      <c r="AM199" s="3" t="str">
        <f t="shared" si="61"/>
        <v/>
      </c>
      <c r="AN199" s="3" t="str">
        <f t="shared" si="62"/>
        <v/>
      </c>
      <c r="AO199" s="3" t="str">
        <f t="shared" si="63"/>
        <v/>
      </c>
      <c r="AP199" s="3">
        <f t="shared" si="64"/>
        <v>0</v>
      </c>
      <c r="AQ199" s="3">
        <f t="shared" si="65"/>
        <v>0</v>
      </c>
      <c r="AR199" s="3">
        <f t="shared" si="71"/>
        <v>0</v>
      </c>
      <c r="AS199" s="3" t="e">
        <f t="shared" si="72"/>
        <v>#REF!</v>
      </c>
      <c r="AT199" s="3" t="str">
        <f t="shared" si="66"/>
        <v/>
      </c>
      <c r="AU199" s="3">
        <f t="shared" si="67"/>
        <v>0</v>
      </c>
      <c r="AV199" s="3">
        <f t="shared" si="68"/>
        <v>0</v>
      </c>
      <c r="AW199" s="3">
        <v>390</v>
      </c>
      <c r="AX199" s="3" t="e">
        <f>IF(AND(#REF!="N",OR(AW199=$AX$1,AW199=$AX$2,AW199=$AX$3,AW199=$AX$4,AW199=$AY$1,AW199=$AY$2,AW199=$AY$3,AW199=$AY$4)),0,1)</f>
        <v>#REF!</v>
      </c>
    </row>
    <row r="200" spans="2:50" x14ac:dyDescent="0.2">
      <c r="B200" s="4">
        <v>392</v>
      </c>
      <c r="C200" s="208">
        <v>4.4194173824159217E-8</v>
      </c>
      <c r="D200" s="208">
        <v>4.4194173824159217E-8</v>
      </c>
      <c r="E200" s="208">
        <v>4.4194173824159217E-8</v>
      </c>
      <c r="F200" s="209" t="s">
        <v>714</v>
      </c>
      <c r="G200" s="208">
        <v>2.9199630240904595E-16</v>
      </c>
      <c r="H200" s="210">
        <v>3.9912013575539289E-15</v>
      </c>
      <c r="I200" s="208">
        <v>1.7638784656295861E-24</v>
      </c>
      <c r="J200" s="208">
        <v>1.7638784656295861E-24</v>
      </c>
      <c r="K200" s="208">
        <v>1.7638784656295861E-24</v>
      </c>
      <c r="L200" s="208">
        <v>0</v>
      </c>
      <c r="M200" s="208">
        <v>0</v>
      </c>
      <c r="N200" s="208">
        <v>0</v>
      </c>
      <c r="O200" s="3">
        <v>360</v>
      </c>
      <c r="P200" s="3">
        <v>360</v>
      </c>
      <c r="Q200" s="3">
        <v>360</v>
      </c>
      <c r="S200" s="4">
        <v>0</v>
      </c>
      <c r="T200" s="4">
        <v>98</v>
      </c>
      <c r="U200" s="210"/>
      <c r="V200" s="210">
        <v>3.9912013575539297E-15</v>
      </c>
      <c r="W200" s="3">
        <v>0</v>
      </c>
      <c r="X200" s="3">
        <v>0</v>
      </c>
      <c r="Y200" s="3">
        <f t="shared" si="69"/>
        <v>1</v>
      </c>
      <c r="Z200" s="3">
        <f t="shared" si="70"/>
        <v>1</v>
      </c>
      <c r="AA200" s="3" t="str">
        <f t="shared" si="55"/>
        <v/>
      </c>
      <c r="AB200" s="3" t="str">
        <f t="shared" si="56"/>
        <v/>
      </c>
      <c r="AC200" s="3" t="str">
        <f t="shared" si="57"/>
        <v/>
      </c>
      <c r="AD200" s="3" t="str">
        <f t="shared" si="58"/>
        <v>0</v>
      </c>
      <c r="AE200" s="3">
        <f t="shared" si="59"/>
        <v>0</v>
      </c>
      <c r="AF200" s="3">
        <f t="shared" si="60"/>
        <v>0</v>
      </c>
      <c r="AM200" s="3" t="str">
        <f t="shared" si="61"/>
        <v/>
      </c>
      <c r="AN200" s="3" t="str">
        <f t="shared" si="62"/>
        <v/>
      </c>
      <c r="AO200" s="3" t="str">
        <f t="shared" si="63"/>
        <v/>
      </c>
      <c r="AP200" s="3">
        <f t="shared" si="64"/>
        <v>0</v>
      </c>
      <c r="AQ200" s="3">
        <f t="shared" si="65"/>
        <v>0</v>
      </c>
      <c r="AR200" s="3">
        <f t="shared" si="71"/>
        <v>0</v>
      </c>
      <c r="AS200" s="3" t="e">
        <f t="shared" si="72"/>
        <v>#REF!</v>
      </c>
      <c r="AT200" s="3" t="str">
        <f t="shared" si="66"/>
        <v/>
      </c>
      <c r="AU200" s="3">
        <f t="shared" si="67"/>
        <v>0</v>
      </c>
      <c r="AV200" s="3">
        <f t="shared" si="68"/>
        <v>0</v>
      </c>
      <c r="AW200" s="3">
        <v>392</v>
      </c>
      <c r="AX200" s="3" t="e">
        <f>IF(AND(#REF!="N",OR(AW200=$AX$1,AW200=$AX$2,AW200=$AX$3,AW200=$AX$4,AW200=$AY$1,AW200=$AY$2,AW200=$AY$3,AW200=$AY$4)),0,1)</f>
        <v>#REF!</v>
      </c>
    </row>
    <row r="201" spans="2:50" x14ac:dyDescent="0.2">
      <c r="B201" s="4">
        <v>394</v>
      </c>
      <c r="C201" s="208">
        <v>4.4194173824159217E-8</v>
      </c>
      <c r="D201" s="208">
        <v>4.4194173824159217E-8</v>
      </c>
      <c r="E201" s="208">
        <v>4.4194173824159217E-8</v>
      </c>
      <c r="F201" s="209" t="s">
        <v>714</v>
      </c>
      <c r="G201" s="208">
        <v>3.0220221869660694E-16</v>
      </c>
      <c r="H201" s="210">
        <v>4.1307026683785187E-15</v>
      </c>
      <c r="I201" s="208">
        <v>1.8255299174223857E-24</v>
      </c>
      <c r="J201" s="208">
        <v>1.8255299174223857E-24</v>
      </c>
      <c r="K201" s="208">
        <v>1.8255299174223857E-24</v>
      </c>
      <c r="L201" s="208">
        <v>0</v>
      </c>
      <c r="M201" s="208">
        <v>0</v>
      </c>
      <c r="N201" s="208">
        <v>0</v>
      </c>
      <c r="O201" s="3">
        <v>360</v>
      </c>
      <c r="P201" s="3">
        <v>360</v>
      </c>
      <c r="Q201" s="3">
        <v>360</v>
      </c>
      <c r="S201" s="4">
        <v>0</v>
      </c>
      <c r="T201" s="4">
        <v>98.5</v>
      </c>
      <c r="U201" s="210"/>
      <c r="V201" s="210">
        <v>4.1307026683785187E-15</v>
      </c>
      <c r="W201" s="3">
        <v>0</v>
      </c>
      <c r="X201" s="3">
        <v>0</v>
      </c>
      <c r="Y201" s="3">
        <f t="shared" si="69"/>
        <v>1</v>
      </c>
      <c r="Z201" s="3">
        <f t="shared" si="70"/>
        <v>1</v>
      </c>
      <c r="AA201" s="3" t="str">
        <f t="shared" si="55"/>
        <v/>
      </c>
      <c r="AB201" s="3" t="str">
        <f t="shared" si="56"/>
        <v/>
      </c>
      <c r="AC201" s="3" t="str">
        <f t="shared" si="57"/>
        <v/>
      </c>
      <c r="AD201" s="3" t="str">
        <f t="shared" si="58"/>
        <v>0</v>
      </c>
      <c r="AE201" s="3">
        <f t="shared" si="59"/>
        <v>0</v>
      </c>
      <c r="AF201" s="3">
        <f t="shared" si="60"/>
        <v>0</v>
      </c>
      <c r="AM201" s="3" t="str">
        <f t="shared" si="61"/>
        <v/>
      </c>
      <c r="AN201" s="3" t="str">
        <f t="shared" si="62"/>
        <v/>
      </c>
      <c r="AO201" s="3" t="str">
        <f t="shared" si="63"/>
        <v/>
      </c>
      <c r="AP201" s="3">
        <f t="shared" si="64"/>
        <v>0</v>
      </c>
      <c r="AQ201" s="3">
        <f t="shared" si="65"/>
        <v>0</v>
      </c>
      <c r="AR201" s="3">
        <f t="shared" si="71"/>
        <v>0</v>
      </c>
      <c r="AS201" s="3" t="e">
        <f t="shared" si="72"/>
        <v>#REF!</v>
      </c>
      <c r="AT201" s="3" t="str">
        <f t="shared" si="66"/>
        <v/>
      </c>
      <c r="AU201" s="3">
        <f t="shared" si="67"/>
        <v>0</v>
      </c>
      <c r="AV201" s="3">
        <f t="shared" si="68"/>
        <v>0</v>
      </c>
      <c r="AW201" s="3">
        <v>394</v>
      </c>
      <c r="AX201" s="3" t="e">
        <f>IF(AND(#REF!="N",OR(AW201=$AX$1,AW201=$AX$2,AW201=$AX$3,AW201=$AX$4,AW201=$AY$1,AW201=$AY$2,AW201=$AY$3,AW201=$AY$4)),0,1)</f>
        <v>#REF!</v>
      </c>
    </row>
    <row r="202" spans="2:50" x14ac:dyDescent="0.2">
      <c r="B202" s="4">
        <v>396</v>
      </c>
      <c r="C202" s="208">
        <v>0.65328148243819029</v>
      </c>
      <c r="D202" s="208">
        <v>0.65328148243818873</v>
      </c>
      <c r="E202" s="208">
        <v>0.65328148243819029</v>
      </c>
      <c r="F202" s="209" t="s">
        <v>714</v>
      </c>
      <c r="G202" s="208">
        <v>6.9560162372326531E-16</v>
      </c>
      <c r="H202" s="210">
        <v>9.5079496624304018E-15</v>
      </c>
      <c r="I202" s="208">
        <v>6.2113674504202244E-17</v>
      </c>
      <c r="J202" s="208">
        <v>6.2113674504202096E-17</v>
      </c>
      <c r="K202" s="208">
        <v>6.2113674504202244E-17</v>
      </c>
      <c r="L202" s="208">
        <v>1.1662363146599623E-30</v>
      </c>
      <c r="M202" s="208">
        <v>1.3913625994079643E-30</v>
      </c>
      <c r="N202" s="208">
        <v>2.5576349661462492E-31</v>
      </c>
      <c r="O202" s="3">
        <v>0</v>
      </c>
      <c r="P202" s="3">
        <v>360</v>
      </c>
      <c r="Q202" s="3">
        <v>0</v>
      </c>
      <c r="S202" s="4">
        <v>0</v>
      </c>
      <c r="T202" s="4">
        <v>99</v>
      </c>
      <c r="U202" s="210"/>
      <c r="V202" s="210">
        <v>9.5079496624304018E-15</v>
      </c>
      <c r="W202" s="3">
        <v>0</v>
      </c>
      <c r="X202" s="3">
        <v>0</v>
      </c>
      <c r="Y202" s="3">
        <f t="shared" si="69"/>
        <v>1</v>
      </c>
      <c r="Z202" s="3">
        <f t="shared" si="70"/>
        <v>1</v>
      </c>
      <c r="AA202" s="3" t="str">
        <f t="shared" si="55"/>
        <v/>
      </c>
      <c r="AB202" s="3" t="str">
        <f t="shared" si="56"/>
        <v/>
      </c>
      <c r="AC202" s="3" t="str">
        <f t="shared" si="57"/>
        <v/>
      </c>
      <c r="AD202" s="3" t="str">
        <f t="shared" si="58"/>
        <v>0</v>
      </c>
      <c r="AE202" s="3">
        <f t="shared" si="59"/>
        <v>0</v>
      </c>
      <c r="AF202" s="3">
        <f t="shared" si="60"/>
        <v>0</v>
      </c>
      <c r="AM202" s="3" t="str">
        <f t="shared" si="61"/>
        <v/>
      </c>
      <c r="AN202" s="3" t="str">
        <f t="shared" si="62"/>
        <v/>
      </c>
      <c r="AO202" s="3" t="str">
        <f t="shared" si="63"/>
        <v/>
      </c>
      <c r="AP202" s="3">
        <f t="shared" si="64"/>
        <v>0</v>
      </c>
      <c r="AQ202" s="3">
        <f t="shared" si="65"/>
        <v>0</v>
      </c>
      <c r="AR202" s="3">
        <f t="shared" si="71"/>
        <v>0</v>
      </c>
      <c r="AS202" s="3" t="e">
        <f t="shared" si="72"/>
        <v>#REF!</v>
      </c>
      <c r="AT202" s="3" t="str">
        <f t="shared" si="66"/>
        <v/>
      </c>
      <c r="AU202" s="3">
        <f t="shared" si="67"/>
        <v>0</v>
      </c>
      <c r="AV202" s="3">
        <f t="shared" si="68"/>
        <v>0</v>
      </c>
      <c r="AW202" s="3">
        <v>396</v>
      </c>
      <c r="AX202" s="3" t="e">
        <f>IF(AND(#REF!="N",OR(AW202=$AX$1,AW202=$AX$2,AW202=$AX$3,AW202=$AX$4,AW202=$AY$1,AW202=$AY$2,AW202=$AY$3,AW202=$AY$4)),0,1)</f>
        <v>#REF!</v>
      </c>
    </row>
    <row r="203" spans="2:50" x14ac:dyDescent="0.2">
      <c r="B203" s="4">
        <v>398</v>
      </c>
      <c r="C203" s="208">
        <v>4.4194173824159217E-8</v>
      </c>
      <c r="D203" s="208">
        <v>4.4194173824159217E-8</v>
      </c>
      <c r="E203" s="208">
        <v>4.4194173824159217E-8</v>
      </c>
      <c r="F203" s="209" t="s">
        <v>714</v>
      </c>
      <c r="G203" s="208">
        <v>4.7634670201308048E-16</v>
      </c>
      <c r="H203" s="210">
        <v>6.5110262974413804E-15</v>
      </c>
      <c r="I203" s="208">
        <v>2.8774942796279615E-24</v>
      </c>
      <c r="J203" s="208">
        <v>2.8774942796279615E-24</v>
      </c>
      <c r="K203" s="208">
        <v>2.8774942796279615E-24</v>
      </c>
      <c r="L203" s="208">
        <v>0</v>
      </c>
      <c r="M203" s="208">
        <v>0</v>
      </c>
      <c r="N203" s="208">
        <v>0</v>
      </c>
      <c r="O203" s="3">
        <v>360</v>
      </c>
      <c r="P203" s="3">
        <v>360</v>
      </c>
      <c r="Q203" s="3">
        <v>360</v>
      </c>
      <c r="S203" s="4">
        <v>0</v>
      </c>
      <c r="T203" s="4">
        <v>99.5</v>
      </c>
      <c r="U203" s="210"/>
      <c r="V203" s="210">
        <v>6.5110262974413796E-15</v>
      </c>
      <c r="W203" s="3">
        <v>0</v>
      </c>
      <c r="X203" s="3">
        <v>0</v>
      </c>
      <c r="Y203" s="3">
        <f t="shared" si="69"/>
        <v>1</v>
      </c>
      <c r="Z203" s="3">
        <f t="shared" si="70"/>
        <v>1</v>
      </c>
      <c r="AA203" s="3" t="str">
        <f t="shared" si="55"/>
        <v/>
      </c>
      <c r="AB203" s="3" t="str">
        <f t="shared" si="56"/>
        <v/>
      </c>
      <c r="AC203" s="3" t="str">
        <f t="shared" si="57"/>
        <v/>
      </c>
      <c r="AD203" s="3" t="str">
        <f t="shared" si="58"/>
        <v>0</v>
      </c>
      <c r="AE203" s="3">
        <f t="shared" si="59"/>
        <v>0</v>
      </c>
      <c r="AF203" s="3">
        <f t="shared" si="60"/>
        <v>0</v>
      </c>
      <c r="AM203" s="3" t="str">
        <f t="shared" si="61"/>
        <v/>
      </c>
      <c r="AN203" s="3" t="str">
        <f t="shared" si="62"/>
        <v/>
      </c>
      <c r="AO203" s="3" t="str">
        <f t="shared" si="63"/>
        <v/>
      </c>
      <c r="AP203" s="3">
        <f t="shared" si="64"/>
        <v>0</v>
      </c>
      <c r="AQ203" s="3">
        <f t="shared" si="65"/>
        <v>0</v>
      </c>
      <c r="AR203" s="3">
        <f t="shared" si="71"/>
        <v>0</v>
      </c>
      <c r="AS203" s="3" t="e">
        <f t="shared" si="72"/>
        <v>#REF!</v>
      </c>
      <c r="AT203" s="3" t="str">
        <f t="shared" si="66"/>
        <v/>
      </c>
      <c r="AU203" s="3">
        <f t="shared" si="67"/>
        <v>0</v>
      </c>
      <c r="AV203" s="3">
        <f t="shared" si="68"/>
        <v>0</v>
      </c>
      <c r="AW203" s="3">
        <v>398</v>
      </c>
      <c r="AX203" s="3" t="e">
        <f>IF(AND(#REF!="N",OR(AW203=$AX$1,AW203=$AX$2,AW203=$AX$3,AW203=$AX$4,AW203=$AY$1,AW203=$AY$2,AW203=$AY$3,AW203=$AY$4)),0,1)</f>
        <v>#REF!</v>
      </c>
    </row>
    <row r="204" spans="2:50" x14ac:dyDescent="0.2">
      <c r="B204" s="4">
        <v>400</v>
      </c>
      <c r="C204" s="208">
        <v>4.4194173824159217E-8</v>
      </c>
      <c r="D204" s="208">
        <v>4.4194173824159217E-8</v>
      </c>
      <c r="E204" s="208">
        <v>4.4194173824159217E-8</v>
      </c>
      <c r="F204" s="209" t="s">
        <v>714</v>
      </c>
      <c r="G204" s="208">
        <v>6.4410866503095034E-16</v>
      </c>
      <c r="H204" s="210">
        <v>8.8041093571195039E-15</v>
      </c>
      <c r="I204" s="208">
        <v>3.8909033929544601E-24</v>
      </c>
      <c r="J204" s="208">
        <v>3.8909033929544601E-24</v>
      </c>
      <c r="K204" s="208">
        <v>3.8909033929544601E-24</v>
      </c>
      <c r="L204" s="208">
        <v>0</v>
      </c>
      <c r="M204" s="208">
        <v>0</v>
      </c>
      <c r="N204" s="208">
        <v>0</v>
      </c>
      <c r="O204" s="3">
        <v>360</v>
      </c>
      <c r="P204" s="3">
        <v>360</v>
      </c>
      <c r="Q204" s="3">
        <v>360</v>
      </c>
      <c r="S204" s="4">
        <v>0</v>
      </c>
      <c r="T204" s="4">
        <v>100</v>
      </c>
      <c r="U204" s="210"/>
      <c r="V204" s="210">
        <v>8.8041093571195055E-15</v>
      </c>
      <c r="W204" s="3">
        <v>0</v>
      </c>
      <c r="X204" s="3">
        <v>0</v>
      </c>
      <c r="Y204" s="3">
        <f t="shared" si="69"/>
        <v>1</v>
      </c>
      <c r="Z204" s="3">
        <f t="shared" si="70"/>
        <v>1</v>
      </c>
      <c r="AA204" s="3" t="str">
        <f t="shared" si="55"/>
        <v/>
      </c>
      <c r="AB204" s="3" t="str">
        <f t="shared" si="56"/>
        <v/>
      </c>
      <c r="AC204" s="3" t="str">
        <f t="shared" si="57"/>
        <v/>
      </c>
      <c r="AD204" s="3" t="str">
        <f t="shared" si="58"/>
        <v>0</v>
      </c>
      <c r="AE204" s="3">
        <f t="shared" si="59"/>
        <v>0</v>
      </c>
      <c r="AF204" s="3">
        <f t="shared" si="60"/>
        <v>0</v>
      </c>
      <c r="AM204" s="3" t="str">
        <f t="shared" si="61"/>
        <v/>
      </c>
      <c r="AN204" s="3" t="str">
        <f t="shared" si="62"/>
        <v/>
      </c>
      <c r="AO204" s="3" t="str">
        <f t="shared" si="63"/>
        <v/>
      </c>
      <c r="AP204" s="3">
        <f t="shared" si="64"/>
        <v>0</v>
      </c>
      <c r="AQ204" s="3">
        <f t="shared" si="65"/>
        <v>0</v>
      </c>
      <c r="AR204" s="3">
        <f t="shared" si="71"/>
        <v>0</v>
      </c>
      <c r="AS204" s="3" t="e">
        <f t="shared" si="72"/>
        <v>#REF!</v>
      </c>
      <c r="AT204" s="3" t="str">
        <f t="shared" si="66"/>
        <v/>
      </c>
      <c r="AU204" s="3">
        <f t="shared" si="67"/>
        <v>0</v>
      </c>
      <c r="AV204" s="3">
        <f t="shared" si="68"/>
        <v>0</v>
      </c>
      <c r="AW204" s="3">
        <v>400</v>
      </c>
      <c r="AX204" s="3" t="e">
        <f>IF(AND(#REF!="N",OR(AW204=$AX$1,AW204=$AX$2,AW204=$AX$3,AW204=$AX$4,AW204=$AY$1,AW204=$AY$2,AW204=$AY$3,AW204=$AY$4)),0,1)</f>
        <v>#REF!</v>
      </c>
    </row>
    <row r="205" spans="2:50" x14ac:dyDescent="0.2">
      <c r="B205" s="4">
        <v>402</v>
      </c>
      <c r="C205" s="208">
        <v>4.4194173824159217E-8</v>
      </c>
      <c r="D205" s="208">
        <v>4.4194173824159217E-8</v>
      </c>
      <c r="E205" s="208">
        <v>4.4194173824159217E-8</v>
      </c>
      <c r="F205" s="209" t="s">
        <v>714</v>
      </c>
      <c r="G205" s="208">
        <v>3.4311238167330728E-16</v>
      </c>
      <c r="H205" s="210">
        <v>4.6898902219990628E-15</v>
      </c>
      <c r="I205" s="208">
        <v>2.0726582368725123E-24</v>
      </c>
      <c r="J205" s="208">
        <v>2.0726582368725123E-24</v>
      </c>
      <c r="K205" s="208">
        <v>2.0726582368725123E-24</v>
      </c>
      <c r="L205" s="208">
        <v>0</v>
      </c>
      <c r="M205" s="208">
        <v>0</v>
      </c>
      <c r="N205" s="208">
        <v>0</v>
      </c>
      <c r="O205" s="3">
        <v>360</v>
      </c>
      <c r="P205" s="3">
        <v>360</v>
      </c>
      <c r="Q205" s="3">
        <v>360</v>
      </c>
      <c r="S205" s="4">
        <v>0</v>
      </c>
      <c r="T205" s="4">
        <v>100.5</v>
      </c>
      <c r="U205" s="210"/>
      <c r="V205" s="210">
        <v>4.6898902219990628E-15</v>
      </c>
      <c r="W205" s="3">
        <v>0</v>
      </c>
      <c r="X205" s="3">
        <v>0</v>
      </c>
      <c r="Y205" s="3">
        <f t="shared" si="69"/>
        <v>1</v>
      </c>
      <c r="Z205" s="3">
        <f t="shared" si="70"/>
        <v>1</v>
      </c>
      <c r="AA205" s="3" t="str">
        <f t="shared" si="55"/>
        <v/>
      </c>
      <c r="AB205" s="3" t="str">
        <f t="shared" si="56"/>
        <v/>
      </c>
      <c r="AC205" s="3" t="str">
        <f t="shared" si="57"/>
        <v/>
      </c>
      <c r="AD205" s="3" t="str">
        <f t="shared" si="58"/>
        <v>0</v>
      </c>
      <c r="AE205" s="3">
        <f t="shared" si="59"/>
        <v>0</v>
      </c>
      <c r="AF205" s="3">
        <f t="shared" si="60"/>
        <v>0</v>
      </c>
      <c r="AM205" s="3" t="str">
        <f t="shared" si="61"/>
        <v/>
      </c>
      <c r="AN205" s="3" t="str">
        <f t="shared" si="62"/>
        <v/>
      </c>
      <c r="AO205" s="3" t="str">
        <f t="shared" si="63"/>
        <v/>
      </c>
      <c r="AP205" s="3">
        <f t="shared" si="64"/>
        <v>0</v>
      </c>
      <c r="AQ205" s="3">
        <f t="shared" si="65"/>
        <v>0</v>
      </c>
      <c r="AR205" s="3">
        <f t="shared" si="71"/>
        <v>0</v>
      </c>
      <c r="AS205" s="3" t="e">
        <f t="shared" si="72"/>
        <v>#REF!</v>
      </c>
      <c r="AT205" s="3" t="str">
        <f t="shared" si="66"/>
        <v/>
      </c>
      <c r="AU205" s="3">
        <f t="shared" si="67"/>
        <v>0</v>
      </c>
      <c r="AV205" s="3">
        <f t="shared" si="68"/>
        <v>0</v>
      </c>
      <c r="AW205" s="3">
        <v>402</v>
      </c>
      <c r="AX205" s="3" t="e">
        <f>IF(AND(#REF!="N",OR(AW205=$AX$1,AW205=$AX$2,AW205=$AX$3,AW205=$AX$4,AW205=$AY$1,AW205=$AY$2,AW205=$AY$3,AW205=$AY$4)),0,1)</f>
        <v>#REF!</v>
      </c>
    </row>
    <row r="206" spans="2:50" x14ac:dyDescent="0.2">
      <c r="B206" s="4">
        <v>404</v>
      </c>
      <c r="C206" s="208">
        <v>0.2053349539630763</v>
      </c>
      <c r="D206" s="208">
        <v>0.20533495396306894</v>
      </c>
      <c r="E206" s="208">
        <v>0.20533495396307982</v>
      </c>
      <c r="F206" s="209" t="s">
        <v>714</v>
      </c>
      <c r="G206" s="208">
        <v>1.5531123760524367E-2</v>
      </c>
      <c r="H206" s="210">
        <v>0.21228981917211626</v>
      </c>
      <c r="I206" s="208">
        <v>4.3590520246536283E-4</v>
      </c>
      <c r="J206" s="208">
        <v>4.3590520246534722E-4</v>
      </c>
      <c r="K206" s="208">
        <v>4.3590520246537031E-4</v>
      </c>
      <c r="L206" s="208">
        <v>7.550099579536107E-4</v>
      </c>
      <c r="M206" s="208">
        <v>7.5500995795359021E-4</v>
      </c>
      <c r="N206" s="208">
        <v>7.5500995795360496E-4</v>
      </c>
      <c r="O206" s="3">
        <v>120</v>
      </c>
      <c r="P206" s="3">
        <v>120</v>
      </c>
      <c r="Q206" s="3">
        <v>120</v>
      </c>
      <c r="R206" s="4" t="s">
        <v>172</v>
      </c>
      <c r="S206" s="4" t="s">
        <v>172</v>
      </c>
      <c r="T206" s="4">
        <v>101</v>
      </c>
      <c r="U206" s="210"/>
      <c r="V206" s="210">
        <v>0.21228981917211626</v>
      </c>
      <c r="W206" s="3">
        <v>0.21228981917211648</v>
      </c>
      <c r="X206" s="3">
        <v>0</v>
      </c>
      <c r="Y206" s="3">
        <f t="shared" si="69"/>
        <v>1</v>
      </c>
      <c r="Z206" s="3">
        <f t="shared" si="70"/>
        <v>1</v>
      </c>
      <c r="AA206" s="3">
        <f t="shared" si="55"/>
        <v>0.13791844010203722</v>
      </c>
      <c r="AB206" s="3">
        <f t="shared" si="56"/>
        <v>6.8959220051018608E-2</v>
      </c>
      <c r="AC206" s="3">
        <f t="shared" si="57"/>
        <v>6.7600450986196064E-5</v>
      </c>
      <c r="AD206" s="3" t="str">
        <f t="shared" si="58"/>
        <v>2.64969869667245E-08+0.000067587189505267i</v>
      </c>
      <c r="AE206" s="3">
        <f t="shared" si="59"/>
        <v>2.6496986966724501E-8</v>
      </c>
      <c r="AF206" s="3">
        <f t="shared" si="60"/>
        <v>6.7587189505267004E-5</v>
      </c>
      <c r="AM206" s="3" t="str">
        <f t="shared" si="61"/>
        <v>-4.66167437510519E-06+9.32334875021038E-06i</v>
      </c>
      <c r="AN206" s="3" t="str">
        <f t="shared" si="62"/>
        <v>0.137918440102037+0.0690268205020048i</v>
      </c>
      <c r="AO206" s="3" t="str">
        <f t="shared" si="63"/>
        <v>2.64969869667245E-08+0.000067587189505267i</v>
      </c>
      <c r="AP206" s="3">
        <f t="shared" si="64"/>
        <v>2.6496986966724501E-8</v>
      </c>
      <c r="AQ206" s="3">
        <f t="shared" si="65"/>
        <v>6.7587189505267004E-5</v>
      </c>
      <c r="AR206" s="3">
        <f t="shared" si="71"/>
        <v>-1.5552438879157393</v>
      </c>
      <c r="AS206" s="3" t="e">
        <f t="shared" si="72"/>
        <v>#REF!</v>
      </c>
      <c r="AT206" s="3" t="e">
        <f t="shared" si="66"/>
        <v>#REF!</v>
      </c>
      <c r="AU206" s="3" t="e">
        <f t="shared" si="67"/>
        <v>#REF!</v>
      </c>
      <c r="AV206" s="3" t="e">
        <f t="shared" si="68"/>
        <v>#REF!</v>
      </c>
      <c r="AW206" s="3">
        <v>404</v>
      </c>
      <c r="AX206" s="3" t="e">
        <f>IF(AND(#REF!="N",OR(AW206=$AX$1,AW206=$AX$2,AW206=$AX$3,AW206=$AX$4,AW206=$AY$1,AW206=$AY$2,AW206=$AY$3,AW206=$AY$4)),0,1)</f>
        <v>#REF!</v>
      </c>
    </row>
    <row r="207" spans="2:50" x14ac:dyDescent="0.2">
      <c r="B207" s="4">
        <v>406</v>
      </c>
      <c r="C207" s="208">
        <v>4.4194173824159217E-8</v>
      </c>
      <c r="D207" s="208">
        <v>4.4194173824159217E-8</v>
      </c>
      <c r="E207" s="208">
        <v>4.4194173824159217E-8</v>
      </c>
      <c r="F207" s="209" t="s">
        <v>714</v>
      </c>
      <c r="G207" s="208">
        <v>4.0154590279386453E-16</v>
      </c>
      <c r="H207" s="210">
        <v>5.4885987909052395E-15</v>
      </c>
      <c r="I207" s="208">
        <v>2.4256408901633625E-24</v>
      </c>
      <c r="J207" s="208">
        <v>2.4256408901633625E-24</v>
      </c>
      <c r="K207" s="208">
        <v>2.4256408901633625E-24</v>
      </c>
      <c r="L207" s="208">
        <v>0</v>
      </c>
      <c r="M207" s="208">
        <v>0</v>
      </c>
      <c r="N207" s="208">
        <v>0</v>
      </c>
      <c r="O207" s="3">
        <v>360</v>
      </c>
      <c r="P207" s="3">
        <v>360</v>
      </c>
      <c r="Q207" s="3">
        <v>360</v>
      </c>
      <c r="S207" s="4">
        <v>0</v>
      </c>
      <c r="T207" s="4">
        <v>101.5</v>
      </c>
      <c r="U207" s="210"/>
      <c r="V207" s="210">
        <v>5.4885987909052395E-15</v>
      </c>
      <c r="W207" s="3">
        <v>0</v>
      </c>
      <c r="X207" s="3">
        <v>0</v>
      </c>
      <c r="Y207" s="3">
        <f t="shared" si="69"/>
        <v>1</v>
      </c>
      <c r="Z207" s="3">
        <f t="shared" si="70"/>
        <v>1</v>
      </c>
      <c r="AA207" s="3" t="str">
        <f t="shared" si="55"/>
        <v/>
      </c>
      <c r="AB207" s="3" t="str">
        <f t="shared" si="56"/>
        <v/>
      </c>
      <c r="AC207" s="3" t="str">
        <f t="shared" si="57"/>
        <v/>
      </c>
      <c r="AD207" s="3" t="str">
        <f t="shared" si="58"/>
        <v>0</v>
      </c>
      <c r="AE207" s="3">
        <f t="shared" si="59"/>
        <v>0</v>
      </c>
      <c r="AF207" s="3">
        <f t="shared" si="60"/>
        <v>0</v>
      </c>
      <c r="AM207" s="3" t="str">
        <f t="shared" si="61"/>
        <v/>
      </c>
      <c r="AN207" s="3" t="str">
        <f t="shared" si="62"/>
        <v/>
      </c>
      <c r="AO207" s="3" t="str">
        <f t="shared" si="63"/>
        <v/>
      </c>
      <c r="AP207" s="3">
        <f t="shared" si="64"/>
        <v>0</v>
      </c>
      <c r="AQ207" s="3">
        <f t="shared" si="65"/>
        <v>0</v>
      </c>
      <c r="AR207" s="3">
        <f t="shared" si="71"/>
        <v>0</v>
      </c>
      <c r="AS207" s="3" t="e">
        <f t="shared" si="72"/>
        <v>#REF!</v>
      </c>
      <c r="AT207" s="3" t="str">
        <f t="shared" si="66"/>
        <v/>
      </c>
      <c r="AU207" s="3">
        <f t="shared" si="67"/>
        <v>0</v>
      </c>
      <c r="AV207" s="3">
        <f t="shared" si="68"/>
        <v>0</v>
      </c>
      <c r="AW207" s="3">
        <v>406</v>
      </c>
      <c r="AX207" s="3" t="e">
        <f>IF(AND(#REF!="N",OR(AW207=$AX$1,AW207=$AX$2,AW207=$AX$3,AW207=$AX$4,AW207=$AY$1,AW207=$AY$2,AW207=$AY$3,AW207=$AY$4)),0,1)</f>
        <v>#REF!</v>
      </c>
    </row>
    <row r="208" spans="2:50" x14ac:dyDescent="0.2">
      <c r="B208" s="4">
        <v>408</v>
      </c>
      <c r="C208" s="208">
        <v>4.4194173824159217E-8</v>
      </c>
      <c r="D208" s="208">
        <v>4.4194173824159217E-8</v>
      </c>
      <c r="E208" s="208">
        <v>4.4194173824159217E-8</v>
      </c>
      <c r="F208" s="209" t="s">
        <v>714</v>
      </c>
      <c r="G208" s="208">
        <v>8.0377901547996979E-16</v>
      </c>
      <c r="H208" s="210">
        <v>1.0986590827657111E-14</v>
      </c>
      <c r="I208" s="208">
        <v>4.8554330477239164E-24</v>
      </c>
      <c r="J208" s="208">
        <v>4.8554330477239164E-24</v>
      </c>
      <c r="K208" s="208">
        <v>4.8554330477239164E-24</v>
      </c>
      <c r="L208" s="208">
        <v>0</v>
      </c>
      <c r="M208" s="208">
        <v>0</v>
      </c>
      <c r="N208" s="208">
        <v>0</v>
      </c>
      <c r="O208" s="3">
        <v>360</v>
      </c>
      <c r="P208" s="3">
        <v>360</v>
      </c>
      <c r="Q208" s="3">
        <v>360</v>
      </c>
      <c r="S208" s="4">
        <v>0</v>
      </c>
      <c r="T208" s="4">
        <v>102</v>
      </c>
      <c r="U208" s="210"/>
      <c r="V208" s="210">
        <v>1.0986590827657111E-14</v>
      </c>
      <c r="W208" s="3">
        <v>0</v>
      </c>
      <c r="X208" s="3">
        <v>0</v>
      </c>
      <c r="Y208" s="3">
        <f t="shared" si="69"/>
        <v>1</v>
      </c>
      <c r="Z208" s="3">
        <f t="shared" si="70"/>
        <v>1</v>
      </c>
      <c r="AA208" s="3" t="str">
        <f t="shared" si="55"/>
        <v/>
      </c>
      <c r="AB208" s="3" t="str">
        <f t="shared" si="56"/>
        <v/>
      </c>
      <c r="AC208" s="3" t="str">
        <f t="shared" si="57"/>
        <v/>
      </c>
      <c r="AD208" s="3" t="str">
        <f t="shared" si="58"/>
        <v>0</v>
      </c>
      <c r="AE208" s="3">
        <f t="shared" si="59"/>
        <v>0</v>
      </c>
      <c r="AF208" s="3">
        <f t="shared" si="60"/>
        <v>0</v>
      </c>
      <c r="AM208" s="3" t="str">
        <f t="shared" si="61"/>
        <v/>
      </c>
      <c r="AN208" s="3" t="str">
        <f t="shared" si="62"/>
        <v/>
      </c>
      <c r="AO208" s="3" t="str">
        <f t="shared" si="63"/>
        <v/>
      </c>
      <c r="AP208" s="3">
        <f t="shared" si="64"/>
        <v>0</v>
      </c>
      <c r="AQ208" s="3">
        <f t="shared" si="65"/>
        <v>0</v>
      </c>
      <c r="AR208" s="3">
        <f t="shared" si="71"/>
        <v>0</v>
      </c>
      <c r="AS208" s="3" t="e">
        <f t="shared" si="72"/>
        <v>#REF!</v>
      </c>
      <c r="AT208" s="3" t="str">
        <f t="shared" si="66"/>
        <v/>
      </c>
      <c r="AU208" s="3">
        <f t="shared" si="67"/>
        <v>0</v>
      </c>
      <c r="AV208" s="3">
        <f t="shared" si="68"/>
        <v>0</v>
      </c>
      <c r="AW208" s="3">
        <v>408</v>
      </c>
      <c r="AX208" s="3" t="e">
        <f>IF(AND(#REF!="N",OR(AW208=$AX$1,AW208=$AX$2,AW208=$AX$3,AW208=$AX$4,AW208=$AY$1,AW208=$AY$2,AW208=$AY$3,AW208=$AY$4)),0,1)</f>
        <v>#REF!</v>
      </c>
    </row>
    <row r="209" spans="2:50" x14ac:dyDescent="0.2">
      <c r="B209" s="4">
        <v>410</v>
      </c>
      <c r="C209" s="208">
        <v>4.4194173824159217E-8</v>
      </c>
      <c r="D209" s="208">
        <v>4.4194173824159217E-8</v>
      </c>
      <c r="E209" s="208">
        <v>4.4194173824159217E-8</v>
      </c>
      <c r="F209" s="209" t="s">
        <v>714</v>
      </c>
      <c r="G209" s="208">
        <v>7.2102798175933334E-16</v>
      </c>
      <c r="H209" s="210">
        <v>9.8554941822546469E-15</v>
      </c>
      <c r="I209" s="208">
        <v>4.355554230135518E-24</v>
      </c>
      <c r="J209" s="208">
        <v>4.355554230135518E-24</v>
      </c>
      <c r="K209" s="208">
        <v>4.355554230135518E-24</v>
      </c>
      <c r="L209" s="208">
        <v>0</v>
      </c>
      <c r="M209" s="208">
        <v>0</v>
      </c>
      <c r="N209" s="208">
        <v>0</v>
      </c>
      <c r="O209" s="3">
        <v>360</v>
      </c>
      <c r="P209" s="3">
        <v>360</v>
      </c>
      <c r="Q209" s="3">
        <v>360</v>
      </c>
      <c r="S209" s="4">
        <v>0</v>
      </c>
      <c r="T209" s="4">
        <v>102.5</v>
      </c>
      <c r="U209" s="210"/>
      <c r="V209" s="210">
        <v>9.8554941822546469E-15</v>
      </c>
      <c r="W209" s="3">
        <v>0</v>
      </c>
      <c r="X209" s="3">
        <v>0</v>
      </c>
      <c r="Y209" s="3">
        <f t="shared" si="69"/>
        <v>1</v>
      </c>
      <c r="Z209" s="3">
        <f t="shared" si="70"/>
        <v>1</v>
      </c>
      <c r="AA209" s="3" t="str">
        <f t="shared" si="55"/>
        <v/>
      </c>
      <c r="AB209" s="3" t="str">
        <f t="shared" si="56"/>
        <v/>
      </c>
      <c r="AC209" s="3" t="str">
        <f t="shared" si="57"/>
        <v/>
      </c>
      <c r="AD209" s="3" t="str">
        <f t="shared" si="58"/>
        <v>0</v>
      </c>
      <c r="AE209" s="3">
        <f t="shared" si="59"/>
        <v>0</v>
      </c>
      <c r="AF209" s="3">
        <f t="shared" si="60"/>
        <v>0</v>
      </c>
      <c r="AM209" s="3" t="str">
        <f t="shared" si="61"/>
        <v/>
      </c>
      <c r="AN209" s="3" t="str">
        <f t="shared" si="62"/>
        <v/>
      </c>
      <c r="AO209" s="3" t="str">
        <f t="shared" si="63"/>
        <v/>
      </c>
      <c r="AP209" s="3">
        <f t="shared" si="64"/>
        <v>0</v>
      </c>
      <c r="AQ209" s="3">
        <f t="shared" si="65"/>
        <v>0</v>
      </c>
      <c r="AR209" s="3">
        <f t="shared" si="71"/>
        <v>0</v>
      </c>
      <c r="AS209" s="3" t="e">
        <f t="shared" si="72"/>
        <v>#REF!</v>
      </c>
      <c r="AT209" s="3" t="str">
        <f t="shared" si="66"/>
        <v/>
      </c>
      <c r="AU209" s="3">
        <f t="shared" si="67"/>
        <v>0</v>
      </c>
      <c r="AV209" s="3">
        <f t="shared" si="68"/>
        <v>0</v>
      </c>
      <c r="AW209" s="3">
        <v>410</v>
      </c>
      <c r="AX209" s="3" t="e">
        <f>IF(AND(#REF!="N",OR(AW209=$AX$1,AW209=$AX$2,AW209=$AX$3,AW209=$AX$4,AW209=$AY$1,AW209=$AY$2,AW209=$AY$3,AW209=$AY$4)),0,1)</f>
        <v>#REF!</v>
      </c>
    </row>
    <row r="210" spans="2:50" x14ac:dyDescent="0.2">
      <c r="B210" s="4">
        <v>412</v>
      </c>
      <c r="C210" s="208">
        <v>0.15755905175128707</v>
      </c>
      <c r="D210" s="208">
        <v>0.15755905175127927</v>
      </c>
      <c r="E210" s="208">
        <v>0.15755905175129006</v>
      </c>
      <c r="F210" s="209" t="s">
        <v>714</v>
      </c>
      <c r="G210" s="208">
        <v>1.1686043610915114E-2</v>
      </c>
      <c r="H210" s="210">
        <v>0.15973268407687169</v>
      </c>
      <c r="I210" s="208">
        <v>2.5167330236839812E-4</v>
      </c>
      <c r="J210" s="208">
        <v>2.5167330236838565E-4</v>
      </c>
      <c r="K210" s="208">
        <v>2.5167330236840294E-4</v>
      </c>
      <c r="L210" s="208">
        <v>4.3591094661071513E-4</v>
      </c>
      <c r="M210" s="208">
        <v>4.3591094661069404E-4</v>
      </c>
      <c r="N210" s="208">
        <v>4.3591094661070824E-4</v>
      </c>
      <c r="O210" s="3">
        <v>240</v>
      </c>
      <c r="P210" s="3">
        <v>240</v>
      </c>
      <c r="Q210" s="3">
        <v>240</v>
      </c>
      <c r="R210" s="4" t="s">
        <v>168</v>
      </c>
      <c r="S210" s="4" t="s">
        <v>168</v>
      </c>
      <c r="T210" s="4">
        <v>103</v>
      </c>
      <c r="U210" s="210"/>
      <c r="V210" s="210">
        <v>0.15973268407687169</v>
      </c>
      <c r="W210" s="3">
        <v>0</v>
      </c>
      <c r="X210" s="3">
        <v>0.15973268407687197</v>
      </c>
      <c r="Y210" s="3">
        <f t="shared" si="69"/>
        <v>1</v>
      </c>
      <c r="Z210" s="3">
        <f t="shared" si="70"/>
        <v>1</v>
      </c>
      <c r="AA210" s="3">
        <f t="shared" si="55"/>
        <v>8.1205095784418452E-2</v>
      </c>
      <c r="AB210" s="3">
        <f t="shared" si="56"/>
        <v>4.0602547892209226E-2</v>
      </c>
      <c r="AC210" s="3">
        <f t="shared" si="57"/>
        <v>3.8271795543603758E-5</v>
      </c>
      <c r="AD210" s="3" t="str">
        <f t="shared" si="58"/>
        <v>1.44244940150566E-08+0.0000382645764983618i</v>
      </c>
      <c r="AE210" s="3">
        <f t="shared" si="59"/>
        <v>1.4424494015056601E-8</v>
      </c>
      <c r="AF210" s="3">
        <f t="shared" si="60"/>
        <v>3.8264576498361803E-5</v>
      </c>
      <c r="AM210" s="3" t="str">
        <f t="shared" si="61"/>
        <v>-1.55393241148001E-06+3.10786482296003E-06i</v>
      </c>
      <c r="AN210" s="3" t="str">
        <f t="shared" si="62"/>
        <v>0.0812050957844185+0.0406408196877528i</v>
      </c>
      <c r="AO210" s="3" t="str">
        <f t="shared" si="63"/>
        <v>1.44244940150566E-08+0.0000382645764983618i</v>
      </c>
      <c r="AP210" s="3">
        <f t="shared" si="64"/>
        <v>1.4424494015056601E-8</v>
      </c>
      <c r="AQ210" s="3">
        <f t="shared" si="65"/>
        <v>3.8264576498361803E-5</v>
      </c>
      <c r="AR210" s="3">
        <f t="shared" si="71"/>
        <v>1.5250449774707735</v>
      </c>
      <c r="AS210" s="3" t="e">
        <f t="shared" si="72"/>
        <v>#REF!</v>
      </c>
      <c r="AT210" s="3" t="e">
        <f t="shared" si="66"/>
        <v>#REF!</v>
      </c>
      <c r="AU210" s="3" t="e">
        <f t="shared" si="67"/>
        <v>#REF!</v>
      </c>
      <c r="AV210" s="3" t="e">
        <f t="shared" si="68"/>
        <v>#REF!</v>
      </c>
      <c r="AW210" s="3">
        <v>412</v>
      </c>
      <c r="AX210" s="3" t="e">
        <f>IF(AND(#REF!="N",OR(AW210=$AX$1,AW210=$AX$2,AW210=$AX$3,AW210=$AX$4,AW210=$AY$1,AW210=$AY$2,AW210=$AY$3,AW210=$AY$4)),0,1)</f>
        <v>#REF!</v>
      </c>
    </row>
    <row r="211" spans="2:50" x14ac:dyDescent="0.2">
      <c r="B211" s="4">
        <v>414</v>
      </c>
      <c r="C211" s="208">
        <v>4.4194173824159217E-8</v>
      </c>
      <c r="D211" s="208">
        <v>4.4194173824159217E-8</v>
      </c>
      <c r="E211" s="208">
        <v>4.4194173824159217E-8</v>
      </c>
      <c r="F211" s="209" t="s">
        <v>714</v>
      </c>
      <c r="G211" s="208">
        <v>2.1913518467224782E-16</v>
      </c>
      <c r="H211" s="210">
        <v>2.9952867188245984E-15</v>
      </c>
      <c r="I211" s="208">
        <v>1.3237422190492981E-24</v>
      </c>
      <c r="J211" s="208">
        <v>1.3237422190492981E-24</v>
      </c>
      <c r="K211" s="208">
        <v>1.3237422190492981E-24</v>
      </c>
      <c r="L211" s="208">
        <v>0</v>
      </c>
      <c r="M211" s="208">
        <v>0</v>
      </c>
      <c r="N211" s="208">
        <v>0</v>
      </c>
      <c r="O211" s="3">
        <v>360</v>
      </c>
      <c r="P211" s="3">
        <v>360</v>
      </c>
      <c r="Q211" s="3">
        <v>360</v>
      </c>
      <c r="S211" s="4">
        <v>0</v>
      </c>
      <c r="T211" s="4">
        <v>103.5</v>
      </c>
      <c r="U211" s="210"/>
      <c r="V211" s="210">
        <v>2.9952867188245988E-15</v>
      </c>
      <c r="W211" s="3">
        <v>0</v>
      </c>
      <c r="X211" s="3">
        <v>0</v>
      </c>
      <c r="Y211" s="3">
        <f t="shared" si="69"/>
        <v>1</v>
      </c>
      <c r="Z211" s="3">
        <f t="shared" si="70"/>
        <v>1</v>
      </c>
      <c r="AA211" s="3" t="str">
        <f t="shared" si="55"/>
        <v/>
      </c>
      <c r="AB211" s="3" t="str">
        <f t="shared" si="56"/>
        <v/>
      </c>
      <c r="AC211" s="3" t="str">
        <f t="shared" si="57"/>
        <v/>
      </c>
      <c r="AD211" s="3" t="str">
        <f t="shared" si="58"/>
        <v>0</v>
      </c>
      <c r="AE211" s="3">
        <f t="shared" si="59"/>
        <v>0</v>
      </c>
      <c r="AF211" s="3">
        <f t="shared" si="60"/>
        <v>0</v>
      </c>
      <c r="AM211" s="3" t="str">
        <f t="shared" si="61"/>
        <v/>
      </c>
      <c r="AN211" s="3" t="str">
        <f t="shared" si="62"/>
        <v/>
      </c>
      <c r="AO211" s="3" t="str">
        <f t="shared" si="63"/>
        <v/>
      </c>
      <c r="AP211" s="3">
        <f t="shared" si="64"/>
        <v>0</v>
      </c>
      <c r="AQ211" s="3">
        <f t="shared" si="65"/>
        <v>0</v>
      </c>
      <c r="AR211" s="3">
        <f t="shared" si="71"/>
        <v>0</v>
      </c>
      <c r="AS211" s="3" t="e">
        <f t="shared" si="72"/>
        <v>#REF!</v>
      </c>
      <c r="AT211" s="3" t="str">
        <f t="shared" si="66"/>
        <v/>
      </c>
      <c r="AU211" s="3">
        <f t="shared" si="67"/>
        <v>0</v>
      </c>
      <c r="AV211" s="3">
        <f t="shared" si="68"/>
        <v>0</v>
      </c>
      <c r="AW211" s="3">
        <v>414</v>
      </c>
      <c r="AX211" s="3" t="e">
        <f>IF(AND(#REF!="N",OR(AW211=$AX$1,AW211=$AX$2,AW211=$AX$3,AW211=$AX$4,AW211=$AY$1,AW211=$AY$2,AW211=$AY$3,AW211=$AY$4)),0,1)</f>
        <v>#REF!</v>
      </c>
    </row>
    <row r="212" spans="2:50" x14ac:dyDescent="0.2">
      <c r="B212" s="4">
        <v>416</v>
      </c>
      <c r="C212" s="208">
        <v>4.4194173824159217E-8</v>
      </c>
      <c r="D212" s="208">
        <v>4.4194173824159217E-8</v>
      </c>
      <c r="E212" s="208">
        <v>4.4194173824159217E-8</v>
      </c>
      <c r="F212" s="209" t="s">
        <v>714</v>
      </c>
      <c r="G212" s="208">
        <v>6.3802643742187485E-16</v>
      </c>
      <c r="H212" s="210">
        <v>8.7209733896773981E-15</v>
      </c>
      <c r="I212" s="208">
        <v>3.8541621389926994E-24</v>
      </c>
      <c r="J212" s="208">
        <v>3.8541621389926994E-24</v>
      </c>
      <c r="K212" s="208">
        <v>3.8541621389926994E-24</v>
      </c>
      <c r="L212" s="208">
        <v>0</v>
      </c>
      <c r="M212" s="208">
        <v>0</v>
      </c>
      <c r="N212" s="208">
        <v>0</v>
      </c>
      <c r="O212" s="3">
        <v>360</v>
      </c>
      <c r="P212" s="3">
        <v>360</v>
      </c>
      <c r="Q212" s="3">
        <v>360</v>
      </c>
      <c r="S212" s="4">
        <v>0</v>
      </c>
      <c r="T212" s="4">
        <v>104</v>
      </c>
      <c r="U212" s="210"/>
      <c r="V212" s="210">
        <v>8.7209733896773981E-15</v>
      </c>
      <c r="W212" s="3">
        <v>0</v>
      </c>
      <c r="X212" s="3">
        <v>0</v>
      </c>
      <c r="Y212" s="3">
        <f t="shared" si="69"/>
        <v>1</v>
      </c>
      <c r="Z212" s="3">
        <f t="shared" si="70"/>
        <v>1</v>
      </c>
      <c r="AA212" s="3" t="str">
        <f t="shared" si="55"/>
        <v/>
      </c>
      <c r="AB212" s="3" t="str">
        <f t="shared" si="56"/>
        <v/>
      </c>
      <c r="AC212" s="3" t="str">
        <f t="shared" si="57"/>
        <v/>
      </c>
      <c r="AD212" s="3" t="str">
        <f t="shared" si="58"/>
        <v>0</v>
      </c>
      <c r="AE212" s="3">
        <f t="shared" si="59"/>
        <v>0</v>
      </c>
      <c r="AF212" s="3">
        <f t="shared" si="60"/>
        <v>0</v>
      </c>
      <c r="AM212" s="3" t="str">
        <f t="shared" si="61"/>
        <v/>
      </c>
      <c r="AN212" s="3" t="str">
        <f t="shared" si="62"/>
        <v/>
      </c>
      <c r="AO212" s="3" t="str">
        <f t="shared" si="63"/>
        <v/>
      </c>
      <c r="AP212" s="3">
        <f t="shared" si="64"/>
        <v>0</v>
      </c>
      <c r="AQ212" s="3">
        <f t="shared" si="65"/>
        <v>0</v>
      </c>
      <c r="AR212" s="3">
        <f t="shared" si="71"/>
        <v>0</v>
      </c>
      <c r="AS212" s="3" t="e">
        <f t="shared" si="72"/>
        <v>#REF!</v>
      </c>
      <c r="AT212" s="3" t="str">
        <f t="shared" si="66"/>
        <v/>
      </c>
      <c r="AU212" s="3">
        <f t="shared" si="67"/>
        <v>0</v>
      </c>
      <c r="AV212" s="3">
        <f t="shared" si="68"/>
        <v>0</v>
      </c>
      <c r="AW212" s="3">
        <v>416</v>
      </c>
      <c r="AX212" s="3" t="e">
        <f>IF(AND(#REF!="N",OR(AW212=$AX$1,AW212=$AX$2,AW212=$AX$3,AW212=$AX$4,AW212=$AY$1,AW212=$AY$2,AW212=$AY$3,AW212=$AY$4)),0,1)</f>
        <v>#REF!</v>
      </c>
    </row>
    <row r="213" spans="2:50" x14ac:dyDescent="0.2">
      <c r="B213" s="4">
        <v>418</v>
      </c>
      <c r="C213" s="208">
        <v>4.4194173824159217E-8</v>
      </c>
      <c r="D213" s="208">
        <v>4.4194173824159217E-8</v>
      </c>
      <c r="E213" s="208">
        <v>4.4194173824159217E-8</v>
      </c>
      <c r="F213" s="209" t="s">
        <v>714</v>
      </c>
      <c r="G213" s="208">
        <v>7.7744400710850908E-16</v>
      </c>
      <c r="H213" s="210">
        <v>1.0626626265447944E-14</v>
      </c>
      <c r="I213" s="208">
        <v>4.6963496833958234E-24</v>
      </c>
      <c r="J213" s="208">
        <v>4.6963496833958234E-24</v>
      </c>
      <c r="K213" s="208">
        <v>4.6963496833958234E-24</v>
      </c>
      <c r="L213" s="208">
        <v>0</v>
      </c>
      <c r="M213" s="208">
        <v>0</v>
      </c>
      <c r="N213" s="208">
        <v>0</v>
      </c>
      <c r="O213" s="3">
        <v>360</v>
      </c>
      <c r="P213" s="3">
        <v>360</v>
      </c>
      <c r="Q213" s="3">
        <v>360</v>
      </c>
      <c r="S213" s="4">
        <v>0</v>
      </c>
      <c r="T213" s="4">
        <v>104.5</v>
      </c>
      <c r="U213" s="210"/>
      <c r="V213" s="210">
        <v>1.0626626265447942E-14</v>
      </c>
      <c r="W213" s="3">
        <v>0</v>
      </c>
      <c r="X213" s="3">
        <v>0</v>
      </c>
      <c r="Y213" s="3">
        <f t="shared" si="69"/>
        <v>1</v>
      </c>
      <c r="Z213" s="3">
        <f t="shared" si="70"/>
        <v>1</v>
      </c>
      <c r="AA213" s="3" t="str">
        <f t="shared" si="55"/>
        <v/>
      </c>
      <c r="AB213" s="3" t="str">
        <f t="shared" si="56"/>
        <v/>
      </c>
      <c r="AC213" s="3" t="str">
        <f t="shared" si="57"/>
        <v/>
      </c>
      <c r="AD213" s="3" t="str">
        <f t="shared" si="58"/>
        <v>0</v>
      </c>
      <c r="AE213" s="3">
        <f t="shared" si="59"/>
        <v>0</v>
      </c>
      <c r="AF213" s="3">
        <f t="shared" si="60"/>
        <v>0</v>
      </c>
      <c r="AM213" s="3" t="str">
        <f t="shared" si="61"/>
        <v/>
      </c>
      <c r="AN213" s="3" t="str">
        <f t="shared" si="62"/>
        <v/>
      </c>
      <c r="AO213" s="3" t="str">
        <f t="shared" si="63"/>
        <v/>
      </c>
      <c r="AP213" s="3">
        <f t="shared" si="64"/>
        <v>0</v>
      </c>
      <c r="AQ213" s="3">
        <f t="shared" si="65"/>
        <v>0</v>
      </c>
      <c r="AR213" s="3">
        <f t="shared" si="71"/>
        <v>0</v>
      </c>
      <c r="AS213" s="3" t="e">
        <f t="shared" si="72"/>
        <v>#REF!</v>
      </c>
      <c r="AT213" s="3" t="str">
        <f t="shared" si="66"/>
        <v/>
      </c>
      <c r="AU213" s="3">
        <f t="shared" si="67"/>
        <v>0</v>
      </c>
      <c r="AV213" s="3">
        <f t="shared" si="68"/>
        <v>0</v>
      </c>
      <c r="AW213" s="3">
        <v>418</v>
      </c>
      <c r="AX213" s="3" t="e">
        <f>IF(AND(#REF!="N",OR(AW213=$AX$1,AW213=$AX$2,AW213=$AX$3,AW213=$AX$4,AW213=$AY$1,AW213=$AY$2,AW213=$AY$3,AW213=$AY$4)),0,1)</f>
        <v>#REF!</v>
      </c>
    </row>
    <row r="214" spans="2:50" x14ac:dyDescent="0.2">
      <c r="B214" s="4">
        <v>420</v>
      </c>
      <c r="C214" s="208">
        <v>0.27059805007310528</v>
      </c>
      <c r="D214" s="208">
        <v>0.27059805007308513</v>
      </c>
      <c r="E214" s="208">
        <v>0.27059805007309862</v>
      </c>
      <c r="F214" s="209" t="s">
        <v>714</v>
      </c>
      <c r="G214" s="208">
        <v>8.4017213256389104E-16</v>
      </c>
      <c r="H214" s="210">
        <v>1.1484036367592366E-14</v>
      </c>
      <c r="I214" s="208">
        <v>3.1075578480391211E-17</v>
      </c>
      <c r="J214" s="208">
        <v>3.10755784803889E-17</v>
      </c>
      <c r="K214" s="208">
        <v>3.1075578480390447E-17</v>
      </c>
      <c r="L214" s="208">
        <v>1.1532764404254998E-30</v>
      </c>
      <c r="M214" s="208">
        <v>2.8091341373646089E-30</v>
      </c>
      <c r="N214" s="208">
        <v>1.7103347496679366E-30</v>
      </c>
      <c r="O214" s="3">
        <v>360</v>
      </c>
      <c r="P214" s="3">
        <v>0</v>
      </c>
      <c r="Q214" s="3">
        <v>360</v>
      </c>
      <c r="S214" s="4">
        <v>0</v>
      </c>
      <c r="T214" s="4">
        <v>105</v>
      </c>
      <c r="U214" s="210"/>
      <c r="V214" s="210">
        <v>1.1484036367592366E-14</v>
      </c>
      <c r="W214" s="3">
        <v>0</v>
      </c>
      <c r="X214" s="3">
        <v>0</v>
      </c>
      <c r="Y214" s="3">
        <f t="shared" si="69"/>
        <v>1</v>
      </c>
      <c r="Z214" s="3">
        <f t="shared" si="70"/>
        <v>1</v>
      </c>
      <c r="AA214" s="3" t="str">
        <f t="shared" si="55"/>
        <v/>
      </c>
      <c r="AB214" s="3" t="str">
        <f t="shared" si="56"/>
        <v/>
      </c>
      <c r="AC214" s="3" t="str">
        <f t="shared" si="57"/>
        <v/>
      </c>
      <c r="AD214" s="3" t="str">
        <f t="shared" si="58"/>
        <v>0</v>
      </c>
      <c r="AE214" s="3">
        <f t="shared" si="59"/>
        <v>0</v>
      </c>
      <c r="AF214" s="3">
        <f t="shared" si="60"/>
        <v>0</v>
      </c>
      <c r="AM214" s="3" t="str">
        <f t="shared" si="61"/>
        <v/>
      </c>
      <c r="AN214" s="3" t="str">
        <f t="shared" si="62"/>
        <v/>
      </c>
      <c r="AO214" s="3" t="str">
        <f t="shared" si="63"/>
        <v/>
      </c>
      <c r="AP214" s="3">
        <f t="shared" si="64"/>
        <v>0</v>
      </c>
      <c r="AQ214" s="3">
        <f t="shared" si="65"/>
        <v>0</v>
      </c>
      <c r="AR214" s="3">
        <f t="shared" si="71"/>
        <v>0</v>
      </c>
      <c r="AS214" s="3" t="e">
        <f t="shared" si="72"/>
        <v>#REF!</v>
      </c>
      <c r="AT214" s="3" t="str">
        <f t="shared" si="66"/>
        <v/>
      </c>
      <c r="AU214" s="3">
        <f t="shared" si="67"/>
        <v>0</v>
      </c>
      <c r="AV214" s="3">
        <f t="shared" si="68"/>
        <v>0</v>
      </c>
      <c r="AW214" s="3">
        <v>420</v>
      </c>
      <c r="AX214" s="3" t="e">
        <f>IF(AND(#REF!="N",OR(AW214=$AX$1,AW214=$AX$2,AW214=$AX$3,AW214=$AX$4,AW214=$AY$1,AW214=$AY$2,AW214=$AY$3,AW214=$AY$4)),0,1)</f>
        <v>#REF!</v>
      </c>
    </row>
    <row r="215" spans="2:50" x14ac:dyDescent="0.2">
      <c r="B215" s="4">
        <v>422</v>
      </c>
      <c r="C215" s="208">
        <v>4.4194173824159217E-8</v>
      </c>
      <c r="D215" s="208">
        <v>4.4194173824159217E-8</v>
      </c>
      <c r="E215" s="208">
        <v>4.4194173824159217E-8</v>
      </c>
      <c r="F215" s="209" t="s">
        <v>714</v>
      </c>
      <c r="G215" s="208">
        <v>5.0554809044256886E-16</v>
      </c>
      <c r="H215" s="210">
        <v>6.9101704652978801E-15</v>
      </c>
      <c r="I215" s="208">
        <v>3.0538927469794569E-24</v>
      </c>
      <c r="J215" s="208">
        <v>3.0538927469794569E-24</v>
      </c>
      <c r="K215" s="208">
        <v>3.0538927469794569E-24</v>
      </c>
      <c r="L215" s="208">
        <v>0</v>
      </c>
      <c r="M215" s="208">
        <v>0</v>
      </c>
      <c r="N215" s="208">
        <v>0</v>
      </c>
      <c r="O215" s="3">
        <v>360</v>
      </c>
      <c r="P215" s="3">
        <v>360</v>
      </c>
      <c r="Q215" s="3">
        <v>360</v>
      </c>
      <c r="S215" s="4">
        <v>0</v>
      </c>
      <c r="T215" s="4">
        <v>105.5</v>
      </c>
      <c r="U215" s="210"/>
      <c r="V215" s="210">
        <v>6.9101704652978801E-15</v>
      </c>
      <c r="W215" s="3">
        <v>0</v>
      </c>
      <c r="X215" s="3">
        <v>0</v>
      </c>
      <c r="Y215" s="3">
        <f t="shared" si="69"/>
        <v>1</v>
      </c>
      <c r="Z215" s="3">
        <f t="shared" si="70"/>
        <v>1</v>
      </c>
      <c r="AA215" s="3" t="str">
        <f t="shared" si="55"/>
        <v/>
      </c>
      <c r="AB215" s="3" t="str">
        <f t="shared" si="56"/>
        <v/>
      </c>
      <c r="AC215" s="3" t="str">
        <f t="shared" si="57"/>
        <v/>
      </c>
      <c r="AD215" s="3" t="str">
        <f t="shared" si="58"/>
        <v>0</v>
      </c>
      <c r="AE215" s="3">
        <f t="shared" si="59"/>
        <v>0</v>
      </c>
      <c r="AF215" s="3">
        <f t="shared" si="60"/>
        <v>0</v>
      </c>
      <c r="AM215" s="3" t="str">
        <f t="shared" si="61"/>
        <v/>
      </c>
      <c r="AN215" s="3" t="str">
        <f t="shared" si="62"/>
        <v/>
      </c>
      <c r="AO215" s="3" t="str">
        <f t="shared" si="63"/>
        <v/>
      </c>
      <c r="AP215" s="3">
        <f t="shared" si="64"/>
        <v>0</v>
      </c>
      <c r="AQ215" s="3">
        <f t="shared" si="65"/>
        <v>0</v>
      </c>
      <c r="AR215" s="3">
        <f t="shared" si="71"/>
        <v>0</v>
      </c>
      <c r="AS215" s="3" t="e">
        <f t="shared" si="72"/>
        <v>#REF!</v>
      </c>
      <c r="AT215" s="3" t="str">
        <f t="shared" si="66"/>
        <v/>
      </c>
      <c r="AU215" s="3">
        <f t="shared" si="67"/>
        <v>0</v>
      </c>
      <c r="AV215" s="3">
        <f t="shared" si="68"/>
        <v>0</v>
      </c>
      <c r="AW215" s="3">
        <v>422</v>
      </c>
      <c r="AX215" s="3" t="e">
        <f>IF(AND(#REF!="N",OR(AW215=$AX$1,AW215=$AX$2,AW215=$AX$3,AW215=$AX$4,AW215=$AY$1,AW215=$AY$2,AW215=$AY$3,AW215=$AY$4)),0,1)</f>
        <v>#REF!</v>
      </c>
    </row>
    <row r="216" spans="2:50" x14ac:dyDescent="0.2">
      <c r="B216" s="4">
        <v>424</v>
      </c>
      <c r="C216" s="208">
        <v>4.4194173824159217E-8</v>
      </c>
      <c r="D216" s="208">
        <v>4.4194173824159217E-8</v>
      </c>
      <c r="E216" s="208">
        <v>4.4194173824159217E-8</v>
      </c>
      <c r="F216" s="209" t="s">
        <v>714</v>
      </c>
      <c r="G216" s="208">
        <v>4.1156364148017971E-16</v>
      </c>
      <c r="H216" s="210">
        <v>5.6255279640302857E-15</v>
      </c>
      <c r="I216" s="208">
        <v>2.4861556069502296E-24</v>
      </c>
      <c r="J216" s="208">
        <v>2.4861556069502296E-24</v>
      </c>
      <c r="K216" s="208">
        <v>2.4861556069502296E-24</v>
      </c>
      <c r="L216" s="208">
        <v>0</v>
      </c>
      <c r="M216" s="208">
        <v>0</v>
      </c>
      <c r="N216" s="208">
        <v>0</v>
      </c>
      <c r="O216" s="3">
        <v>360</v>
      </c>
      <c r="P216" s="3">
        <v>360</v>
      </c>
      <c r="Q216" s="3">
        <v>360</v>
      </c>
      <c r="S216" s="4">
        <v>0</v>
      </c>
      <c r="T216" s="4">
        <v>106</v>
      </c>
      <c r="U216" s="210"/>
      <c r="V216" s="210">
        <v>5.6255279640302857E-15</v>
      </c>
      <c r="W216" s="3">
        <v>0</v>
      </c>
      <c r="X216" s="3">
        <v>0</v>
      </c>
      <c r="Y216" s="3">
        <f t="shared" si="69"/>
        <v>1</v>
      </c>
      <c r="Z216" s="3">
        <f t="shared" si="70"/>
        <v>1</v>
      </c>
      <c r="AA216" s="3" t="str">
        <f t="shared" si="55"/>
        <v/>
      </c>
      <c r="AB216" s="3" t="str">
        <f t="shared" si="56"/>
        <v/>
      </c>
      <c r="AC216" s="3" t="str">
        <f t="shared" si="57"/>
        <v/>
      </c>
      <c r="AD216" s="3" t="str">
        <f t="shared" si="58"/>
        <v>0</v>
      </c>
      <c r="AE216" s="3">
        <f t="shared" si="59"/>
        <v>0</v>
      </c>
      <c r="AF216" s="3">
        <f t="shared" si="60"/>
        <v>0</v>
      </c>
      <c r="AM216" s="3" t="str">
        <f t="shared" si="61"/>
        <v/>
      </c>
      <c r="AN216" s="3" t="str">
        <f t="shared" si="62"/>
        <v/>
      </c>
      <c r="AO216" s="3" t="str">
        <f t="shared" si="63"/>
        <v/>
      </c>
      <c r="AP216" s="3">
        <f t="shared" si="64"/>
        <v>0</v>
      </c>
      <c r="AQ216" s="3">
        <f t="shared" si="65"/>
        <v>0</v>
      </c>
      <c r="AR216" s="3">
        <f t="shared" si="71"/>
        <v>0</v>
      </c>
      <c r="AS216" s="3" t="e">
        <f t="shared" si="72"/>
        <v>#REF!</v>
      </c>
      <c r="AT216" s="3" t="str">
        <f t="shared" si="66"/>
        <v/>
      </c>
      <c r="AU216" s="3">
        <f t="shared" si="67"/>
        <v>0</v>
      </c>
      <c r="AV216" s="3">
        <f t="shared" si="68"/>
        <v>0</v>
      </c>
      <c r="AW216" s="3">
        <v>424</v>
      </c>
      <c r="AX216" s="3" t="e">
        <f>IF(AND(#REF!="N",OR(AW216=$AX$1,AW216=$AX$2,AW216=$AX$3,AW216=$AX$4,AW216=$AY$1,AW216=$AY$2,AW216=$AY$3,AW216=$AY$4)),0,1)</f>
        <v>#REF!</v>
      </c>
    </row>
    <row r="217" spans="2:50" x14ac:dyDescent="0.2">
      <c r="B217" s="4">
        <v>426</v>
      </c>
      <c r="C217" s="208">
        <v>4.4194173824159217E-8</v>
      </c>
      <c r="D217" s="208">
        <v>4.4194173824159217E-8</v>
      </c>
      <c r="E217" s="208">
        <v>4.4194173824159217E-8</v>
      </c>
      <c r="F217" s="209" t="s">
        <v>714</v>
      </c>
      <c r="G217" s="208">
        <v>1.1322253543132653E-15</v>
      </c>
      <c r="H217" s="210">
        <v>1.5476015736876289E-14</v>
      </c>
      <c r="I217" s="208">
        <v>6.8394972958093423E-24</v>
      </c>
      <c r="J217" s="208">
        <v>6.8394972958093423E-24</v>
      </c>
      <c r="K217" s="208">
        <v>6.8394972958093423E-24</v>
      </c>
      <c r="L217" s="208">
        <v>0</v>
      </c>
      <c r="M217" s="208">
        <v>0</v>
      </c>
      <c r="N217" s="208">
        <v>0</v>
      </c>
      <c r="O217" s="3">
        <v>360</v>
      </c>
      <c r="P217" s="3">
        <v>360</v>
      </c>
      <c r="Q217" s="3">
        <v>360</v>
      </c>
      <c r="S217" s="4">
        <v>0</v>
      </c>
      <c r="T217" s="4">
        <v>106.5</v>
      </c>
      <c r="U217" s="210"/>
      <c r="V217" s="210">
        <v>1.5476015736876289E-14</v>
      </c>
      <c r="W217" s="3">
        <v>0</v>
      </c>
      <c r="X217" s="3">
        <v>0</v>
      </c>
      <c r="Y217" s="3">
        <f t="shared" si="69"/>
        <v>1</v>
      </c>
      <c r="Z217" s="3">
        <f t="shared" si="70"/>
        <v>1</v>
      </c>
      <c r="AA217" s="3" t="str">
        <f t="shared" si="55"/>
        <v/>
      </c>
      <c r="AB217" s="3" t="str">
        <f t="shared" si="56"/>
        <v/>
      </c>
      <c r="AC217" s="3" t="str">
        <f t="shared" si="57"/>
        <v/>
      </c>
      <c r="AD217" s="3" t="str">
        <f t="shared" si="58"/>
        <v>0</v>
      </c>
      <c r="AE217" s="3">
        <f t="shared" si="59"/>
        <v>0</v>
      </c>
      <c r="AF217" s="3">
        <f t="shared" si="60"/>
        <v>0</v>
      </c>
      <c r="AM217" s="3" t="str">
        <f t="shared" si="61"/>
        <v/>
      </c>
      <c r="AN217" s="3" t="str">
        <f t="shared" si="62"/>
        <v/>
      </c>
      <c r="AO217" s="3" t="str">
        <f t="shared" si="63"/>
        <v/>
      </c>
      <c r="AP217" s="3">
        <f t="shared" si="64"/>
        <v>0</v>
      </c>
      <c r="AQ217" s="3">
        <f t="shared" si="65"/>
        <v>0</v>
      </c>
      <c r="AR217" s="3">
        <f t="shared" si="71"/>
        <v>0</v>
      </c>
      <c r="AS217" s="3" t="e">
        <f t="shared" si="72"/>
        <v>#REF!</v>
      </c>
      <c r="AT217" s="3" t="str">
        <f t="shared" si="66"/>
        <v/>
      </c>
      <c r="AU217" s="3">
        <f t="shared" si="67"/>
        <v>0</v>
      </c>
      <c r="AV217" s="3">
        <f t="shared" si="68"/>
        <v>0</v>
      </c>
      <c r="AW217" s="3">
        <v>426</v>
      </c>
      <c r="AX217" s="3" t="e">
        <f>IF(AND(#REF!="N",OR(AW217=$AX$1,AW217=$AX$2,AW217=$AX$3,AW217=$AX$4,AW217=$AY$1,AW217=$AY$2,AW217=$AY$3,AW217=$AY$4)),0,1)</f>
        <v>#REF!</v>
      </c>
    </row>
    <row r="218" spans="2:50" x14ac:dyDescent="0.2">
      <c r="B218" s="4">
        <v>428</v>
      </c>
      <c r="C218" s="208">
        <v>0.12607862007250259</v>
      </c>
      <c r="D218" s="208">
        <v>0.12607862007253592</v>
      </c>
      <c r="E218" s="208">
        <v>0.12607862007251866</v>
      </c>
      <c r="F218" s="209" t="s">
        <v>714</v>
      </c>
      <c r="G218" s="208">
        <v>9.0015860647828239E-3</v>
      </c>
      <c r="H218" s="210">
        <v>0.12303971737138931</v>
      </c>
      <c r="I218" s="208">
        <v>1.5512677780295492E-4</v>
      </c>
      <c r="J218" s="208">
        <v>1.5512677780299593E-4</v>
      </c>
      <c r="K218" s="208">
        <v>1.5512677780297467E-4</v>
      </c>
      <c r="L218" s="208">
        <v>2.6868746076918527E-4</v>
      </c>
      <c r="M218" s="208">
        <v>2.6868746076919763E-4</v>
      </c>
      <c r="N218" s="208">
        <v>2.6868746076921991E-4</v>
      </c>
      <c r="O218" s="3">
        <v>120</v>
      </c>
      <c r="P218" s="3">
        <v>120</v>
      </c>
      <c r="Q218" s="3">
        <v>120</v>
      </c>
      <c r="R218" s="4" t="s">
        <v>172</v>
      </c>
      <c r="S218" s="4" t="s">
        <v>172</v>
      </c>
      <c r="T218" s="4">
        <v>107</v>
      </c>
      <c r="U218" s="210"/>
      <c r="V218" s="210">
        <v>0.12303971737138931</v>
      </c>
      <c r="W218" s="3">
        <v>0.12303971737139802</v>
      </c>
      <c r="X218" s="3">
        <v>0</v>
      </c>
      <c r="Y218" s="3">
        <f t="shared" si="69"/>
        <v>1</v>
      </c>
      <c r="Z218" s="3">
        <f t="shared" si="70"/>
        <v>1</v>
      </c>
      <c r="AA218" s="3">
        <f t="shared" si="55"/>
        <v>5.1997140362984196E-2</v>
      </c>
      <c r="AB218" s="3">
        <f t="shared" si="56"/>
        <v>2.5998570181492098E-2</v>
      </c>
      <c r="AC218" s="3">
        <f t="shared" si="57"/>
        <v>2.2708158076244304E-5</v>
      </c>
      <c r="AD218" s="3" t="str">
        <f t="shared" si="58"/>
        <v>7.93090181180862E-09+0.00002270418916176i</v>
      </c>
      <c r="AE218" s="3">
        <f t="shared" si="59"/>
        <v>7.9309018118086205E-9</v>
      </c>
      <c r="AF218" s="3">
        <f t="shared" si="60"/>
        <v>2.2704189161760001E-5</v>
      </c>
      <c r="AM218" s="3" t="str">
        <f t="shared" si="61"/>
        <v>-5.90379641437654E-07+1.18075928287531E-06i</v>
      </c>
      <c r="AN218" s="3" t="str">
        <f t="shared" si="62"/>
        <v>0.0519971403629842+0.0260212783395683i</v>
      </c>
      <c r="AO218" s="3" t="str">
        <f t="shared" si="63"/>
        <v>7.93090181180862E-09+0.00002270418916176i</v>
      </c>
      <c r="AP218" s="3">
        <f t="shared" si="64"/>
        <v>7.9309018118086205E-9</v>
      </c>
      <c r="AQ218" s="3">
        <f t="shared" si="65"/>
        <v>2.2704189161760001E-5</v>
      </c>
      <c r="AR218" s="3">
        <f t="shared" si="71"/>
        <v>-1.4680339502756043</v>
      </c>
      <c r="AS218" s="3" t="e">
        <f t="shared" si="72"/>
        <v>#REF!</v>
      </c>
      <c r="AT218" s="3" t="e">
        <f t="shared" si="66"/>
        <v>#REF!</v>
      </c>
      <c r="AU218" s="3" t="e">
        <f t="shared" si="67"/>
        <v>#REF!</v>
      </c>
      <c r="AV218" s="3" t="e">
        <f t="shared" si="68"/>
        <v>#REF!</v>
      </c>
      <c r="AW218" s="3">
        <v>428</v>
      </c>
      <c r="AX218" s="3" t="e">
        <f>IF(AND(#REF!="N",OR(AW218=$AX$1,AW218=$AX$2,AW218=$AX$3,AW218=$AX$4,AW218=$AY$1,AW218=$AY$2,AW218=$AY$3,AW218=$AY$4)),0,1)</f>
        <v>#REF!</v>
      </c>
    </row>
    <row r="219" spans="2:50" x14ac:dyDescent="0.2">
      <c r="B219" s="4">
        <v>430</v>
      </c>
      <c r="C219" s="208">
        <v>4.4194173824159217E-8</v>
      </c>
      <c r="D219" s="208">
        <v>4.4194173824159217E-8</v>
      </c>
      <c r="E219" s="208">
        <v>4.4194173824159217E-8</v>
      </c>
      <c r="F219" s="209" t="s">
        <v>714</v>
      </c>
      <c r="G219" s="208">
        <v>7.0355053774103306E-16</v>
      </c>
      <c r="H219" s="210">
        <v>9.6166007520402664E-15</v>
      </c>
      <c r="I219" s="208">
        <v>4.2499772523320779E-24</v>
      </c>
      <c r="J219" s="208">
        <v>4.2499772523320779E-24</v>
      </c>
      <c r="K219" s="208">
        <v>4.2499772523320779E-24</v>
      </c>
      <c r="L219" s="208">
        <v>0</v>
      </c>
      <c r="M219" s="208">
        <v>0</v>
      </c>
      <c r="N219" s="208">
        <v>0</v>
      </c>
      <c r="O219" s="3">
        <v>360</v>
      </c>
      <c r="P219" s="3">
        <v>360</v>
      </c>
      <c r="Q219" s="3">
        <v>360</v>
      </c>
      <c r="S219" s="4">
        <v>0</v>
      </c>
      <c r="T219" s="4">
        <v>107.5</v>
      </c>
      <c r="U219" s="210"/>
      <c r="V219" s="210">
        <v>9.6166007520402664E-15</v>
      </c>
      <c r="W219" s="3">
        <v>0</v>
      </c>
      <c r="X219" s="3">
        <v>0</v>
      </c>
      <c r="Y219" s="3">
        <f t="shared" si="69"/>
        <v>1</v>
      </c>
      <c r="Z219" s="3">
        <f t="shared" si="70"/>
        <v>1</v>
      </c>
      <c r="AA219" s="3" t="str">
        <f t="shared" si="55"/>
        <v/>
      </c>
      <c r="AB219" s="3" t="str">
        <f t="shared" si="56"/>
        <v/>
      </c>
      <c r="AC219" s="3" t="str">
        <f t="shared" si="57"/>
        <v/>
      </c>
      <c r="AD219" s="3" t="str">
        <f t="shared" si="58"/>
        <v>0</v>
      </c>
      <c r="AE219" s="3">
        <f t="shared" si="59"/>
        <v>0</v>
      </c>
      <c r="AF219" s="3">
        <f t="shared" si="60"/>
        <v>0</v>
      </c>
      <c r="AM219" s="3" t="str">
        <f t="shared" si="61"/>
        <v/>
      </c>
      <c r="AN219" s="3" t="str">
        <f t="shared" si="62"/>
        <v/>
      </c>
      <c r="AO219" s="3" t="str">
        <f t="shared" si="63"/>
        <v/>
      </c>
      <c r="AP219" s="3">
        <f t="shared" si="64"/>
        <v>0</v>
      </c>
      <c r="AQ219" s="3">
        <f t="shared" si="65"/>
        <v>0</v>
      </c>
      <c r="AR219" s="3">
        <f t="shared" si="71"/>
        <v>0</v>
      </c>
      <c r="AS219" s="3" t="e">
        <f t="shared" si="72"/>
        <v>#REF!</v>
      </c>
      <c r="AT219" s="3" t="str">
        <f t="shared" si="66"/>
        <v/>
      </c>
      <c r="AU219" s="3">
        <f t="shared" si="67"/>
        <v>0</v>
      </c>
      <c r="AV219" s="3">
        <f t="shared" si="68"/>
        <v>0</v>
      </c>
      <c r="AW219" s="3">
        <v>430</v>
      </c>
      <c r="AX219" s="3" t="e">
        <f>IF(AND(#REF!="N",OR(AW219=$AX$1,AW219=$AX$2,AW219=$AX$3,AW219=$AX$4,AW219=$AY$1,AW219=$AY$2,AW219=$AY$3,AW219=$AY$4)),0,1)</f>
        <v>#REF!</v>
      </c>
    </row>
    <row r="220" spans="2:50" x14ac:dyDescent="0.2">
      <c r="B220" s="4">
        <v>432</v>
      </c>
      <c r="C220" s="208">
        <v>4.4194173824159217E-8</v>
      </c>
      <c r="D220" s="208">
        <v>4.4194173824159217E-8</v>
      </c>
      <c r="E220" s="208">
        <v>4.4194173824159217E-8</v>
      </c>
      <c r="F220" s="209" t="s">
        <v>714</v>
      </c>
      <c r="G220" s="208">
        <v>5.9684482911414092E-16</v>
      </c>
      <c r="H220" s="210">
        <v>8.1580755391634188E-15</v>
      </c>
      <c r="I220" s="208">
        <v>3.6053940844840955E-24</v>
      </c>
      <c r="J220" s="208">
        <v>3.6053940844840955E-24</v>
      </c>
      <c r="K220" s="208">
        <v>3.6053940844840955E-24</v>
      </c>
      <c r="L220" s="208">
        <v>0</v>
      </c>
      <c r="M220" s="208">
        <v>0</v>
      </c>
      <c r="N220" s="208">
        <v>0</v>
      </c>
      <c r="O220" s="3">
        <v>360</v>
      </c>
      <c r="P220" s="3">
        <v>360</v>
      </c>
      <c r="Q220" s="3">
        <v>360</v>
      </c>
      <c r="S220" s="4">
        <v>0</v>
      </c>
      <c r="T220" s="4">
        <v>108</v>
      </c>
      <c r="U220" s="210"/>
      <c r="V220" s="210">
        <v>8.1580755391634188E-15</v>
      </c>
      <c r="W220" s="3">
        <v>0</v>
      </c>
      <c r="X220" s="3">
        <v>0</v>
      </c>
      <c r="Y220" s="3">
        <f t="shared" si="69"/>
        <v>1</v>
      </c>
      <c r="Z220" s="3">
        <f t="shared" si="70"/>
        <v>1</v>
      </c>
      <c r="AA220" s="3" t="str">
        <f t="shared" si="55"/>
        <v/>
      </c>
      <c r="AB220" s="3" t="str">
        <f t="shared" si="56"/>
        <v/>
      </c>
      <c r="AC220" s="3" t="str">
        <f t="shared" si="57"/>
        <v/>
      </c>
      <c r="AD220" s="3" t="str">
        <f t="shared" si="58"/>
        <v>0</v>
      </c>
      <c r="AE220" s="3">
        <f t="shared" si="59"/>
        <v>0</v>
      </c>
      <c r="AF220" s="3">
        <f t="shared" si="60"/>
        <v>0</v>
      </c>
      <c r="AM220" s="3" t="str">
        <f t="shared" si="61"/>
        <v/>
      </c>
      <c r="AN220" s="3" t="str">
        <f t="shared" si="62"/>
        <v/>
      </c>
      <c r="AO220" s="3" t="str">
        <f t="shared" si="63"/>
        <v/>
      </c>
      <c r="AP220" s="3">
        <f t="shared" si="64"/>
        <v>0</v>
      </c>
      <c r="AQ220" s="3">
        <f t="shared" si="65"/>
        <v>0</v>
      </c>
      <c r="AR220" s="3">
        <f t="shared" si="71"/>
        <v>0</v>
      </c>
      <c r="AS220" s="3" t="e">
        <f t="shared" si="72"/>
        <v>#REF!</v>
      </c>
      <c r="AT220" s="3" t="str">
        <f t="shared" si="66"/>
        <v/>
      </c>
      <c r="AU220" s="3">
        <f t="shared" si="67"/>
        <v>0</v>
      </c>
      <c r="AV220" s="3">
        <f t="shared" si="68"/>
        <v>0</v>
      </c>
      <c r="AW220" s="3">
        <v>432</v>
      </c>
      <c r="AX220" s="3" t="e">
        <f>IF(AND(#REF!="N",OR(AW220=$AX$1,AW220=$AX$2,AW220=$AX$3,AW220=$AX$4,AW220=$AY$1,AW220=$AY$2,AW220=$AY$3,AW220=$AY$4)),0,1)</f>
        <v>#REF!</v>
      </c>
    </row>
    <row r="221" spans="2:50" x14ac:dyDescent="0.2">
      <c r="B221" s="4">
        <v>434</v>
      </c>
      <c r="C221" s="208">
        <v>4.4194173824159217E-8</v>
      </c>
      <c r="D221" s="208">
        <v>4.4194173824159217E-8</v>
      </c>
      <c r="E221" s="208">
        <v>4.4194173824159217E-8</v>
      </c>
      <c r="F221" s="209" t="s">
        <v>714</v>
      </c>
      <c r="G221" s="208">
        <v>4.8484768931506866E-16</v>
      </c>
      <c r="H221" s="210">
        <v>6.627223495078198E-15</v>
      </c>
      <c r="I221" s="208">
        <v>2.9288466711303784E-24</v>
      </c>
      <c r="J221" s="208">
        <v>2.9288466711303784E-24</v>
      </c>
      <c r="K221" s="208">
        <v>2.9288466711303784E-24</v>
      </c>
      <c r="L221" s="208">
        <v>0</v>
      </c>
      <c r="M221" s="208">
        <v>0</v>
      </c>
      <c r="N221" s="208">
        <v>0</v>
      </c>
      <c r="O221" s="3">
        <v>360</v>
      </c>
      <c r="P221" s="3">
        <v>360</v>
      </c>
      <c r="Q221" s="3">
        <v>360</v>
      </c>
      <c r="S221" s="4">
        <v>0</v>
      </c>
      <c r="T221" s="4">
        <v>108.5</v>
      </c>
      <c r="U221" s="210"/>
      <c r="V221" s="210">
        <v>6.6272234950781972E-15</v>
      </c>
      <c r="W221" s="3">
        <v>0</v>
      </c>
      <c r="X221" s="3">
        <v>0</v>
      </c>
      <c r="Y221" s="3">
        <f t="shared" si="69"/>
        <v>1</v>
      </c>
      <c r="Z221" s="3">
        <f t="shared" si="70"/>
        <v>1</v>
      </c>
      <c r="AA221" s="3" t="str">
        <f t="shared" si="55"/>
        <v/>
      </c>
      <c r="AB221" s="3" t="str">
        <f t="shared" si="56"/>
        <v/>
      </c>
      <c r="AC221" s="3" t="str">
        <f t="shared" si="57"/>
        <v/>
      </c>
      <c r="AD221" s="3" t="str">
        <f t="shared" si="58"/>
        <v>0</v>
      </c>
      <c r="AE221" s="3">
        <f t="shared" si="59"/>
        <v>0</v>
      </c>
      <c r="AF221" s="3">
        <f t="shared" si="60"/>
        <v>0</v>
      </c>
      <c r="AM221" s="3" t="str">
        <f t="shared" si="61"/>
        <v/>
      </c>
      <c r="AN221" s="3" t="str">
        <f t="shared" si="62"/>
        <v/>
      </c>
      <c r="AO221" s="3" t="str">
        <f t="shared" si="63"/>
        <v/>
      </c>
      <c r="AP221" s="3">
        <f t="shared" si="64"/>
        <v>0</v>
      </c>
      <c r="AQ221" s="3">
        <f t="shared" si="65"/>
        <v>0</v>
      </c>
      <c r="AR221" s="3">
        <f t="shared" si="71"/>
        <v>0</v>
      </c>
      <c r="AS221" s="3" t="e">
        <f t="shared" si="72"/>
        <v>#REF!</v>
      </c>
      <c r="AT221" s="3" t="str">
        <f t="shared" si="66"/>
        <v/>
      </c>
      <c r="AU221" s="3">
        <f t="shared" si="67"/>
        <v>0</v>
      </c>
      <c r="AV221" s="3">
        <f t="shared" si="68"/>
        <v>0</v>
      </c>
      <c r="AW221" s="3">
        <v>434</v>
      </c>
      <c r="AX221" s="3" t="e">
        <f>IF(AND(#REF!="N",OR(AW221=$AX$1,AW221=$AX$2,AW221=$AX$3,AW221=$AX$4,AW221=$AY$1,AW221=$AY$2,AW221=$AY$3,AW221=$AY$4)),0,1)</f>
        <v>#REF!</v>
      </c>
    </row>
    <row r="222" spans="2:50" x14ac:dyDescent="0.2">
      <c r="B222" s="4">
        <v>436</v>
      </c>
      <c r="C222" s="208">
        <v>0.1260786200725309</v>
      </c>
      <c r="D222" s="208">
        <v>0.12607862007251416</v>
      </c>
      <c r="E222" s="208">
        <v>0.12607862007251425</v>
      </c>
      <c r="F222" s="209" t="s">
        <v>714</v>
      </c>
      <c r="G222" s="208">
        <v>8.8364193479989403E-3</v>
      </c>
      <c r="H222" s="210">
        <v>0.12078210787835164</v>
      </c>
      <c r="I222" s="208">
        <v>1.5228041490754137E-4</v>
      </c>
      <c r="J222" s="208">
        <v>1.5228041490752115E-4</v>
      </c>
      <c r="K222" s="208">
        <v>1.5228041490752126E-4</v>
      </c>
      <c r="L222" s="208">
        <v>2.6375741561751348E-4</v>
      </c>
      <c r="M222" s="208">
        <v>2.6375741561751484E-4</v>
      </c>
      <c r="N222" s="208">
        <v>2.6375741561749408E-4</v>
      </c>
      <c r="O222" s="3">
        <v>240</v>
      </c>
      <c r="P222" s="3">
        <v>240</v>
      </c>
      <c r="Q222" s="3">
        <v>240</v>
      </c>
      <c r="R222" s="4" t="s">
        <v>168</v>
      </c>
      <c r="S222" s="4" t="s">
        <v>168</v>
      </c>
      <c r="T222" s="4">
        <v>109</v>
      </c>
      <c r="U222" s="210"/>
      <c r="V222" s="210">
        <v>0.12078210787835164</v>
      </c>
      <c r="W222" s="3">
        <v>0</v>
      </c>
      <c r="X222" s="3">
        <v>0.12078210787834541</v>
      </c>
      <c r="Y222" s="3">
        <f t="shared" si="69"/>
        <v>1</v>
      </c>
      <c r="Z222" s="3">
        <f t="shared" si="70"/>
        <v>1</v>
      </c>
      <c r="AA222" s="3">
        <f t="shared" si="55"/>
        <v>5.1997140363007552E-2</v>
      </c>
      <c r="AB222" s="3">
        <f t="shared" si="56"/>
        <v>2.5998570181503776E-2</v>
      </c>
      <c r="AC222" s="3">
        <f t="shared" si="57"/>
        <v>2.1882476375308285E-5</v>
      </c>
      <c r="AD222" s="3" t="str">
        <f t="shared" si="58"/>
        <v>7.36473648324104E-09+0.0000218787909076909i</v>
      </c>
      <c r="AE222" s="3">
        <f t="shared" si="59"/>
        <v>7.36473648324104E-9</v>
      </c>
      <c r="AF222" s="3">
        <f t="shared" si="60"/>
        <v>2.1878790907690898E-5</v>
      </c>
      <c r="AM222" s="3" t="str">
        <f t="shared" si="61"/>
        <v>-5.68913097788552E-07+0.0000011378261955771i</v>
      </c>
      <c r="AN222" s="3" t="str">
        <f t="shared" si="62"/>
        <v>0.0519971403630076+0.0260204526578791i</v>
      </c>
      <c r="AO222" s="3" t="str">
        <f t="shared" si="63"/>
        <v>7.36473648324104E-09+0.0000218787909076909i</v>
      </c>
      <c r="AP222" s="3">
        <f t="shared" si="64"/>
        <v>7.36473648324104E-9</v>
      </c>
      <c r="AQ222" s="3">
        <f t="shared" si="65"/>
        <v>2.1878790907690898E-5</v>
      </c>
      <c r="AR222" s="3">
        <f t="shared" si="71"/>
        <v>1.4410975475182537</v>
      </c>
      <c r="AS222" s="3" t="e">
        <f t="shared" si="72"/>
        <v>#REF!</v>
      </c>
      <c r="AT222" s="3" t="e">
        <f t="shared" si="66"/>
        <v>#REF!</v>
      </c>
      <c r="AU222" s="3" t="e">
        <f t="shared" si="67"/>
        <v>#REF!</v>
      </c>
      <c r="AV222" s="3" t="e">
        <f t="shared" si="68"/>
        <v>#REF!</v>
      </c>
      <c r="AW222" s="3">
        <v>436</v>
      </c>
      <c r="AX222" s="3" t="e">
        <f>IF(AND(#REF!="N",OR(AW222=$AX$1,AW222=$AX$2,AW222=$AX$3,AW222=$AX$4,AW222=$AY$1,AW222=$AY$2,AW222=$AY$3,AW222=$AY$4)),0,1)</f>
        <v>#REF!</v>
      </c>
    </row>
    <row r="223" spans="2:50" x14ac:dyDescent="0.2">
      <c r="B223" s="4">
        <v>438</v>
      </c>
      <c r="C223" s="208">
        <v>4.4194173824159217E-8</v>
      </c>
      <c r="D223" s="208">
        <v>4.4194173824159217E-8</v>
      </c>
      <c r="E223" s="208">
        <v>4.4194173824159217E-8</v>
      </c>
      <c r="F223" s="209" t="s">
        <v>714</v>
      </c>
      <c r="G223" s="208">
        <v>4.5200345786994709E-16</v>
      </c>
      <c r="H223" s="210">
        <v>6.1782865049516968E-15</v>
      </c>
      <c r="I223" s="208">
        <v>2.7304426773529239E-24</v>
      </c>
      <c r="J223" s="208">
        <v>2.7304426773529239E-24</v>
      </c>
      <c r="K223" s="208">
        <v>2.7304426773529239E-24</v>
      </c>
      <c r="L223" s="208">
        <v>0</v>
      </c>
      <c r="M223" s="208">
        <v>0</v>
      </c>
      <c r="N223" s="208">
        <v>0</v>
      </c>
      <c r="O223" s="3">
        <v>360</v>
      </c>
      <c r="P223" s="3">
        <v>360</v>
      </c>
      <c r="Q223" s="3">
        <v>360</v>
      </c>
      <c r="S223" s="4">
        <v>0</v>
      </c>
      <c r="T223" s="4">
        <v>109.5</v>
      </c>
      <c r="U223" s="210"/>
      <c r="V223" s="210">
        <v>6.1782865049516968E-15</v>
      </c>
      <c r="W223" s="3">
        <v>0</v>
      </c>
      <c r="X223" s="3">
        <v>0</v>
      </c>
      <c r="Y223" s="3">
        <f t="shared" si="69"/>
        <v>1</v>
      </c>
      <c r="Z223" s="3">
        <f t="shared" si="70"/>
        <v>1</v>
      </c>
      <c r="AA223" s="3" t="str">
        <f t="shared" si="55"/>
        <v/>
      </c>
      <c r="AB223" s="3" t="str">
        <f t="shared" si="56"/>
        <v/>
      </c>
      <c r="AC223" s="3" t="str">
        <f t="shared" si="57"/>
        <v/>
      </c>
      <c r="AD223" s="3" t="str">
        <f t="shared" si="58"/>
        <v>0</v>
      </c>
      <c r="AE223" s="3">
        <f t="shared" si="59"/>
        <v>0</v>
      </c>
      <c r="AF223" s="3">
        <f t="shared" si="60"/>
        <v>0</v>
      </c>
      <c r="AM223" s="3" t="str">
        <f t="shared" si="61"/>
        <v/>
      </c>
      <c r="AN223" s="3" t="str">
        <f t="shared" si="62"/>
        <v/>
      </c>
      <c r="AO223" s="3" t="str">
        <f t="shared" si="63"/>
        <v/>
      </c>
      <c r="AP223" s="3">
        <f t="shared" si="64"/>
        <v>0</v>
      </c>
      <c r="AQ223" s="3">
        <f t="shared" si="65"/>
        <v>0</v>
      </c>
      <c r="AR223" s="3">
        <f t="shared" si="71"/>
        <v>0</v>
      </c>
      <c r="AS223" s="3" t="e">
        <f t="shared" si="72"/>
        <v>#REF!</v>
      </c>
      <c r="AT223" s="3" t="str">
        <f t="shared" si="66"/>
        <v/>
      </c>
      <c r="AU223" s="3">
        <f t="shared" si="67"/>
        <v>0</v>
      </c>
      <c r="AV223" s="3">
        <f t="shared" si="68"/>
        <v>0</v>
      </c>
      <c r="AW223" s="3">
        <v>438</v>
      </c>
      <c r="AX223" s="3" t="e">
        <f>IF(AND(#REF!="N",OR(AW223=$AX$1,AW223=$AX$2,AW223=$AX$3,AW223=$AX$4,AW223=$AY$1,AW223=$AY$2,AW223=$AY$3,AW223=$AY$4)),0,1)</f>
        <v>#REF!</v>
      </c>
    </row>
    <row r="224" spans="2:50" x14ac:dyDescent="0.2">
      <c r="B224" s="4">
        <v>440</v>
      </c>
      <c r="C224" s="208">
        <v>4.4194173824159217E-8</v>
      </c>
      <c r="D224" s="208">
        <v>4.4194173824159217E-8</v>
      </c>
      <c r="E224" s="208">
        <v>4.4194173824159217E-8</v>
      </c>
      <c r="F224" s="209" t="s">
        <v>714</v>
      </c>
      <c r="G224" s="208">
        <v>5.3035934868266226E-16</v>
      </c>
      <c r="H224" s="210">
        <v>7.2493073884489109E-15</v>
      </c>
      <c r="I224" s="208">
        <v>3.2037715082987289E-24</v>
      </c>
      <c r="J224" s="208">
        <v>3.2037715082987289E-24</v>
      </c>
      <c r="K224" s="208">
        <v>3.2037715082987289E-24</v>
      </c>
      <c r="L224" s="208">
        <v>0</v>
      </c>
      <c r="M224" s="208">
        <v>0</v>
      </c>
      <c r="N224" s="208">
        <v>0</v>
      </c>
      <c r="O224" s="3">
        <v>360</v>
      </c>
      <c r="P224" s="3">
        <v>360</v>
      </c>
      <c r="Q224" s="3">
        <v>360</v>
      </c>
      <c r="S224" s="4">
        <v>0</v>
      </c>
      <c r="T224" s="4">
        <v>110</v>
      </c>
      <c r="U224" s="210"/>
      <c r="V224" s="210">
        <v>7.2493073884489109E-15</v>
      </c>
      <c r="W224" s="3">
        <v>0</v>
      </c>
      <c r="X224" s="3">
        <v>0</v>
      </c>
      <c r="Y224" s="3">
        <f t="shared" si="69"/>
        <v>1</v>
      </c>
      <c r="Z224" s="3">
        <f t="shared" si="70"/>
        <v>1</v>
      </c>
      <c r="AA224" s="3" t="str">
        <f t="shared" si="55"/>
        <v/>
      </c>
      <c r="AB224" s="3" t="str">
        <f t="shared" si="56"/>
        <v/>
      </c>
      <c r="AC224" s="3" t="str">
        <f t="shared" si="57"/>
        <v/>
      </c>
      <c r="AD224" s="3" t="str">
        <f t="shared" si="58"/>
        <v>0</v>
      </c>
      <c r="AE224" s="3">
        <f t="shared" si="59"/>
        <v>0</v>
      </c>
      <c r="AF224" s="3">
        <f t="shared" si="60"/>
        <v>0</v>
      </c>
      <c r="AM224" s="3" t="str">
        <f t="shared" si="61"/>
        <v/>
      </c>
      <c r="AN224" s="3" t="str">
        <f t="shared" si="62"/>
        <v/>
      </c>
      <c r="AO224" s="3" t="str">
        <f t="shared" si="63"/>
        <v/>
      </c>
      <c r="AP224" s="3">
        <f t="shared" si="64"/>
        <v>0</v>
      </c>
      <c r="AQ224" s="3">
        <f t="shared" si="65"/>
        <v>0</v>
      </c>
      <c r="AR224" s="3">
        <f t="shared" si="71"/>
        <v>0</v>
      </c>
      <c r="AS224" s="3" t="e">
        <f t="shared" si="72"/>
        <v>#REF!</v>
      </c>
      <c r="AT224" s="3" t="str">
        <f t="shared" si="66"/>
        <v/>
      </c>
      <c r="AU224" s="3">
        <f t="shared" si="67"/>
        <v>0</v>
      </c>
      <c r="AV224" s="3">
        <f t="shared" si="68"/>
        <v>0</v>
      </c>
      <c r="AW224" s="3">
        <v>440</v>
      </c>
      <c r="AX224" s="3" t="e">
        <f>IF(AND(#REF!="N",OR(AW224=$AX$1,AW224=$AX$2,AW224=$AX$3,AW224=$AX$4,AW224=$AY$1,AW224=$AY$2,AW224=$AY$3,AW224=$AY$4)),0,1)</f>
        <v>#REF!</v>
      </c>
    </row>
    <row r="225" spans="2:50" x14ac:dyDescent="0.2">
      <c r="B225" s="4">
        <v>442</v>
      </c>
      <c r="C225" s="208">
        <v>4.4194173824159217E-8</v>
      </c>
      <c r="D225" s="208">
        <v>4.4194173824159217E-8</v>
      </c>
      <c r="E225" s="208">
        <v>4.4194173824159217E-8</v>
      </c>
      <c r="F225" s="209" t="s">
        <v>714</v>
      </c>
      <c r="G225" s="208">
        <v>3.9007167190627571E-16</v>
      </c>
      <c r="H225" s="210">
        <v>5.3317613052329793E-15</v>
      </c>
      <c r="I225" s="208">
        <v>2.3563278591239233E-24</v>
      </c>
      <c r="J225" s="208">
        <v>2.3563278591239233E-24</v>
      </c>
      <c r="K225" s="208">
        <v>2.3563278591239233E-24</v>
      </c>
      <c r="L225" s="208">
        <v>0</v>
      </c>
      <c r="M225" s="208">
        <v>0</v>
      </c>
      <c r="N225" s="208">
        <v>0</v>
      </c>
      <c r="O225" s="3">
        <v>360</v>
      </c>
      <c r="P225" s="3">
        <v>360</v>
      </c>
      <c r="Q225" s="3">
        <v>360</v>
      </c>
      <c r="S225" s="4">
        <v>0</v>
      </c>
      <c r="T225" s="4">
        <v>110.5</v>
      </c>
      <c r="U225" s="210"/>
      <c r="V225" s="210">
        <v>5.3317613052329793E-15</v>
      </c>
      <c r="W225" s="3">
        <v>0</v>
      </c>
      <c r="X225" s="3">
        <v>0</v>
      </c>
      <c r="Y225" s="3">
        <f t="shared" si="69"/>
        <v>1</v>
      </c>
      <c r="Z225" s="3">
        <f t="shared" si="70"/>
        <v>1</v>
      </c>
      <c r="AA225" s="3" t="str">
        <f t="shared" si="55"/>
        <v/>
      </c>
      <c r="AB225" s="3" t="str">
        <f t="shared" si="56"/>
        <v/>
      </c>
      <c r="AC225" s="3" t="str">
        <f t="shared" si="57"/>
        <v/>
      </c>
      <c r="AD225" s="3" t="str">
        <f t="shared" si="58"/>
        <v>0</v>
      </c>
      <c r="AE225" s="3">
        <f t="shared" si="59"/>
        <v>0</v>
      </c>
      <c r="AF225" s="3">
        <f t="shared" si="60"/>
        <v>0</v>
      </c>
      <c r="AM225" s="3" t="str">
        <f t="shared" si="61"/>
        <v/>
      </c>
      <c r="AN225" s="3" t="str">
        <f t="shared" si="62"/>
        <v/>
      </c>
      <c r="AO225" s="3" t="str">
        <f t="shared" si="63"/>
        <v/>
      </c>
      <c r="AP225" s="3">
        <f t="shared" si="64"/>
        <v>0</v>
      </c>
      <c r="AQ225" s="3">
        <f t="shared" si="65"/>
        <v>0</v>
      </c>
      <c r="AR225" s="3">
        <f t="shared" si="71"/>
        <v>0</v>
      </c>
      <c r="AS225" s="3" t="e">
        <f t="shared" si="72"/>
        <v>#REF!</v>
      </c>
      <c r="AT225" s="3" t="str">
        <f t="shared" si="66"/>
        <v/>
      </c>
      <c r="AU225" s="3">
        <f t="shared" si="67"/>
        <v>0</v>
      </c>
      <c r="AV225" s="3">
        <f t="shared" si="68"/>
        <v>0</v>
      </c>
      <c r="AW225" s="3">
        <v>442</v>
      </c>
      <c r="AX225" s="3" t="e">
        <f>IF(AND(#REF!="N",OR(AW225=$AX$1,AW225=$AX$2,AW225=$AX$3,AW225=$AX$4,AW225=$AY$1,AW225=$AY$2,AW225=$AY$3,AW225=$AY$4)),0,1)</f>
        <v>#REF!</v>
      </c>
    </row>
    <row r="226" spans="2:50" x14ac:dyDescent="0.2">
      <c r="B226" s="4">
        <v>444</v>
      </c>
      <c r="C226" s="208">
        <v>0.27059805007308924</v>
      </c>
      <c r="D226" s="208">
        <v>0.27059805007310767</v>
      </c>
      <c r="E226" s="208">
        <v>0.27059805007309295</v>
      </c>
      <c r="F226" s="209" t="s">
        <v>714</v>
      </c>
      <c r="G226" s="208">
        <v>5.1328879121153694E-16</v>
      </c>
      <c r="H226" s="210">
        <v>7.0159755565357995E-15</v>
      </c>
      <c r="I226" s="208">
        <v>1.8985093049590445E-17</v>
      </c>
      <c r="J226" s="208">
        <v>1.8985093049591736E-17</v>
      </c>
      <c r="K226" s="208">
        <v>1.8985093049590707E-17</v>
      </c>
      <c r="L226" s="208">
        <v>5.1350941208487076E-31</v>
      </c>
      <c r="M226" s="208">
        <v>1.5222645796905542E-30</v>
      </c>
      <c r="N226" s="208">
        <v>1.6193110856093841E-30</v>
      </c>
      <c r="O226" s="3">
        <v>0</v>
      </c>
      <c r="P226" s="3">
        <v>0</v>
      </c>
      <c r="Q226" s="3">
        <v>360</v>
      </c>
      <c r="S226" s="4">
        <v>0</v>
      </c>
      <c r="T226" s="4">
        <v>111</v>
      </c>
      <c r="U226" s="210"/>
      <c r="V226" s="210">
        <v>7.0159755565357995E-15</v>
      </c>
      <c r="W226" s="3">
        <v>0</v>
      </c>
      <c r="X226" s="3">
        <v>0</v>
      </c>
      <c r="Y226" s="3">
        <f t="shared" si="69"/>
        <v>1</v>
      </c>
      <c r="Z226" s="3">
        <f t="shared" si="70"/>
        <v>1</v>
      </c>
      <c r="AA226" s="3" t="str">
        <f t="shared" si="55"/>
        <v/>
      </c>
      <c r="AB226" s="3" t="str">
        <f t="shared" si="56"/>
        <v/>
      </c>
      <c r="AC226" s="3" t="str">
        <f t="shared" si="57"/>
        <v/>
      </c>
      <c r="AD226" s="3" t="str">
        <f t="shared" si="58"/>
        <v>0</v>
      </c>
      <c r="AE226" s="3">
        <f t="shared" si="59"/>
        <v>0</v>
      </c>
      <c r="AF226" s="3">
        <f t="shared" si="60"/>
        <v>0</v>
      </c>
      <c r="AM226" s="3" t="str">
        <f t="shared" si="61"/>
        <v/>
      </c>
      <c r="AN226" s="3" t="str">
        <f t="shared" si="62"/>
        <v/>
      </c>
      <c r="AO226" s="3" t="str">
        <f t="shared" si="63"/>
        <v/>
      </c>
      <c r="AP226" s="3">
        <f t="shared" si="64"/>
        <v>0</v>
      </c>
      <c r="AQ226" s="3">
        <f t="shared" si="65"/>
        <v>0</v>
      </c>
      <c r="AR226" s="3">
        <f t="shared" si="71"/>
        <v>0</v>
      </c>
      <c r="AS226" s="3" t="e">
        <f t="shared" si="72"/>
        <v>#REF!</v>
      </c>
      <c r="AT226" s="3" t="str">
        <f t="shared" si="66"/>
        <v/>
      </c>
      <c r="AU226" s="3">
        <f t="shared" si="67"/>
        <v>0</v>
      </c>
      <c r="AV226" s="3">
        <f t="shared" si="68"/>
        <v>0</v>
      </c>
      <c r="AW226" s="3">
        <v>444</v>
      </c>
      <c r="AX226" s="3" t="e">
        <f>IF(AND(#REF!="N",OR(AW226=$AX$1,AW226=$AX$2,AW226=$AX$3,AW226=$AX$4,AW226=$AY$1,AW226=$AY$2,AW226=$AY$3,AW226=$AY$4)),0,1)</f>
        <v>#REF!</v>
      </c>
    </row>
    <row r="227" spans="2:50" x14ac:dyDescent="0.2">
      <c r="B227" s="4">
        <v>446</v>
      </c>
      <c r="C227" s="208">
        <v>4.4194173824159217E-8</v>
      </c>
      <c r="D227" s="208">
        <v>4.4194173824159217E-8</v>
      </c>
      <c r="E227" s="208">
        <v>4.4194173824159217E-8</v>
      </c>
      <c r="F227" s="209" t="s">
        <v>714</v>
      </c>
      <c r="G227" s="208">
        <v>1.8013084879234297E-16</v>
      </c>
      <c r="H227" s="210">
        <v>2.4621492885557457E-15</v>
      </c>
      <c r="I227" s="208">
        <v>1.0881265363946257E-24</v>
      </c>
      <c r="J227" s="208">
        <v>1.0881265363946257E-24</v>
      </c>
      <c r="K227" s="208">
        <v>1.0881265363946257E-24</v>
      </c>
      <c r="L227" s="208">
        <v>0</v>
      </c>
      <c r="M227" s="208">
        <v>0</v>
      </c>
      <c r="N227" s="208">
        <v>0</v>
      </c>
      <c r="O227" s="3">
        <v>360</v>
      </c>
      <c r="P227" s="3">
        <v>360</v>
      </c>
      <c r="Q227" s="3">
        <v>360</v>
      </c>
      <c r="S227" s="4">
        <v>0</v>
      </c>
      <c r="T227" s="4">
        <v>111.5</v>
      </c>
      <c r="U227" s="210"/>
      <c r="V227" s="210">
        <v>2.4621492885557457E-15</v>
      </c>
      <c r="W227" s="3">
        <v>0</v>
      </c>
      <c r="X227" s="3">
        <v>0</v>
      </c>
      <c r="Y227" s="3">
        <f t="shared" si="69"/>
        <v>1</v>
      </c>
      <c r="Z227" s="3">
        <f t="shared" si="70"/>
        <v>1</v>
      </c>
      <c r="AA227" s="3" t="str">
        <f t="shared" si="55"/>
        <v/>
      </c>
      <c r="AB227" s="3" t="str">
        <f t="shared" si="56"/>
        <v/>
      </c>
      <c r="AC227" s="3" t="str">
        <f t="shared" si="57"/>
        <v/>
      </c>
      <c r="AD227" s="3" t="str">
        <f t="shared" si="58"/>
        <v>0</v>
      </c>
      <c r="AE227" s="3">
        <f t="shared" si="59"/>
        <v>0</v>
      </c>
      <c r="AF227" s="3">
        <f t="shared" si="60"/>
        <v>0</v>
      </c>
      <c r="AM227" s="3" t="str">
        <f t="shared" si="61"/>
        <v/>
      </c>
      <c r="AN227" s="3" t="str">
        <f t="shared" si="62"/>
        <v/>
      </c>
      <c r="AO227" s="3" t="str">
        <f t="shared" si="63"/>
        <v/>
      </c>
      <c r="AP227" s="3">
        <f t="shared" si="64"/>
        <v>0</v>
      </c>
      <c r="AQ227" s="3">
        <f t="shared" si="65"/>
        <v>0</v>
      </c>
      <c r="AR227" s="3">
        <f t="shared" si="71"/>
        <v>0</v>
      </c>
      <c r="AS227" s="3" t="e">
        <f t="shared" si="72"/>
        <v>#REF!</v>
      </c>
      <c r="AT227" s="3" t="str">
        <f t="shared" si="66"/>
        <v/>
      </c>
      <c r="AU227" s="3">
        <f t="shared" si="67"/>
        <v>0</v>
      </c>
      <c r="AV227" s="3">
        <f t="shared" si="68"/>
        <v>0</v>
      </c>
      <c r="AW227" s="3">
        <v>446</v>
      </c>
      <c r="AX227" s="3" t="e">
        <f>IF(AND(#REF!="N",OR(AW227=$AX$1,AW227=$AX$2,AW227=$AX$3,AW227=$AX$4,AW227=$AY$1,AW227=$AY$2,AW227=$AY$3,AW227=$AY$4)),0,1)</f>
        <v>#REF!</v>
      </c>
    </row>
    <row r="228" spans="2:50" x14ac:dyDescent="0.2">
      <c r="B228" s="4">
        <v>448</v>
      </c>
      <c r="C228" s="208">
        <v>4.4194173824159217E-8</v>
      </c>
      <c r="D228" s="208">
        <v>4.4194173824159217E-8</v>
      </c>
      <c r="E228" s="208">
        <v>4.4194173824159217E-8</v>
      </c>
      <c r="F228" s="209" t="s">
        <v>714</v>
      </c>
      <c r="G228" s="208">
        <v>4.7093932835110079E-16</v>
      </c>
      <c r="H228" s="210">
        <v>6.4371146864982332E-15</v>
      </c>
      <c r="I228" s="208">
        <v>2.8448296538115108E-24</v>
      </c>
      <c r="J228" s="208">
        <v>2.8448296538115108E-24</v>
      </c>
      <c r="K228" s="208">
        <v>2.8448296538115108E-24</v>
      </c>
      <c r="L228" s="208">
        <v>0</v>
      </c>
      <c r="M228" s="208">
        <v>0</v>
      </c>
      <c r="N228" s="208">
        <v>0</v>
      </c>
      <c r="O228" s="3">
        <v>360</v>
      </c>
      <c r="P228" s="3">
        <v>360</v>
      </c>
      <c r="Q228" s="3">
        <v>360</v>
      </c>
      <c r="S228" s="4">
        <v>0</v>
      </c>
      <c r="T228" s="4">
        <v>112</v>
      </c>
      <c r="U228" s="210"/>
      <c r="V228" s="210">
        <v>6.4371146864982332E-15</v>
      </c>
      <c r="W228" s="3">
        <v>0</v>
      </c>
      <c r="X228" s="3">
        <v>0</v>
      </c>
      <c r="Y228" s="3">
        <f t="shared" si="69"/>
        <v>1</v>
      </c>
      <c r="Z228" s="3">
        <f t="shared" si="70"/>
        <v>1</v>
      </c>
      <c r="AA228" s="3" t="str">
        <f t="shared" si="55"/>
        <v/>
      </c>
      <c r="AB228" s="3" t="str">
        <f t="shared" si="56"/>
        <v/>
      </c>
      <c r="AC228" s="3" t="str">
        <f t="shared" si="57"/>
        <v/>
      </c>
      <c r="AD228" s="3" t="str">
        <f t="shared" si="58"/>
        <v>0</v>
      </c>
      <c r="AE228" s="3">
        <f t="shared" si="59"/>
        <v>0</v>
      </c>
      <c r="AF228" s="3">
        <f t="shared" si="60"/>
        <v>0</v>
      </c>
      <c r="AM228" s="3" t="str">
        <f t="shared" si="61"/>
        <v/>
      </c>
      <c r="AN228" s="3" t="str">
        <f t="shared" si="62"/>
        <v/>
      </c>
      <c r="AO228" s="3" t="str">
        <f t="shared" si="63"/>
        <v/>
      </c>
      <c r="AP228" s="3">
        <f t="shared" si="64"/>
        <v>0</v>
      </c>
      <c r="AQ228" s="3">
        <f t="shared" si="65"/>
        <v>0</v>
      </c>
      <c r="AR228" s="3">
        <f t="shared" si="71"/>
        <v>0</v>
      </c>
      <c r="AS228" s="3" t="e">
        <f t="shared" si="72"/>
        <v>#REF!</v>
      </c>
      <c r="AT228" s="3" t="str">
        <f t="shared" si="66"/>
        <v/>
      </c>
      <c r="AU228" s="3">
        <f t="shared" si="67"/>
        <v>0</v>
      </c>
      <c r="AV228" s="3">
        <f t="shared" si="68"/>
        <v>0</v>
      </c>
      <c r="AW228" s="3">
        <v>448</v>
      </c>
      <c r="AX228" s="3" t="e">
        <f>IF(AND(#REF!="N",OR(AW228=$AX$1,AW228=$AX$2,AW228=$AX$3,AW228=$AX$4,AW228=$AY$1,AW228=$AY$2,AW228=$AY$3,AW228=$AY$4)),0,1)</f>
        <v>#REF!</v>
      </c>
    </row>
    <row r="229" spans="2:50" x14ac:dyDescent="0.2">
      <c r="B229" s="4">
        <v>450</v>
      </c>
      <c r="C229" s="208">
        <v>4.4194173824159217E-8</v>
      </c>
      <c r="D229" s="208">
        <v>4.4194173824159217E-8</v>
      </c>
      <c r="E229" s="208">
        <v>4.4194173824159217E-8</v>
      </c>
      <c r="F229" s="209" t="s">
        <v>714</v>
      </c>
      <c r="G229" s="208">
        <v>8.1631355370148653E-16</v>
      </c>
      <c r="H229" s="210">
        <v>1.1157921305314828E-14</v>
      </c>
      <c r="I229" s="208">
        <v>4.9311511368337303E-24</v>
      </c>
      <c r="J229" s="208">
        <v>4.9311511368337303E-24</v>
      </c>
      <c r="K229" s="208">
        <v>4.9311511368337303E-24</v>
      </c>
      <c r="L229" s="208">
        <v>0</v>
      </c>
      <c r="M229" s="208">
        <v>0</v>
      </c>
      <c r="N229" s="208">
        <v>0</v>
      </c>
      <c r="O229" s="3">
        <v>360</v>
      </c>
      <c r="P229" s="3">
        <v>360</v>
      </c>
      <c r="Q229" s="3">
        <v>360</v>
      </c>
      <c r="S229" s="4">
        <v>0</v>
      </c>
      <c r="T229" s="4">
        <v>112.5</v>
      </c>
      <c r="U229" s="210"/>
      <c r="V229" s="210">
        <v>1.1157921305314829E-14</v>
      </c>
      <c r="W229" s="3">
        <v>0</v>
      </c>
      <c r="X229" s="3">
        <v>0</v>
      </c>
      <c r="Y229" s="3">
        <f t="shared" si="69"/>
        <v>1</v>
      </c>
      <c r="Z229" s="3">
        <f t="shared" si="70"/>
        <v>1</v>
      </c>
      <c r="AA229" s="3" t="str">
        <f t="shared" si="55"/>
        <v/>
      </c>
      <c r="AB229" s="3" t="str">
        <f t="shared" si="56"/>
        <v/>
      </c>
      <c r="AC229" s="3" t="str">
        <f t="shared" si="57"/>
        <v/>
      </c>
      <c r="AD229" s="3" t="str">
        <f t="shared" si="58"/>
        <v>0</v>
      </c>
      <c r="AE229" s="3">
        <f t="shared" si="59"/>
        <v>0</v>
      </c>
      <c r="AF229" s="3">
        <f t="shared" si="60"/>
        <v>0</v>
      </c>
      <c r="AM229" s="3" t="str">
        <f t="shared" si="61"/>
        <v/>
      </c>
      <c r="AN229" s="3" t="str">
        <f t="shared" si="62"/>
        <v/>
      </c>
      <c r="AO229" s="3" t="str">
        <f t="shared" si="63"/>
        <v/>
      </c>
      <c r="AP229" s="3">
        <f t="shared" si="64"/>
        <v>0</v>
      </c>
      <c r="AQ229" s="3">
        <f t="shared" si="65"/>
        <v>0</v>
      </c>
      <c r="AR229" s="3">
        <f t="shared" si="71"/>
        <v>0</v>
      </c>
      <c r="AS229" s="3" t="e">
        <f t="shared" si="72"/>
        <v>#REF!</v>
      </c>
      <c r="AT229" s="3" t="str">
        <f t="shared" si="66"/>
        <v/>
      </c>
      <c r="AU229" s="3">
        <f t="shared" si="67"/>
        <v>0</v>
      </c>
      <c r="AV229" s="3">
        <f t="shared" si="68"/>
        <v>0</v>
      </c>
      <c r="AW229" s="3">
        <v>450</v>
      </c>
      <c r="AX229" s="3" t="e">
        <f>IF(AND(#REF!="N",OR(AW229=$AX$1,AW229=$AX$2,AW229=$AX$3,AW229=$AX$4,AW229=$AY$1,AW229=$AY$2,AW229=$AY$3,AW229=$AY$4)),0,1)</f>
        <v>#REF!</v>
      </c>
    </row>
    <row r="230" spans="2:50" x14ac:dyDescent="0.2">
      <c r="B230" s="4">
        <v>452</v>
      </c>
      <c r="C230" s="208">
        <v>0.15755905175128226</v>
      </c>
      <c r="D230" s="208">
        <v>0.15755905175128515</v>
      </c>
      <c r="E230" s="208">
        <v>0.15755905175128629</v>
      </c>
      <c r="F230" s="209" t="s">
        <v>714</v>
      </c>
      <c r="G230" s="208">
        <v>1.0651880459506739E-2</v>
      </c>
      <c r="H230" s="210">
        <v>0.14559704831785708</v>
      </c>
      <c r="I230" s="208">
        <v>2.2940132870747187E-4</v>
      </c>
      <c r="J230" s="208">
        <v>2.2940132870747607E-4</v>
      </c>
      <c r="K230" s="208">
        <v>2.2940132870747772E-4</v>
      </c>
      <c r="L230" s="208">
        <v>3.9733475664515566E-4</v>
      </c>
      <c r="M230" s="208">
        <v>3.9733475664515788E-4</v>
      </c>
      <c r="N230" s="208">
        <v>3.9733475664515419E-4</v>
      </c>
      <c r="O230" s="3">
        <v>120</v>
      </c>
      <c r="P230" s="3">
        <v>120</v>
      </c>
      <c r="Q230" s="3">
        <v>120</v>
      </c>
      <c r="R230" s="4" t="s">
        <v>172</v>
      </c>
      <c r="S230" s="4" t="s">
        <v>172</v>
      </c>
      <c r="T230" s="4">
        <v>113</v>
      </c>
      <c r="U230" s="210"/>
      <c r="V230" s="210">
        <v>0.14559704831785708</v>
      </c>
      <c r="W230" s="3">
        <v>0.14559704831785655</v>
      </c>
      <c r="X230" s="3">
        <v>0</v>
      </c>
      <c r="Y230" s="3">
        <f t="shared" si="69"/>
        <v>1</v>
      </c>
      <c r="Z230" s="3">
        <f t="shared" si="70"/>
        <v>1</v>
      </c>
      <c r="AA230" s="3">
        <f t="shared" si="55"/>
        <v>8.1205095784413497E-2</v>
      </c>
      <c r="AB230" s="3">
        <f t="shared" si="56"/>
        <v>4.0602547892206749E-2</v>
      </c>
      <c r="AC230" s="3">
        <f t="shared" si="57"/>
        <v>3.1797750718307431E-5</v>
      </c>
      <c r="AD230" s="3" t="str">
        <f t="shared" si="58"/>
        <v>9.95780061665564E-09+0.0000317927679187899i</v>
      </c>
      <c r="AE230" s="3">
        <f t="shared" si="59"/>
        <v>9.9578006166556405E-9</v>
      </c>
      <c r="AF230" s="3">
        <f t="shared" si="60"/>
        <v>3.17927679187899E-5</v>
      </c>
      <c r="AM230" s="3" t="str">
        <f t="shared" si="61"/>
        <v>-1.29106969640453E-06+2.58213939280906E-06i</v>
      </c>
      <c r="AN230" s="3" t="str">
        <f t="shared" si="62"/>
        <v>0.0812050957844135+0.0406343456429251i</v>
      </c>
      <c r="AO230" s="3" t="str">
        <f t="shared" si="63"/>
        <v>9.95780061665564E-09+0.0000317927679187899i</v>
      </c>
      <c r="AP230" s="3">
        <f t="shared" si="64"/>
        <v>9.9578006166556405E-9</v>
      </c>
      <c r="AQ230" s="3">
        <f t="shared" si="65"/>
        <v>3.17927679187899E-5</v>
      </c>
      <c r="AR230" s="3">
        <f t="shared" si="71"/>
        <v>-1.390085244951236</v>
      </c>
      <c r="AS230" s="3" t="e">
        <f t="shared" si="72"/>
        <v>#REF!</v>
      </c>
      <c r="AT230" s="3" t="e">
        <f t="shared" si="66"/>
        <v>#REF!</v>
      </c>
      <c r="AU230" s="3" t="e">
        <f t="shared" si="67"/>
        <v>#REF!</v>
      </c>
      <c r="AV230" s="3" t="e">
        <f t="shared" si="68"/>
        <v>#REF!</v>
      </c>
      <c r="AW230" s="3">
        <v>452</v>
      </c>
      <c r="AX230" s="3" t="e">
        <f>IF(AND(#REF!="N",OR(AW230=$AX$1,AW230=$AX$2,AW230=$AX$3,AW230=$AX$4,AW230=$AY$1,AW230=$AY$2,AW230=$AY$3,AW230=$AY$4)),0,1)</f>
        <v>#REF!</v>
      </c>
    </row>
    <row r="231" spans="2:50" x14ac:dyDescent="0.2">
      <c r="B231" s="4">
        <v>454</v>
      </c>
      <c r="C231" s="208">
        <v>4.4194173824159217E-8</v>
      </c>
      <c r="D231" s="208">
        <v>4.4194173824159217E-8</v>
      </c>
      <c r="E231" s="208">
        <v>4.4194173824159217E-8</v>
      </c>
      <c r="F231" s="209" t="s">
        <v>714</v>
      </c>
      <c r="G231" s="208">
        <v>2.3254061212955572E-16</v>
      </c>
      <c r="H231" s="210">
        <v>3.1785210948244935E-15</v>
      </c>
      <c r="I231" s="208">
        <v>1.4047211376843052E-24</v>
      </c>
      <c r="J231" s="208">
        <v>1.4047211376843052E-24</v>
      </c>
      <c r="K231" s="208">
        <v>1.4047211376843052E-24</v>
      </c>
      <c r="L231" s="208">
        <v>0</v>
      </c>
      <c r="M231" s="208">
        <v>0</v>
      </c>
      <c r="N231" s="208">
        <v>0</v>
      </c>
      <c r="O231" s="3">
        <v>360</v>
      </c>
      <c r="P231" s="3">
        <v>360</v>
      </c>
      <c r="Q231" s="3">
        <v>360</v>
      </c>
      <c r="S231" s="4">
        <v>0</v>
      </c>
      <c r="T231" s="4">
        <v>113.5</v>
      </c>
      <c r="U231" s="210"/>
      <c r="V231" s="210">
        <v>3.1785210948244931E-15</v>
      </c>
      <c r="W231" s="3">
        <v>0</v>
      </c>
      <c r="X231" s="3">
        <v>0</v>
      </c>
      <c r="Y231" s="3">
        <f t="shared" si="69"/>
        <v>1</v>
      </c>
      <c r="Z231" s="3">
        <f t="shared" si="70"/>
        <v>1</v>
      </c>
      <c r="AA231" s="3" t="str">
        <f t="shared" si="55"/>
        <v/>
      </c>
      <c r="AB231" s="3" t="str">
        <f t="shared" si="56"/>
        <v/>
      </c>
      <c r="AC231" s="3" t="str">
        <f t="shared" si="57"/>
        <v/>
      </c>
      <c r="AD231" s="3" t="str">
        <f t="shared" si="58"/>
        <v>0</v>
      </c>
      <c r="AE231" s="3">
        <f t="shared" si="59"/>
        <v>0</v>
      </c>
      <c r="AF231" s="3">
        <f t="shared" si="60"/>
        <v>0</v>
      </c>
      <c r="AM231" s="3" t="str">
        <f t="shared" si="61"/>
        <v/>
      </c>
      <c r="AN231" s="3" t="str">
        <f t="shared" si="62"/>
        <v/>
      </c>
      <c r="AO231" s="3" t="str">
        <f t="shared" si="63"/>
        <v/>
      </c>
      <c r="AP231" s="3">
        <f t="shared" si="64"/>
        <v>0</v>
      </c>
      <c r="AQ231" s="3">
        <f t="shared" si="65"/>
        <v>0</v>
      </c>
      <c r="AR231" s="3">
        <f t="shared" si="71"/>
        <v>0</v>
      </c>
      <c r="AS231" s="3" t="e">
        <f t="shared" si="72"/>
        <v>#REF!</v>
      </c>
      <c r="AT231" s="3" t="str">
        <f t="shared" si="66"/>
        <v/>
      </c>
      <c r="AU231" s="3">
        <f t="shared" si="67"/>
        <v>0</v>
      </c>
      <c r="AV231" s="3">
        <f t="shared" si="68"/>
        <v>0</v>
      </c>
      <c r="AW231" s="3">
        <v>454</v>
      </c>
      <c r="AX231" s="3" t="e">
        <f>IF(AND(#REF!="N",OR(AW231=$AX$1,AW231=$AX$2,AW231=$AX$3,AW231=$AX$4,AW231=$AY$1,AW231=$AY$2,AW231=$AY$3,AW231=$AY$4)),0,1)</f>
        <v>#REF!</v>
      </c>
    </row>
    <row r="232" spans="2:50" x14ac:dyDescent="0.2">
      <c r="B232" s="4">
        <v>456</v>
      </c>
      <c r="C232" s="208">
        <v>4.4194173824159217E-8</v>
      </c>
      <c r="D232" s="208">
        <v>4.4194173824159217E-8</v>
      </c>
      <c r="E232" s="208">
        <v>4.4194173824159217E-8</v>
      </c>
      <c r="F232" s="209" t="s">
        <v>714</v>
      </c>
      <c r="G232" s="208">
        <v>4.9142379373205155E-16</v>
      </c>
      <c r="H232" s="210">
        <v>6.7171101020658121E-15</v>
      </c>
      <c r="I232" s="208">
        <v>2.9685713144671237E-24</v>
      </c>
      <c r="J232" s="208">
        <v>2.9685713144671237E-24</v>
      </c>
      <c r="K232" s="208">
        <v>2.9685713144671237E-24</v>
      </c>
      <c r="L232" s="208">
        <v>0</v>
      </c>
      <c r="M232" s="208">
        <v>0</v>
      </c>
      <c r="N232" s="208">
        <v>0</v>
      </c>
      <c r="O232" s="3">
        <v>360</v>
      </c>
      <c r="P232" s="3">
        <v>360</v>
      </c>
      <c r="Q232" s="3">
        <v>360</v>
      </c>
      <c r="S232" s="4">
        <v>0</v>
      </c>
      <c r="T232" s="4">
        <v>114</v>
      </c>
      <c r="U232" s="210"/>
      <c r="V232" s="210">
        <v>6.7171101020658121E-15</v>
      </c>
      <c r="W232" s="3">
        <v>0</v>
      </c>
      <c r="X232" s="3">
        <v>0</v>
      </c>
      <c r="Y232" s="3">
        <f t="shared" si="69"/>
        <v>1</v>
      </c>
      <c r="Z232" s="3">
        <f t="shared" si="70"/>
        <v>1</v>
      </c>
      <c r="AA232" s="3" t="str">
        <f t="shared" si="55"/>
        <v/>
      </c>
      <c r="AB232" s="3" t="str">
        <f t="shared" si="56"/>
        <v/>
      </c>
      <c r="AC232" s="3" t="str">
        <f t="shared" si="57"/>
        <v/>
      </c>
      <c r="AD232" s="3" t="str">
        <f t="shared" si="58"/>
        <v>0</v>
      </c>
      <c r="AE232" s="3">
        <f t="shared" si="59"/>
        <v>0</v>
      </c>
      <c r="AF232" s="3">
        <f t="shared" si="60"/>
        <v>0</v>
      </c>
      <c r="AM232" s="3" t="str">
        <f t="shared" si="61"/>
        <v/>
      </c>
      <c r="AN232" s="3" t="str">
        <f t="shared" si="62"/>
        <v/>
      </c>
      <c r="AO232" s="3" t="str">
        <f t="shared" si="63"/>
        <v/>
      </c>
      <c r="AP232" s="3">
        <f t="shared" si="64"/>
        <v>0</v>
      </c>
      <c r="AQ232" s="3">
        <f t="shared" si="65"/>
        <v>0</v>
      </c>
      <c r="AR232" s="3">
        <f t="shared" si="71"/>
        <v>0</v>
      </c>
      <c r="AS232" s="3" t="e">
        <f t="shared" si="72"/>
        <v>#REF!</v>
      </c>
      <c r="AT232" s="3" t="str">
        <f t="shared" si="66"/>
        <v/>
      </c>
      <c r="AU232" s="3">
        <f t="shared" si="67"/>
        <v>0</v>
      </c>
      <c r="AV232" s="3">
        <f t="shared" si="68"/>
        <v>0</v>
      </c>
      <c r="AW232" s="3">
        <v>456</v>
      </c>
      <c r="AX232" s="3" t="e">
        <f>IF(AND(#REF!="N",OR(AW232=$AX$1,AW232=$AX$2,AW232=$AX$3,AW232=$AX$4,AW232=$AY$1,AW232=$AY$2,AW232=$AY$3,AW232=$AY$4)),0,1)</f>
        <v>#REF!</v>
      </c>
    </row>
    <row r="233" spans="2:50" x14ac:dyDescent="0.2">
      <c r="B233" s="4">
        <v>458</v>
      </c>
      <c r="C233" s="208">
        <v>4.4194173824159217E-8</v>
      </c>
      <c r="D233" s="208">
        <v>4.4194173824159217E-8</v>
      </c>
      <c r="E233" s="208">
        <v>4.4194173824159217E-8</v>
      </c>
      <c r="F233" s="209" t="s">
        <v>714</v>
      </c>
      <c r="G233" s="208">
        <v>6.5397306677962839E-16</v>
      </c>
      <c r="H233" s="210">
        <v>8.9389426181093248E-15</v>
      </c>
      <c r="I233" s="208">
        <v>3.9504918386890841E-24</v>
      </c>
      <c r="J233" s="208">
        <v>3.9504918386890841E-24</v>
      </c>
      <c r="K233" s="208">
        <v>3.9504918386890841E-24</v>
      </c>
      <c r="L233" s="208">
        <v>0</v>
      </c>
      <c r="M233" s="208">
        <v>0</v>
      </c>
      <c r="N233" s="208">
        <v>0</v>
      </c>
      <c r="O233" s="3">
        <v>360</v>
      </c>
      <c r="P233" s="3">
        <v>360</v>
      </c>
      <c r="Q233" s="3">
        <v>360</v>
      </c>
      <c r="S233" s="4">
        <v>0</v>
      </c>
      <c r="T233" s="4">
        <v>114.5</v>
      </c>
      <c r="U233" s="210"/>
      <c r="V233" s="210">
        <v>8.9389426181093248E-15</v>
      </c>
      <c r="W233" s="3">
        <v>0</v>
      </c>
      <c r="X233" s="3">
        <v>0</v>
      </c>
      <c r="Y233" s="3">
        <f t="shared" si="69"/>
        <v>1</v>
      </c>
      <c r="Z233" s="3">
        <f t="shared" si="70"/>
        <v>1</v>
      </c>
      <c r="AA233" s="3" t="str">
        <f t="shared" si="55"/>
        <v/>
      </c>
      <c r="AB233" s="3" t="str">
        <f t="shared" si="56"/>
        <v/>
      </c>
      <c r="AC233" s="3" t="str">
        <f t="shared" si="57"/>
        <v/>
      </c>
      <c r="AD233" s="3" t="str">
        <f t="shared" si="58"/>
        <v>0</v>
      </c>
      <c r="AE233" s="3">
        <f t="shared" si="59"/>
        <v>0</v>
      </c>
      <c r="AF233" s="3">
        <f t="shared" si="60"/>
        <v>0</v>
      </c>
      <c r="AM233" s="3" t="str">
        <f t="shared" si="61"/>
        <v/>
      </c>
      <c r="AN233" s="3" t="str">
        <f t="shared" si="62"/>
        <v/>
      </c>
      <c r="AO233" s="3" t="str">
        <f t="shared" si="63"/>
        <v/>
      </c>
      <c r="AP233" s="3">
        <f t="shared" si="64"/>
        <v>0</v>
      </c>
      <c r="AQ233" s="3">
        <f t="shared" si="65"/>
        <v>0</v>
      </c>
      <c r="AR233" s="3">
        <f t="shared" si="71"/>
        <v>0</v>
      </c>
      <c r="AS233" s="3" t="e">
        <f t="shared" si="72"/>
        <v>#REF!</v>
      </c>
      <c r="AT233" s="3" t="str">
        <f t="shared" si="66"/>
        <v/>
      </c>
      <c r="AU233" s="3">
        <f t="shared" si="67"/>
        <v>0</v>
      </c>
      <c r="AV233" s="3">
        <f t="shared" si="68"/>
        <v>0</v>
      </c>
      <c r="AW233" s="3">
        <v>458</v>
      </c>
      <c r="AX233" s="3" t="e">
        <f>IF(AND(#REF!="N",OR(AW233=$AX$1,AW233=$AX$2,AW233=$AX$3,AW233=$AX$4,AW233=$AY$1,AW233=$AY$2,AW233=$AY$3,AW233=$AY$4)),0,1)</f>
        <v>#REF!</v>
      </c>
    </row>
    <row r="234" spans="2:50" x14ac:dyDescent="0.2">
      <c r="B234" s="4">
        <v>460</v>
      </c>
      <c r="C234" s="208">
        <v>0.2053349539630713</v>
      </c>
      <c r="D234" s="208">
        <v>0.20533495396307033</v>
      </c>
      <c r="E234" s="208">
        <v>0.20533495396307164</v>
      </c>
      <c r="F234" s="209" t="s">
        <v>714</v>
      </c>
      <c r="G234" s="208">
        <v>1.3640378259243035E-2</v>
      </c>
      <c r="H234" s="210">
        <v>0.18644584118594415</v>
      </c>
      <c r="I234" s="208">
        <v>3.8283848216521946E-4</v>
      </c>
      <c r="J234" s="208">
        <v>3.8283848216521767E-4</v>
      </c>
      <c r="K234" s="208">
        <v>3.8283848216522011E-4</v>
      </c>
      <c r="L234" s="208">
        <v>6.6309570220272462E-4</v>
      </c>
      <c r="M234" s="208">
        <v>6.6309570220270217E-4</v>
      </c>
      <c r="N234" s="208">
        <v>6.6309570220270586E-4</v>
      </c>
      <c r="O234" s="3">
        <v>240</v>
      </c>
      <c r="P234" s="3">
        <v>240</v>
      </c>
      <c r="Q234" s="3">
        <v>240</v>
      </c>
      <c r="R234" s="4" t="s">
        <v>168</v>
      </c>
      <c r="S234" s="4" t="s">
        <v>168</v>
      </c>
      <c r="T234" s="4">
        <v>115</v>
      </c>
      <c r="U234" s="210"/>
      <c r="V234" s="210">
        <v>0.18644584118594415</v>
      </c>
      <c r="W234" s="3">
        <v>0</v>
      </c>
      <c r="X234" s="3">
        <v>0.18644584118594329</v>
      </c>
      <c r="Y234" s="3">
        <f t="shared" si="69"/>
        <v>1</v>
      </c>
      <c r="Z234" s="3">
        <f t="shared" si="70"/>
        <v>1</v>
      </c>
      <c r="AA234" s="3">
        <f t="shared" si="55"/>
        <v>0.13791844010203053</v>
      </c>
      <c r="AB234" s="3">
        <f t="shared" si="56"/>
        <v>6.8959220051015263E-2</v>
      </c>
      <c r="AC234" s="3">
        <f t="shared" si="57"/>
        <v>5.2143077543300765E-5</v>
      </c>
      <c r="AD234" s="3" t="str">
        <f t="shared" si="58"/>
        <v>1.57662927152729E-08+0.000052135188436152i</v>
      </c>
      <c r="AE234" s="3">
        <f t="shared" si="59"/>
        <v>1.57662927152729E-8</v>
      </c>
      <c r="AF234" s="3">
        <f t="shared" si="60"/>
        <v>5.2135188436151999E-5</v>
      </c>
      <c r="AM234" s="3" t="str">
        <f t="shared" si="61"/>
        <v>-3.59574595844563E-06+7.19149191689129E-06i</v>
      </c>
      <c r="AN234" s="3" t="str">
        <f t="shared" si="62"/>
        <v>0.137918440102031+0.0690113631285586i</v>
      </c>
      <c r="AO234" s="3" t="str">
        <f t="shared" si="63"/>
        <v>1.57662927152729E-08+0.000052135188436152i</v>
      </c>
      <c r="AP234" s="3">
        <f t="shared" si="64"/>
        <v>1.57662927152729E-8</v>
      </c>
      <c r="AQ234" s="3">
        <f t="shared" si="65"/>
        <v>5.2135188436151999E-5</v>
      </c>
      <c r="AR234" s="3">
        <f t="shared" si="71"/>
        <v>1.3659098493868667</v>
      </c>
      <c r="AS234" s="3" t="e">
        <f t="shared" si="72"/>
        <v>#REF!</v>
      </c>
      <c r="AT234" s="3" t="e">
        <f t="shared" si="66"/>
        <v>#REF!</v>
      </c>
      <c r="AU234" s="3" t="e">
        <f t="shared" si="67"/>
        <v>#REF!</v>
      </c>
      <c r="AV234" s="3" t="e">
        <f t="shared" si="68"/>
        <v>#REF!</v>
      </c>
      <c r="AW234" s="3">
        <v>460</v>
      </c>
      <c r="AX234" s="3" t="e">
        <f>IF(AND(#REF!="N",OR(AW234=$AX$1,AW234=$AX$2,AW234=$AX$3,AW234=$AX$4,AW234=$AY$1,AW234=$AY$2,AW234=$AY$3,AW234=$AY$4)),0,1)</f>
        <v>#REF!</v>
      </c>
    </row>
    <row r="235" spans="2:50" x14ac:dyDescent="0.2">
      <c r="B235" s="4">
        <v>462</v>
      </c>
      <c r="C235" s="208">
        <v>4.4194173824159217E-8</v>
      </c>
      <c r="D235" s="208">
        <v>4.4194173824159217E-8</v>
      </c>
      <c r="E235" s="208">
        <v>4.4194173824159217E-8</v>
      </c>
      <c r="F235" s="209" t="s">
        <v>714</v>
      </c>
      <c r="G235" s="208">
        <v>8.0530129233473409E-16</v>
      </c>
      <c r="H235" s="210">
        <v>1.1007398328982237E-14</v>
      </c>
      <c r="I235" s="208">
        <v>4.8646287510280066E-24</v>
      </c>
      <c r="J235" s="208">
        <v>4.8646287510280066E-24</v>
      </c>
      <c r="K235" s="208">
        <v>4.8646287510280066E-24</v>
      </c>
      <c r="L235" s="208">
        <v>0</v>
      </c>
      <c r="M235" s="208">
        <v>0</v>
      </c>
      <c r="N235" s="208">
        <v>0</v>
      </c>
      <c r="O235" s="3">
        <v>360</v>
      </c>
      <c r="P235" s="3">
        <v>360</v>
      </c>
      <c r="Q235" s="3">
        <v>360</v>
      </c>
      <c r="S235" s="4">
        <v>0</v>
      </c>
      <c r="T235" s="4">
        <v>115.5</v>
      </c>
      <c r="U235" s="210"/>
      <c r="V235" s="210">
        <v>1.1007398328982237E-14</v>
      </c>
      <c r="W235" s="3">
        <v>0</v>
      </c>
      <c r="X235" s="3">
        <v>0</v>
      </c>
      <c r="Y235" s="3">
        <f t="shared" si="69"/>
        <v>1</v>
      </c>
      <c r="Z235" s="3">
        <f t="shared" si="70"/>
        <v>1</v>
      </c>
      <c r="AA235" s="3" t="str">
        <f t="shared" si="55"/>
        <v/>
      </c>
      <c r="AB235" s="3" t="str">
        <f t="shared" si="56"/>
        <v/>
      </c>
      <c r="AC235" s="3" t="str">
        <f t="shared" si="57"/>
        <v/>
      </c>
      <c r="AD235" s="3" t="str">
        <f t="shared" si="58"/>
        <v>0</v>
      </c>
      <c r="AE235" s="3">
        <f t="shared" si="59"/>
        <v>0</v>
      </c>
      <c r="AF235" s="3">
        <f t="shared" si="60"/>
        <v>0</v>
      </c>
      <c r="AM235" s="3" t="str">
        <f t="shared" si="61"/>
        <v/>
      </c>
      <c r="AN235" s="3" t="str">
        <f t="shared" si="62"/>
        <v/>
      </c>
      <c r="AO235" s="3" t="str">
        <f t="shared" si="63"/>
        <v/>
      </c>
      <c r="AP235" s="3">
        <f t="shared" si="64"/>
        <v>0</v>
      </c>
      <c r="AQ235" s="3">
        <f t="shared" si="65"/>
        <v>0</v>
      </c>
      <c r="AR235" s="3">
        <f t="shared" si="71"/>
        <v>0</v>
      </c>
      <c r="AS235" s="3" t="e">
        <f t="shared" si="72"/>
        <v>#REF!</v>
      </c>
      <c r="AT235" s="3" t="str">
        <f t="shared" si="66"/>
        <v/>
      </c>
      <c r="AU235" s="3">
        <f t="shared" si="67"/>
        <v>0</v>
      </c>
      <c r="AV235" s="3">
        <f t="shared" si="68"/>
        <v>0</v>
      </c>
      <c r="AW235" s="3">
        <v>462</v>
      </c>
      <c r="AX235" s="3" t="e">
        <f>IF(AND(#REF!="N",OR(AW235=$AX$1,AW235=$AX$2,AW235=$AX$3,AW235=$AX$4,AW235=$AY$1,AW235=$AY$2,AW235=$AY$3,AW235=$AY$4)),0,1)</f>
        <v>#REF!</v>
      </c>
    </row>
    <row r="236" spans="2:50" x14ac:dyDescent="0.2">
      <c r="B236" s="4">
        <v>464</v>
      </c>
      <c r="C236" s="208">
        <v>4.4194173824159217E-8</v>
      </c>
      <c r="D236" s="208">
        <v>4.4194173824159217E-8</v>
      </c>
      <c r="E236" s="208">
        <v>4.4194173824159217E-8</v>
      </c>
      <c r="F236" s="209" t="s">
        <v>714</v>
      </c>
      <c r="G236" s="208">
        <v>1.7007328790409375E-16</v>
      </c>
      <c r="H236" s="210">
        <v>2.3246757988585077E-15</v>
      </c>
      <c r="I236" s="208">
        <v>1.0273712633956908E-24</v>
      </c>
      <c r="J236" s="208">
        <v>1.0273712633956908E-24</v>
      </c>
      <c r="K236" s="208">
        <v>1.0273712633956908E-24</v>
      </c>
      <c r="L236" s="208">
        <v>0</v>
      </c>
      <c r="M236" s="208">
        <v>0</v>
      </c>
      <c r="N236" s="208">
        <v>0</v>
      </c>
      <c r="O236" s="3">
        <v>360</v>
      </c>
      <c r="P236" s="3">
        <v>360</v>
      </c>
      <c r="Q236" s="3">
        <v>360</v>
      </c>
      <c r="S236" s="4">
        <v>0</v>
      </c>
      <c r="T236" s="4">
        <v>116</v>
      </c>
      <c r="U236" s="210"/>
      <c r="V236" s="210">
        <v>2.3246757988585077E-15</v>
      </c>
      <c r="W236" s="3">
        <v>0</v>
      </c>
      <c r="X236" s="3">
        <v>0</v>
      </c>
      <c r="Y236" s="3">
        <f t="shared" si="69"/>
        <v>1</v>
      </c>
      <c r="Z236" s="3">
        <f t="shared" si="70"/>
        <v>1</v>
      </c>
      <c r="AA236" s="3" t="str">
        <f t="shared" si="55"/>
        <v/>
      </c>
      <c r="AB236" s="3" t="str">
        <f t="shared" si="56"/>
        <v/>
      </c>
      <c r="AC236" s="3" t="str">
        <f t="shared" si="57"/>
        <v/>
      </c>
      <c r="AD236" s="3" t="str">
        <f t="shared" si="58"/>
        <v>0</v>
      </c>
      <c r="AE236" s="3">
        <f t="shared" si="59"/>
        <v>0</v>
      </c>
      <c r="AF236" s="3">
        <f t="shared" si="60"/>
        <v>0</v>
      </c>
      <c r="AM236" s="3" t="str">
        <f t="shared" si="61"/>
        <v/>
      </c>
      <c r="AN236" s="3" t="str">
        <f t="shared" si="62"/>
        <v/>
      </c>
      <c r="AO236" s="3" t="str">
        <f t="shared" si="63"/>
        <v/>
      </c>
      <c r="AP236" s="3">
        <f t="shared" si="64"/>
        <v>0</v>
      </c>
      <c r="AQ236" s="3">
        <f t="shared" si="65"/>
        <v>0</v>
      </c>
      <c r="AR236" s="3">
        <f t="shared" si="71"/>
        <v>0</v>
      </c>
      <c r="AS236" s="3" t="e">
        <f t="shared" si="72"/>
        <v>#REF!</v>
      </c>
      <c r="AT236" s="3" t="str">
        <f t="shared" si="66"/>
        <v/>
      </c>
      <c r="AU236" s="3">
        <f t="shared" si="67"/>
        <v>0</v>
      </c>
      <c r="AV236" s="3">
        <f t="shared" si="68"/>
        <v>0</v>
      </c>
      <c r="AW236" s="3">
        <v>464</v>
      </c>
      <c r="AX236" s="3" t="e">
        <f>IF(AND(#REF!="N",OR(AW236=$AX$1,AW236=$AX$2,AW236=$AX$3,AW236=$AX$4,AW236=$AY$1,AW236=$AY$2,AW236=$AY$3,AW236=$AY$4)),0,1)</f>
        <v>#REF!</v>
      </c>
    </row>
    <row r="237" spans="2:50" x14ac:dyDescent="0.2">
      <c r="B237" s="4">
        <v>466</v>
      </c>
      <c r="C237" s="208">
        <v>4.4194173824159217E-8</v>
      </c>
      <c r="D237" s="208">
        <v>4.4194173824159217E-8</v>
      </c>
      <c r="E237" s="208">
        <v>4.4194173824159217E-8</v>
      </c>
      <c r="F237" s="209" t="s">
        <v>714</v>
      </c>
      <c r="G237" s="208">
        <v>7.4678635105512416E-16</v>
      </c>
      <c r="H237" s="210">
        <v>1.0207576854718484E-14</v>
      </c>
      <c r="I237" s="208">
        <v>4.5111542584089313E-24</v>
      </c>
      <c r="J237" s="208">
        <v>4.5111542584089313E-24</v>
      </c>
      <c r="K237" s="208">
        <v>4.5111542584089313E-24</v>
      </c>
      <c r="L237" s="208">
        <v>0</v>
      </c>
      <c r="M237" s="208">
        <v>0</v>
      </c>
      <c r="N237" s="208">
        <v>0</v>
      </c>
      <c r="O237" s="3">
        <v>360</v>
      </c>
      <c r="P237" s="3">
        <v>360</v>
      </c>
      <c r="Q237" s="3">
        <v>360</v>
      </c>
      <c r="S237" s="4">
        <v>0</v>
      </c>
      <c r="T237" s="4">
        <v>116.5</v>
      </c>
      <c r="U237" s="210"/>
      <c r="V237" s="210">
        <v>1.0207576854718485E-14</v>
      </c>
      <c r="W237" s="3">
        <v>0</v>
      </c>
      <c r="X237" s="3">
        <v>0</v>
      </c>
      <c r="Y237" s="3">
        <f t="shared" si="69"/>
        <v>1</v>
      </c>
      <c r="Z237" s="3">
        <f t="shared" si="70"/>
        <v>1</v>
      </c>
      <c r="AA237" s="3" t="str">
        <f t="shared" si="55"/>
        <v/>
      </c>
      <c r="AB237" s="3" t="str">
        <f t="shared" si="56"/>
        <v/>
      </c>
      <c r="AC237" s="3" t="str">
        <f t="shared" si="57"/>
        <v/>
      </c>
      <c r="AD237" s="3" t="str">
        <f t="shared" si="58"/>
        <v>0</v>
      </c>
      <c r="AE237" s="3">
        <f t="shared" si="59"/>
        <v>0</v>
      </c>
      <c r="AF237" s="3">
        <f t="shared" si="60"/>
        <v>0</v>
      </c>
      <c r="AM237" s="3" t="str">
        <f t="shared" si="61"/>
        <v/>
      </c>
      <c r="AN237" s="3" t="str">
        <f t="shared" si="62"/>
        <v/>
      </c>
      <c r="AO237" s="3" t="str">
        <f t="shared" si="63"/>
        <v/>
      </c>
      <c r="AP237" s="3">
        <f t="shared" si="64"/>
        <v>0</v>
      </c>
      <c r="AQ237" s="3">
        <f t="shared" si="65"/>
        <v>0</v>
      </c>
      <c r="AR237" s="3">
        <f t="shared" si="71"/>
        <v>0</v>
      </c>
      <c r="AS237" s="3" t="e">
        <f t="shared" si="72"/>
        <v>#REF!</v>
      </c>
      <c r="AT237" s="3" t="str">
        <f t="shared" si="66"/>
        <v/>
      </c>
      <c r="AU237" s="3">
        <f t="shared" si="67"/>
        <v>0</v>
      </c>
      <c r="AV237" s="3">
        <f t="shared" si="68"/>
        <v>0</v>
      </c>
      <c r="AW237" s="3">
        <v>466</v>
      </c>
      <c r="AX237" s="3" t="e">
        <f>IF(AND(#REF!="N",OR(AW237=$AX$1,AW237=$AX$2,AW237=$AX$3,AW237=$AX$4,AW237=$AY$1,AW237=$AY$2,AW237=$AY$3,AW237=$AY$4)),0,1)</f>
        <v>#REF!</v>
      </c>
    </row>
    <row r="238" spans="2:50" x14ac:dyDescent="0.2">
      <c r="B238" s="4">
        <v>468</v>
      </c>
      <c r="C238" s="208">
        <v>0.65328148243820527</v>
      </c>
      <c r="D238" s="208">
        <v>0.65328148243820428</v>
      </c>
      <c r="E238" s="208">
        <v>0.65328148243817508</v>
      </c>
      <c r="F238" s="209" t="s">
        <v>714</v>
      </c>
      <c r="G238" s="208">
        <v>1.0163766373302551E-15</v>
      </c>
      <c r="H238" s="210">
        <v>1.3892517751871849E-14</v>
      </c>
      <c r="I238" s="208">
        <v>9.0757245917419247E-17</v>
      </c>
      <c r="J238" s="208">
        <v>9.0757245917419099E-17</v>
      </c>
      <c r="K238" s="208">
        <v>9.0757245917415044E-17</v>
      </c>
      <c r="L238" s="208">
        <v>4.4252226401919579E-30</v>
      </c>
      <c r="M238" s="208">
        <v>3.3461780601012662E-30</v>
      </c>
      <c r="N238" s="208">
        <v>4.4851773718152923E-30</v>
      </c>
      <c r="O238" s="3">
        <v>0</v>
      </c>
      <c r="P238" s="3">
        <v>360</v>
      </c>
      <c r="Q238" s="3">
        <v>0</v>
      </c>
      <c r="S238" s="4">
        <v>0</v>
      </c>
      <c r="T238" s="4">
        <v>117</v>
      </c>
      <c r="U238" s="210"/>
      <c r="V238" s="210">
        <v>1.3892517751871849E-14</v>
      </c>
      <c r="W238" s="3">
        <v>0</v>
      </c>
      <c r="X238" s="3">
        <v>0</v>
      </c>
      <c r="Y238" s="3">
        <f t="shared" si="69"/>
        <v>1</v>
      </c>
      <c r="Z238" s="3">
        <f t="shared" si="70"/>
        <v>1</v>
      </c>
      <c r="AA238" s="3" t="str">
        <f t="shared" si="55"/>
        <v/>
      </c>
      <c r="AB238" s="3" t="str">
        <f t="shared" si="56"/>
        <v/>
      </c>
      <c r="AC238" s="3" t="str">
        <f t="shared" si="57"/>
        <v/>
      </c>
      <c r="AD238" s="3" t="str">
        <f t="shared" si="58"/>
        <v>0</v>
      </c>
      <c r="AE238" s="3">
        <f t="shared" si="59"/>
        <v>0</v>
      </c>
      <c r="AF238" s="3">
        <f t="shared" si="60"/>
        <v>0</v>
      </c>
      <c r="AM238" s="3" t="str">
        <f t="shared" si="61"/>
        <v/>
      </c>
      <c r="AN238" s="3" t="str">
        <f t="shared" si="62"/>
        <v/>
      </c>
      <c r="AO238" s="3" t="str">
        <f t="shared" si="63"/>
        <v/>
      </c>
      <c r="AP238" s="3">
        <f t="shared" si="64"/>
        <v>0</v>
      </c>
      <c r="AQ238" s="3">
        <f t="shared" si="65"/>
        <v>0</v>
      </c>
      <c r="AR238" s="3">
        <f t="shared" si="71"/>
        <v>0</v>
      </c>
      <c r="AS238" s="3" t="e">
        <f t="shared" si="72"/>
        <v>#REF!</v>
      </c>
      <c r="AT238" s="3" t="str">
        <f t="shared" si="66"/>
        <v/>
      </c>
      <c r="AU238" s="3">
        <f t="shared" si="67"/>
        <v>0</v>
      </c>
      <c r="AV238" s="3">
        <f t="shared" si="68"/>
        <v>0</v>
      </c>
      <c r="AW238" s="3">
        <v>468</v>
      </c>
      <c r="AX238" s="3" t="e">
        <f>IF(AND(#REF!="N",OR(AW238=$AX$1,AW238=$AX$2,AW238=$AX$3,AW238=$AX$4,AW238=$AY$1,AW238=$AY$2,AW238=$AY$3,AW238=$AY$4)),0,1)</f>
        <v>#REF!</v>
      </c>
    </row>
    <row r="239" spans="2:50" x14ac:dyDescent="0.2">
      <c r="B239" s="4">
        <v>470</v>
      </c>
      <c r="C239" s="208">
        <v>4.4194173824159217E-8</v>
      </c>
      <c r="D239" s="208">
        <v>4.4194173824159217E-8</v>
      </c>
      <c r="E239" s="208">
        <v>4.4194173824159217E-8</v>
      </c>
      <c r="F239" s="209" t="s">
        <v>714</v>
      </c>
      <c r="G239" s="208">
        <v>3.5709701957510149E-16</v>
      </c>
      <c r="H239" s="210">
        <v>4.8810416349383661E-15</v>
      </c>
      <c r="I239" s="208">
        <v>2.1571360245742442E-24</v>
      </c>
      <c r="J239" s="208">
        <v>2.1571360245742442E-24</v>
      </c>
      <c r="K239" s="208">
        <v>2.1571360245742442E-24</v>
      </c>
      <c r="L239" s="208">
        <v>0</v>
      </c>
      <c r="M239" s="208">
        <v>0</v>
      </c>
      <c r="N239" s="208">
        <v>0</v>
      </c>
      <c r="O239" s="3">
        <v>360</v>
      </c>
      <c r="P239" s="3">
        <v>360</v>
      </c>
      <c r="Q239" s="3">
        <v>360</v>
      </c>
      <c r="S239" s="4">
        <v>0</v>
      </c>
      <c r="T239" s="4">
        <v>117.5</v>
      </c>
      <c r="U239" s="210"/>
      <c r="V239" s="210">
        <v>4.8810416349383661E-15</v>
      </c>
      <c r="W239" s="3">
        <v>0</v>
      </c>
      <c r="X239" s="3">
        <v>0</v>
      </c>
      <c r="Y239" s="3">
        <f t="shared" si="69"/>
        <v>1</v>
      </c>
      <c r="Z239" s="3">
        <f t="shared" si="70"/>
        <v>1</v>
      </c>
      <c r="AA239" s="3" t="str">
        <f t="shared" si="55"/>
        <v/>
      </c>
      <c r="AB239" s="3" t="str">
        <f t="shared" si="56"/>
        <v/>
      </c>
      <c r="AC239" s="3" t="str">
        <f t="shared" si="57"/>
        <v/>
      </c>
      <c r="AD239" s="3" t="str">
        <f t="shared" si="58"/>
        <v>0</v>
      </c>
      <c r="AE239" s="3">
        <f t="shared" si="59"/>
        <v>0</v>
      </c>
      <c r="AF239" s="3">
        <f t="shared" si="60"/>
        <v>0</v>
      </c>
      <c r="AM239" s="3" t="str">
        <f t="shared" si="61"/>
        <v/>
      </c>
      <c r="AN239" s="3" t="str">
        <f t="shared" si="62"/>
        <v/>
      </c>
      <c r="AO239" s="3" t="str">
        <f t="shared" si="63"/>
        <v/>
      </c>
      <c r="AP239" s="3">
        <f t="shared" si="64"/>
        <v>0</v>
      </c>
      <c r="AQ239" s="3">
        <f t="shared" si="65"/>
        <v>0</v>
      </c>
      <c r="AR239" s="3">
        <f t="shared" si="71"/>
        <v>0</v>
      </c>
      <c r="AS239" s="3" t="e">
        <f t="shared" si="72"/>
        <v>#REF!</v>
      </c>
      <c r="AT239" s="3" t="str">
        <f t="shared" si="66"/>
        <v/>
      </c>
      <c r="AU239" s="3">
        <f t="shared" si="67"/>
        <v>0</v>
      </c>
      <c r="AV239" s="3">
        <f t="shared" si="68"/>
        <v>0</v>
      </c>
      <c r="AW239" s="3">
        <v>470</v>
      </c>
      <c r="AX239" s="3" t="e">
        <f>IF(AND(#REF!="N",OR(AW239=$AX$1,AW239=$AX$2,AW239=$AX$3,AW239=$AX$4,AW239=$AY$1,AW239=$AY$2,AW239=$AY$3,AW239=$AY$4)),0,1)</f>
        <v>#REF!</v>
      </c>
    </row>
    <row r="240" spans="2:50" x14ac:dyDescent="0.2">
      <c r="B240" s="4">
        <v>472</v>
      </c>
      <c r="C240" s="208">
        <v>4.4194173824159217E-8</v>
      </c>
      <c r="D240" s="208">
        <v>4.4194173824159217E-8</v>
      </c>
      <c r="E240" s="208">
        <v>4.4194173824159217E-8</v>
      </c>
      <c r="F240" s="209" t="s">
        <v>714</v>
      </c>
      <c r="G240" s="208">
        <v>2.2525117598896116E-15</v>
      </c>
      <c r="H240" s="210">
        <v>3.0788841912742979E-14</v>
      </c>
      <c r="I240" s="208">
        <v>1.360687431336322E-23</v>
      </c>
      <c r="J240" s="208">
        <v>1.360687431336322E-23</v>
      </c>
      <c r="K240" s="208">
        <v>1.360687431336322E-23</v>
      </c>
      <c r="L240" s="208">
        <v>0</v>
      </c>
      <c r="M240" s="208">
        <v>0</v>
      </c>
      <c r="N240" s="208">
        <v>0</v>
      </c>
      <c r="O240" s="3">
        <v>360</v>
      </c>
      <c r="P240" s="3">
        <v>360</v>
      </c>
      <c r="Q240" s="3">
        <v>360</v>
      </c>
      <c r="S240" s="4">
        <v>0</v>
      </c>
      <c r="T240" s="4">
        <v>118</v>
      </c>
      <c r="U240" s="210"/>
      <c r="V240" s="210">
        <v>3.0788841912742979E-14</v>
      </c>
      <c r="W240" s="3">
        <v>0</v>
      </c>
      <c r="X240" s="3">
        <v>0</v>
      </c>
      <c r="Y240" s="3">
        <f t="shared" si="69"/>
        <v>1</v>
      </c>
      <c r="Z240" s="3">
        <f t="shared" si="70"/>
        <v>1</v>
      </c>
      <c r="AA240" s="3" t="str">
        <f t="shared" si="55"/>
        <v/>
      </c>
      <c r="AB240" s="3" t="str">
        <f t="shared" si="56"/>
        <v/>
      </c>
      <c r="AC240" s="3" t="str">
        <f t="shared" si="57"/>
        <v/>
      </c>
      <c r="AD240" s="3" t="str">
        <f t="shared" si="58"/>
        <v>0</v>
      </c>
      <c r="AE240" s="3">
        <f t="shared" si="59"/>
        <v>0</v>
      </c>
      <c r="AF240" s="3">
        <f t="shared" si="60"/>
        <v>0</v>
      </c>
      <c r="AM240" s="3" t="str">
        <f t="shared" si="61"/>
        <v/>
      </c>
      <c r="AN240" s="3" t="str">
        <f t="shared" si="62"/>
        <v/>
      </c>
      <c r="AO240" s="3" t="str">
        <f t="shared" si="63"/>
        <v/>
      </c>
      <c r="AP240" s="3">
        <f t="shared" si="64"/>
        <v>0</v>
      </c>
      <c r="AQ240" s="3">
        <f t="shared" si="65"/>
        <v>0</v>
      </c>
      <c r="AR240" s="3">
        <f t="shared" si="71"/>
        <v>0</v>
      </c>
      <c r="AS240" s="3" t="e">
        <f t="shared" si="72"/>
        <v>#REF!</v>
      </c>
      <c r="AT240" s="3" t="str">
        <f t="shared" si="66"/>
        <v/>
      </c>
      <c r="AU240" s="3">
        <f t="shared" si="67"/>
        <v>0</v>
      </c>
      <c r="AV240" s="3">
        <f t="shared" si="68"/>
        <v>0</v>
      </c>
      <c r="AW240" s="3">
        <v>472</v>
      </c>
      <c r="AX240" s="3" t="e">
        <f>IF(AND(#REF!="N",OR(AW240=$AX$1,AW240=$AX$2,AW240=$AX$3,AW240=$AX$4,AW240=$AY$1,AW240=$AY$2,AW240=$AY$3,AW240=$AY$4)),0,1)</f>
        <v>#REF!</v>
      </c>
    </row>
    <row r="241" spans="2:50" x14ac:dyDescent="0.2">
      <c r="B241" s="4">
        <v>474</v>
      </c>
      <c r="C241" s="208">
        <v>4.4194173824159217E-8</v>
      </c>
      <c r="D241" s="208">
        <v>4.4194173824159217E-8</v>
      </c>
      <c r="E241" s="208">
        <v>4.4194173824159217E-8</v>
      </c>
      <c r="F241" s="209" t="s">
        <v>714</v>
      </c>
      <c r="G241" s="208">
        <v>2.8508816110899806E-16</v>
      </c>
      <c r="H241" s="210">
        <v>3.8967762476896915E-15</v>
      </c>
      <c r="I241" s="208">
        <v>1.7221480684425313E-24</v>
      </c>
      <c r="J241" s="208">
        <v>1.7221480684425313E-24</v>
      </c>
      <c r="K241" s="208">
        <v>1.7221480684425313E-24</v>
      </c>
      <c r="L241" s="208">
        <v>0</v>
      </c>
      <c r="M241" s="208">
        <v>0</v>
      </c>
      <c r="N241" s="208">
        <v>0</v>
      </c>
      <c r="O241" s="3">
        <v>360</v>
      </c>
      <c r="P241" s="3">
        <v>360</v>
      </c>
      <c r="Q241" s="3">
        <v>360</v>
      </c>
      <c r="S241" s="4">
        <v>0</v>
      </c>
      <c r="T241" s="4">
        <v>118.5</v>
      </c>
      <c r="U241" s="210"/>
      <c r="V241" s="210">
        <v>3.8967762476896915E-15</v>
      </c>
      <c r="W241" s="3">
        <v>0</v>
      </c>
      <c r="X241" s="3">
        <v>0</v>
      </c>
      <c r="Y241" s="3">
        <f t="shared" si="69"/>
        <v>1</v>
      </c>
      <c r="Z241" s="3">
        <f t="shared" si="70"/>
        <v>1</v>
      </c>
      <c r="AA241" s="3" t="str">
        <f t="shared" si="55"/>
        <v/>
      </c>
      <c r="AB241" s="3" t="str">
        <f t="shared" si="56"/>
        <v/>
      </c>
      <c r="AC241" s="3" t="str">
        <f t="shared" si="57"/>
        <v/>
      </c>
      <c r="AD241" s="3" t="str">
        <f t="shared" si="58"/>
        <v>0</v>
      </c>
      <c r="AE241" s="3">
        <f t="shared" si="59"/>
        <v>0</v>
      </c>
      <c r="AF241" s="3">
        <f t="shared" si="60"/>
        <v>0</v>
      </c>
      <c r="AM241" s="3" t="str">
        <f t="shared" si="61"/>
        <v/>
      </c>
      <c r="AN241" s="3" t="str">
        <f t="shared" si="62"/>
        <v/>
      </c>
      <c r="AO241" s="3" t="str">
        <f t="shared" si="63"/>
        <v/>
      </c>
      <c r="AP241" s="3">
        <f t="shared" si="64"/>
        <v>0</v>
      </c>
      <c r="AQ241" s="3">
        <f t="shared" si="65"/>
        <v>0</v>
      </c>
      <c r="AR241" s="3">
        <f t="shared" si="71"/>
        <v>0</v>
      </c>
      <c r="AS241" s="3" t="e">
        <f t="shared" si="72"/>
        <v>#REF!</v>
      </c>
      <c r="AT241" s="3" t="str">
        <f t="shared" si="66"/>
        <v/>
      </c>
      <c r="AU241" s="3">
        <f t="shared" si="67"/>
        <v>0</v>
      </c>
      <c r="AV241" s="3">
        <f t="shared" si="68"/>
        <v>0</v>
      </c>
      <c r="AW241" s="3">
        <v>474</v>
      </c>
      <c r="AX241" s="3" t="e">
        <f>IF(AND(#REF!="N",OR(AW241=$AX$1,AW241=$AX$2,AW241=$AX$3,AW241=$AX$4,AW241=$AY$1,AW241=$AY$2,AW241=$AY$3,AW241=$AY$4)),0,1)</f>
        <v>#REF!</v>
      </c>
    </row>
    <row r="242" spans="2:50" x14ac:dyDescent="0.2">
      <c r="B242" s="4">
        <v>476</v>
      </c>
      <c r="C242" s="208">
        <v>0.95766219694255217</v>
      </c>
      <c r="D242" s="208">
        <v>0.95766219694255339</v>
      </c>
      <c r="E242" s="208">
        <v>0.95766219694255228</v>
      </c>
      <c r="F242" s="209" t="s">
        <v>714</v>
      </c>
      <c r="G242" s="208">
        <v>6.1478993931691366E-2</v>
      </c>
      <c r="H242" s="210">
        <v>0.84033613445378597</v>
      </c>
      <c r="I242" s="208">
        <v>8.0475814869122465E-3</v>
      </c>
      <c r="J242" s="208">
        <v>8.0475814869122569E-3</v>
      </c>
      <c r="K242" s="208">
        <v>8.0475814869122465E-3</v>
      </c>
      <c r="L242" s="208">
        <v>1.39388200133826E-2</v>
      </c>
      <c r="M242" s="208">
        <v>1.3938820013382827E-2</v>
      </c>
      <c r="N242" s="208">
        <v>1.3938820013382701E-2</v>
      </c>
      <c r="O242" s="3">
        <v>120</v>
      </c>
      <c r="P242" s="3">
        <v>120</v>
      </c>
      <c r="Q242" s="3">
        <v>120</v>
      </c>
      <c r="R242" s="4" t="s">
        <v>172</v>
      </c>
      <c r="S242" s="4" t="s">
        <v>172</v>
      </c>
      <c r="T242" s="4">
        <v>119</v>
      </c>
      <c r="U242" s="210"/>
      <c r="V242" s="210">
        <v>0.84033613445378585</v>
      </c>
      <c r="W242" s="3">
        <v>0.84033613445378375</v>
      </c>
      <c r="X242" s="3">
        <v>0</v>
      </c>
      <c r="Y242" s="3">
        <f t="shared" si="69"/>
        <v>1</v>
      </c>
      <c r="Z242" s="3">
        <f t="shared" si="70"/>
        <v>1</v>
      </c>
      <c r="AA242" s="3">
        <f t="shared" si="55"/>
        <v>3.0000000000000226</v>
      </c>
      <c r="AB242" s="3">
        <f t="shared" si="56"/>
        <v>1.5000000000000113</v>
      </c>
      <c r="AC242" s="3">
        <f t="shared" si="57"/>
        <v>1.0592472283030936E-3</v>
      </c>
      <c r="AD242" s="3" t="str">
        <f t="shared" si="58"/>
        <v>2.99116730725688E-07+0.00105909756432487i</v>
      </c>
      <c r="AE242" s="3">
        <f t="shared" si="59"/>
        <v>2.99116730725688E-7</v>
      </c>
      <c r="AF242" s="3">
        <f t="shared" si="60"/>
        <v>1.05909756432487E-3</v>
      </c>
      <c r="AM242" s="3" t="str">
        <f t="shared" si="61"/>
        <v>-0.00158887084245465+0.00317774168490929i</v>
      </c>
      <c r="AN242" s="3" t="str">
        <f t="shared" si="62"/>
        <v>3.00000000000002+1.50105924722831i</v>
      </c>
      <c r="AO242" s="3" t="str">
        <f t="shared" si="63"/>
        <v>2.99116730725688E-07+0.00105909756432487i</v>
      </c>
      <c r="AP242" s="3">
        <f t="shared" si="64"/>
        <v>2.99116730725688E-7</v>
      </c>
      <c r="AQ242" s="3">
        <f t="shared" si="65"/>
        <v>1.05909756432487E-3</v>
      </c>
      <c r="AR242" s="3">
        <f t="shared" si="71"/>
        <v>-1.3199969132730225</v>
      </c>
      <c r="AS242" s="3" t="e">
        <f t="shared" si="72"/>
        <v>#REF!</v>
      </c>
      <c r="AT242" s="3" t="e">
        <f t="shared" si="66"/>
        <v>#REF!</v>
      </c>
      <c r="AU242" s="3" t="e">
        <f t="shared" si="67"/>
        <v>#REF!</v>
      </c>
      <c r="AV242" s="3" t="e">
        <f t="shared" si="68"/>
        <v>#REF!</v>
      </c>
      <c r="AW242" s="3">
        <v>476</v>
      </c>
      <c r="AX242" s="3" t="e">
        <f>IF(AND(#REF!="N",OR(AW242=$AX$1,AW242=$AX$2,AW242=$AX$3,AW242=$AX$4,AW242=$AY$1,AW242=$AY$2,AW242=$AY$3,AW242=$AY$4)),0,1)</f>
        <v>#REF!</v>
      </c>
    </row>
    <row r="243" spans="2:50" x14ac:dyDescent="0.2">
      <c r="B243" s="4">
        <v>478</v>
      </c>
      <c r="C243" s="208">
        <v>4.4194173824159217E-8</v>
      </c>
      <c r="D243" s="208">
        <v>4.4194173824159217E-8</v>
      </c>
      <c r="E243" s="208">
        <v>4.4194173824159217E-8</v>
      </c>
      <c r="F243" s="209" t="s">
        <v>714</v>
      </c>
      <c r="G243" s="208">
        <v>8.4299273744608966E-16</v>
      </c>
      <c r="H243" s="210">
        <v>1.1522590287426542E-14</v>
      </c>
      <c r="I243" s="208">
        <v>5.092313580670973E-24</v>
      </c>
      <c r="J243" s="208">
        <v>5.092313580670973E-24</v>
      </c>
      <c r="K243" s="208">
        <v>5.092313580670973E-24</v>
      </c>
      <c r="L243" s="208">
        <v>0</v>
      </c>
      <c r="M243" s="208">
        <v>0</v>
      </c>
      <c r="N243" s="208">
        <v>0</v>
      </c>
      <c r="O243" s="3">
        <v>360</v>
      </c>
      <c r="P243" s="3">
        <v>360</v>
      </c>
      <c r="Q243" s="3">
        <v>360</v>
      </c>
      <c r="S243" s="4">
        <v>0</v>
      </c>
      <c r="T243" s="4">
        <v>119.5</v>
      </c>
      <c r="U243" s="210"/>
      <c r="V243" s="210">
        <v>1.1522590287426542E-14</v>
      </c>
      <c r="W243" s="3">
        <v>0</v>
      </c>
      <c r="X243" s="3">
        <v>0</v>
      </c>
      <c r="Y243" s="3">
        <f t="shared" si="69"/>
        <v>1</v>
      </c>
      <c r="Z243" s="3">
        <f t="shared" si="70"/>
        <v>1</v>
      </c>
      <c r="AA243" s="3" t="str">
        <f t="shared" si="55"/>
        <v/>
      </c>
      <c r="AB243" s="3" t="str">
        <f t="shared" si="56"/>
        <v/>
      </c>
      <c r="AC243" s="3" t="str">
        <f t="shared" si="57"/>
        <v/>
      </c>
      <c r="AD243" s="3" t="str">
        <f t="shared" si="58"/>
        <v>0</v>
      </c>
      <c r="AE243" s="3">
        <f t="shared" si="59"/>
        <v>0</v>
      </c>
      <c r="AF243" s="3">
        <f t="shared" si="60"/>
        <v>0</v>
      </c>
      <c r="AM243" s="3" t="str">
        <f t="shared" si="61"/>
        <v/>
      </c>
      <c r="AN243" s="3" t="str">
        <f t="shared" si="62"/>
        <v/>
      </c>
      <c r="AO243" s="3" t="str">
        <f t="shared" si="63"/>
        <v/>
      </c>
      <c r="AP243" s="3">
        <f t="shared" si="64"/>
        <v>0</v>
      </c>
      <c r="AQ243" s="3">
        <f t="shared" si="65"/>
        <v>0</v>
      </c>
      <c r="AR243" s="3">
        <f t="shared" si="71"/>
        <v>0</v>
      </c>
      <c r="AS243" s="3" t="e">
        <f t="shared" si="72"/>
        <v>#REF!</v>
      </c>
      <c r="AT243" s="3" t="str">
        <f t="shared" si="66"/>
        <v/>
      </c>
      <c r="AU243" s="3">
        <f t="shared" si="67"/>
        <v>0</v>
      </c>
      <c r="AV243" s="3">
        <f t="shared" si="68"/>
        <v>0</v>
      </c>
      <c r="AW243" s="3">
        <v>478</v>
      </c>
      <c r="AX243" s="3" t="e">
        <f>IF(AND(#REF!="N",OR(AW243=$AX$1,AW243=$AX$2,AW243=$AX$3,AW243=$AX$4,AW243=$AY$1,AW243=$AY$2,AW243=$AY$3,AW243=$AY$4)),0,1)</f>
        <v>#REF!</v>
      </c>
    </row>
    <row r="244" spans="2:50" x14ac:dyDescent="0.2">
      <c r="B244" s="4">
        <v>480</v>
      </c>
      <c r="C244" s="208">
        <v>4.4194173824159217E-8</v>
      </c>
      <c r="D244" s="208">
        <v>4.4194173824159217E-8</v>
      </c>
      <c r="E244" s="208">
        <v>4.4194173824159217E-8</v>
      </c>
      <c r="F244" s="209" t="s">
        <v>714</v>
      </c>
      <c r="G244" s="208">
        <v>5.5701229685847221E-16</v>
      </c>
      <c r="H244" s="210">
        <v>7.6136177652052849E-15</v>
      </c>
      <c r="I244" s="208">
        <v>3.3647754694618898E-24</v>
      </c>
      <c r="J244" s="208">
        <v>3.3647754694618898E-24</v>
      </c>
      <c r="K244" s="208">
        <v>3.3647754694618898E-24</v>
      </c>
      <c r="L244" s="208">
        <v>0</v>
      </c>
      <c r="M244" s="208">
        <v>0</v>
      </c>
      <c r="N244" s="208">
        <v>0</v>
      </c>
      <c r="O244" s="3">
        <v>360</v>
      </c>
      <c r="P244" s="3">
        <v>360</v>
      </c>
      <c r="Q244" s="3">
        <v>360</v>
      </c>
      <c r="S244" s="4">
        <v>0</v>
      </c>
      <c r="T244" s="4">
        <v>120</v>
      </c>
      <c r="U244" s="210"/>
      <c r="V244" s="210">
        <v>7.6136177652052834E-15</v>
      </c>
      <c r="W244" s="3">
        <v>0</v>
      </c>
      <c r="X244" s="3">
        <v>0</v>
      </c>
      <c r="Y244" s="3">
        <f t="shared" si="69"/>
        <v>1</v>
      </c>
      <c r="Z244" s="3">
        <f t="shared" si="70"/>
        <v>1</v>
      </c>
      <c r="AA244" s="3" t="str">
        <f t="shared" si="55"/>
        <v/>
      </c>
      <c r="AB244" s="3" t="str">
        <f t="shared" si="56"/>
        <v/>
      </c>
      <c r="AC244" s="3" t="str">
        <f t="shared" si="57"/>
        <v/>
      </c>
      <c r="AD244" s="3" t="str">
        <f t="shared" si="58"/>
        <v>0</v>
      </c>
      <c r="AE244" s="3">
        <f t="shared" si="59"/>
        <v>0</v>
      </c>
      <c r="AF244" s="3">
        <f t="shared" si="60"/>
        <v>0</v>
      </c>
      <c r="AM244" s="3" t="str">
        <f t="shared" si="61"/>
        <v/>
      </c>
      <c r="AN244" s="3" t="str">
        <f t="shared" si="62"/>
        <v/>
      </c>
      <c r="AO244" s="3" t="str">
        <f t="shared" si="63"/>
        <v/>
      </c>
      <c r="AP244" s="3">
        <f t="shared" si="64"/>
        <v>0</v>
      </c>
      <c r="AQ244" s="3">
        <f t="shared" si="65"/>
        <v>0</v>
      </c>
      <c r="AR244" s="3">
        <f t="shared" si="71"/>
        <v>0</v>
      </c>
      <c r="AS244" s="3" t="e">
        <f t="shared" si="72"/>
        <v>#REF!</v>
      </c>
      <c r="AT244" s="3" t="str">
        <f t="shared" si="66"/>
        <v/>
      </c>
      <c r="AU244" s="3">
        <f t="shared" si="67"/>
        <v>0</v>
      </c>
      <c r="AV244" s="3">
        <f t="shared" si="68"/>
        <v>0</v>
      </c>
      <c r="AW244" s="3">
        <v>480</v>
      </c>
      <c r="AX244" s="3" t="e">
        <f>IF(AND(#REF!="N",OR(AW244=$AX$1,AW244=$AX$2,AW244=$AX$3,AW244=$AX$4,AW244=$AY$1,AW244=$AY$2,AW244=$AY$3,AW244=$AY$4)),0,1)</f>
        <v>#REF!</v>
      </c>
    </row>
    <row r="245" spans="2:50" x14ac:dyDescent="0.2">
      <c r="B245" s="4">
        <v>482</v>
      </c>
      <c r="C245" s="208">
        <v>4.4194173824159217E-8</v>
      </c>
      <c r="D245" s="208">
        <v>4.4194173824159217E-8</v>
      </c>
      <c r="E245" s="208">
        <v>4.4194173824159217E-8</v>
      </c>
      <c r="F245" s="209" t="s">
        <v>714</v>
      </c>
      <c r="G245" s="208">
        <v>7.1384749318264001E-16</v>
      </c>
      <c r="H245" s="210">
        <v>9.7573464470992485E-15</v>
      </c>
      <c r="I245" s="208">
        <v>4.3121786494564651E-24</v>
      </c>
      <c r="J245" s="208">
        <v>4.3121786494564651E-24</v>
      </c>
      <c r="K245" s="208">
        <v>4.3121786494564651E-24</v>
      </c>
      <c r="L245" s="208">
        <v>0</v>
      </c>
      <c r="M245" s="208">
        <v>0</v>
      </c>
      <c r="N245" s="208">
        <v>0</v>
      </c>
      <c r="O245" s="3">
        <v>360</v>
      </c>
      <c r="P245" s="3">
        <v>360</v>
      </c>
      <c r="Q245" s="3">
        <v>360</v>
      </c>
      <c r="S245" s="4">
        <v>0</v>
      </c>
      <c r="T245" s="4">
        <v>120.5</v>
      </c>
      <c r="U245" s="210"/>
      <c r="V245" s="210">
        <v>9.7573464470992485E-15</v>
      </c>
      <c r="W245" s="3">
        <v>0</v>
      </c>
      <c r="X245" s="3">
        <v>0</v>
      </c>
      <c r="Y245" s="3">
        <f t="shared" si="69"/>
        <v>1</v>
      </c>
      <c r="Z245" s="3">
        <f t="shared" si="70"/>
        <v>1</v>
      </c>
      <c r="AA245" s="3" t="str">
        <f t="shared" si="55"/>
        <v/>
      </c>
      <c r="AB245" s="3" t="str">
        <f t="shared" si="56"/>
        <v/>
      </c>
      <c r="AC245" s="3" t="str">
        <f t="shared" si="57"/>
        <v/>
      </c>
      <c r="AD245" s="3" t="str">
        <f t="shared" si="58"/>
        <v>0</v>
      </c>
      <c r="AE245" s="3">
        <f t="shared" si="59"/>
        <v>0</v>
      </c>
      <c r="AF245" s="3">
        <f t="shared" si="60"/>
        <v>0</v>
      </c>
      <c r="AM245" s="3" t="str">
        <f t="shared" si="61"/>
        <v/>
      </c>
      <c r="AN245" s="3" t="str">
        <f t="shared" si="62"/>
        <v/>
      </c>
      <c r="AO245" s="3" t="str">
        <f t="shared" si="63"/>
        <v/>
      </c>
      <c r="AP245" s="3">
        <f t="shared" si="64"/>
        <v>0</v>
      </c>
      <c r="AQ245" s="3">
        <f t="shared" si="65"/>
        <v>0</v>
      </c>
      <c r="AR245" s="3">
        <f t="shared" si="71"/>
        <v>0</v>
      </c>
      <c r="AS245" s="3" t="e">
        <f t="shared" si="72"/>
        <v>#REF!</v>
      </c>
      <c r="AT245" s="3" t="str">
        <f t="shared" si="66"/>
        <v/>
      </c>
      <c r="AU245" s="3">
        <f t="shared" si="67"/>
        <v>0</v>
      </c>
      <c r="AV245" s="3">
        <f t="shared" si="68"/>
        <v>0</v>
      </c>
      <c r="AW245" s="3">
        <v>482</v>
      </c>
      <c r="AX245" s="3" t="e">
        <f>IF(AND(#REF!="N",OR(AW245=$AX$1,AW245=$AX$2,AW245=$AX$3,AW245=$AX$4,AW245=$AY$1,AW245=$AY$2,AW245=$AY$3,AW245=$AY$4)),0,1)</f>
        <v>#REF!</v>
      </c>
    </row>
    <row r="246" spans="2:50" x14ac:dyDescent="0.2">
      <c r="B246" s="4">
        <v>484</v>
      </c>
      <c r="C246" s="208">
        <v>0.9576621969425495</v>
      </c>
      <c r="D246" s="208">
        <v>0.95766219694254462</v>
      </c>
      <c r="E246" s="208">
        <v>0.95766219694255028</v>
      </c>
      <c r="F246" s="209" t="s">
        <v>714</v>
      </c>
      <c r="G246" s="208">
        <v>6.0462812213811792E-2</v>
      </c>
      <c r="H246" s="210">
        <v>0.82644628099173467</v>
      </c>
      <c r="I246" s="208">
        <v>7.9145636110954428E-3</v>
      </c>
      <c r="J246" s="208">
        <v>7.9145636110954012E-3</v>
      </c>
      <c r="K246" s="208">
        <v>7.914563611095448E-3</v>
      </c>
      <c r="L246" s="208">
        <v>1.3708426294153128E-2</v>
      </c>
      <c r="M246" s="208">
        <v>1.3708426294153041E-2</v>
      </c>
      <c r="N246" s="208">
        <v>1.3708426294153102E-2</v>
      </c>
      <c r="O246" s="3">
        <v>240</v>
      </c>
      <c r="P246" s="3">
        <v>240</v>
      </c>
      <c r="Q246" s="3">
        <v>240</v>
      </c>
      <c r="R246" s="4" t="s">
        <v>168</v>
      </c>
      <c r="S246" s="4" t="s">
        <v>168</v>
      </c>
      <c r="T246" s="4">
        <v>121</v>
      </c>
      <c r="U246" s="210"/>
      <c r="V246" s="210">
        <v>0.82644628099173467</v>
      </c>
      <c r="W246" s="3">
        <v>0</v>
      </c>
      <c r="X246" s="3">
        <v>0.82644628099173334</v>
      </c>
      <c r="Y246" s="3">
        <f t="shared" si="69"/>
        <v>1</v>
      </c>
      <c r="Z246" s="3">
        <f t="shared" si="70"/>
        <v>1</v>
      </c>
      <c r="AA246" s="3">
        <f t="shared" si="55"/>
        <v>3.0000000000000067</v>
      </c>
      <c r="AB246" s="3">
        <f t="shared" si="56"/>
        <v>1.5000000000000033</v>
      </c>
      <c r="AC246" s="3">
        <f t="shared" si="57"/>
        <v>1.0245201830476082E-3</v>
      </c>
      <c r="AD246" s="3" t="str">
        <f t="shared" si="58"/>
        <v>2.7982795151699E-07+0.00102438017350872i</v>
      </c>
      <c r="AE246" s="3">
        <f t="shared" si="59"/>
        <v>2.7982795151699002E-7</v>
      </c>
      <c r="AF246" s="3">
        <f t="shared" si="60"/>
        <v>1.0243801735087201E-3</v>
      </c>
      <c r="AM246" s="3" t="str">
        <f t="shared" si="61"/>
        <v>-0.00153678027457141+0.00307356054914284i</v>
      </c>
      <c r="AN246" s="3" t="str">
        <f t="shared" si="62"/>
        <v>3.00000000000001+1.50102452018305i</v>
      </c>
      <c r="AO246" s="3" t="str">
        <f t="shared" si="63"/>
        <v>2.7982795151699E-07+0.00102438017350872i</v>
      </c>
      <c r="AP246" s="3">
        <f t="shared" si="64"/>
        <v>2.7982795151699002E-7</v>
      </c>
      <c r="AQ246" s="3">
        <f t="shared" si="65"/>
        <v>1.0243801735087201E-3</v>
      </c>
      <c r="AR246" s="3">
        <f t="shared" si="71"/>
        <v>1.2981787824751212</v>
      </c>
      <c r="AS246" s="3" t="e">
        <f t="shared" si="72"/>
        <v>#REF!</v>
      </c>
      <c r="AT246" s="3" t="e">
        <f t="shared" si="66"/>
        <v>#REF!</v>
      </c>
      <c r="AU246" s="3" t="e">
        <f t="shared" si="67"/>
        <v>#REF!</v>
      </c>
      <c r="AV246" s="3" t="e">
        <f t="shared" si="68"/>
        <v>#REF!</v>
      </c>
      <c r="AW246" s="3">
        <v>484</v>
      </c>
      <c r="AX246" s="3" t="e">
        <f>IF(AND(#REF!="N",OR(AW246=$AX$1,AW246=$AX$2,AW246=$AX$3,AW246=$AX$4,AW246=$AY$1,AW246=$AY$2,AW246=$AY$3,AW246=$AY$4)),0,1)</f>
        <v>#REF!</v>
      </c>
    </row>
    <row r="247" spans="2:50" x14ac:dyDescent="0.2">
      <c r="B247" s="4">
        <v>486</v>
      </c>
      <c r="C247" s="208">
        <v>4.4194173824159217E-8</v>
      </c>
      <c r="D247" s="208">
        <v>4.4194173824159217E-8</v>
      </c>
      <c r="E247" s="208">
        <v>4.4194173824159217E-8</v>
      </c>
      <c r="F247" s="209" t="s">
        <v>714</v>
      </c>
      <c r="G247" s="208">
        <v>6.1634508073288062E-16</v>
      </c>
      <c r="H247" s="210">
        <v>8.4246180607338777E-15</v>
      </c>
      <c r="I247" s="208">
        <v>3.723190349782241E-24</v>
      </c>
      <c r="J247" s="208">
        <v>3.723190349782241E-24</v>
      </c>
      <c r="K247" s="208">
        <v>3.723190349782241E-24</v>
      </c>
      <c r="L247" s="208">
        <v>0</v>
      </c>
      <c r="M247" s="208">
        <v>0</v>
      </c>
      <c r="N247" s="208">
        <v>0</v>
      </c>
      <c r="O247" s="3">
        <v>360</v>
      </c>
      <c r="P247" s="3">
        <v>360</v>
      </c>
      <c r="Q247" s="3">
        <v>360</v>
      </c>
      <c r="S247" s="4">
        <v>0</v>
      </c>
      <c r="T247" s="4">
        <v>121.5</v>
      </c>
      <c r="U247" s="210"/>
      <c r="V247" s="210">
        <v>8.4246180607338761E-15</v>
      </c>
      <c r="W247" s="3">
        <v>0</v>
      </c>
      <c r="X247" s="3">
        <v>0</v>
      </c>
      <c r="Y247" s="3">
        <f t="shared" si="69"/>
        <v>1</v>
      </c>
      <c r="Z247" s="3">
        <f t="shared" si="70"/>
        <v>1</v>
      </c>
      <c r="AA247" s="3" t="str">
        <f t="shared" si="55"/>
        <v/>
      </c>
      <c r="AB247" s="3" t="str">
        <f t="shared" si="56"/>
        <v/>
      </c>
      <c r="AC247" s="3" t="str">
        <f t="shared" si="57"/>
        <v/>
      </c>
      <c r="AD247" s="3" t="str">
        <f t="shared" si="58"/>
        <v>0</v>
      </c>
      <c r="AE247" s="3">
        <f t="shared" si="59"/>
        <v>0</v>
      </c>
      <c r="AF247" s="3">
        <f t="shared" si="60"/>
        <v>0</v>
      </c>
      <c r="AM247" s="3" t="str">
        <f t="shared" si="61"/>
        <v/>
      </c>
      <c r="AN247" s="3" t="str">
        <f t="shared" si="62"/>
        <v/>
      </c>
      <c r="AO247" s="3" t="str">
        <f t="shared" si="63"/>
        <v/>
      </c>
      <c r="AP247" s="3">
        <f t="shared" si="64"/>
        <v>0</v>
      </c>
      <c r="AQ247" s="3">
        <f t="shared" si="65"/>
        <v>0</v>
      </c>
      <c r="AR247" s="3">
        <f t="shared" si="71"/>
        <v>0</v>
      </c>
      <c r="AS247" s="3" t="e">
        <f t="shared" si="72"/>
        <v>#REF!</v>
      </c>
      <c r="AT247" s="3" t="str">
        <f t="shared" si="66"/>
        <v/>
      </c>
      <c r="AU247" s="3">
        <f t="shared" si="67"/>
        <v>0</v>
      </c>
      <c r="AV247" s="3">
        <f t="shared" si="68"/>
        <v>0</v>
      </c>
      <c r="AW247" s="3">
        <v>486</v>
      </c>
      <c r="AX247" s="3" t="e">
        <f>IF(AND(#REF!="N",OR(AW247=$AX$1,AW247=$AX$2,AW247=$AX$3,AW247=$AX$4,AW247=$AY$1,AW247=$AY$2,AW247=$AY$3,AW247=$AY$4)),0,1)</f>
        <v>#REF!</v>
      </c>
    </row>
    <row r="248" spans="2:50" x14ac:dyDescent="0.2">
      <c r="B248" s="4">
        <v>488</v>
      </c>
      <c r="C248" s="208">
        <v>4.4194173824159217E-8</v>
      </c>
      <c r="D248" s="208">
        <v>4.4194173824159217E-8</v>
      </c>
      <c r="E248" s="208">
        <v>4.4194173824159217E-8</v>
      </c>
      <c r="F248" s="209" t="s">
        <v>714</v>
      </c>
      <c r="G248" s="208">
        <v>2.3469303164825467E-16</v>
      </c>
      <c r="H248" s="210">
        <v>3.2079418088341605E-15</v>
      </c>
      <c r="I248" s="208">
        <v>1.4177233791740462E-24</v>
      </c>
      <c r="J248" s="208">
        <v>1.4177233791740462E-24</v>
      </c>
      <c r="K248" s="208">
        <v>1.4177233791740462E-24</v>
      </c>
      <c r="L248" s="208">
        <v>0</v>
      </c>
      <c r="M248" s="208">
        <v>0</v>
      </c>
      <c r="N248" s="208">
        <v>0</v>
      </c>
      <c r="O248" s="3">
        <v>360</v>
      </c>
      <c r="P248" s="3">
        <v>360</v>
      </c>
      <c r="Q248" s="3">
        <v>360</v>
      </c>
      <c r="S248" s="4">
        <v>0</v>
      </c>
      <c r="T248" s="4">
        <v>122</v>
      </c>
      <c r="U248" s="210"/>
      <c r="V248" s="210">
        <v>3.2079418088341605E-15</v>
      </c>
      <c r="W248" s="3">
        <v>0</v>
      </c>
      <c r="X248" s="3">
        <v>0</v>
      </c>
      <c r="Y248" s="3">
        <f t="shared" si="69"/>
        <v>1</v>
      </c>
      <c r="Z248" s="3">
        <f t="shared" si="70"/>
        <v>1</v>
      </c>
      <c r="AA248" s="3" t="str">
        <f t="shared" si="55"/>
        <v/>
      </c>
      <c r="AB248" s="3" t="str">
        <f t="shared" si="56"/>
        <v/>
      </c>
      <c r="AC248" s="3" t="str">
        <f t="shared" si="57"/>
        <v/>
      </c>
      <c r="AD248" s="3" t="str">
        <f t="shared" si="58"/>
        <v>0</v>
      </c>
      <c r="AE248" s="3">
        <f t="shared" si="59"/>
        <v>0</v>
      </c>
      <c r="AF248" s="3">
        <f t="shared" si="60"/>
        <v>0</v>
      </c>
      <c r="AM248" s="3" t="str">
        <f t="shared" si="61"/>
        <v/>
      </c>
      <c r="AN248" s="3" t="str">
        <f t="shared" si="62"/>
        <v/>
      </c>
      <c r="AO248" s="3" t="str">
        <f t="shared" si="63"/>
        <v/>
      </c>
      <c r="AP248" s="3">
        <f t="shared" si="64"/>
        <v>0</v>
      </c>
      <c r="AQ248" s="3">
        <f t="shared" si="65"/>
        <v>0</v>
      </c>
      <c r="AR248" s="3">
        <f t="shared" si="71"/>
        <v>0</v>
      </c>
      <c r="AS248" s="3" t="e">
        <f t="shared" si="72"/>
        <v>#REF!</v>
      </c>
      <c r="AT248" s="3" t="str">
        <f t="shared" si="66"/>
        <v/>
      </c>
      <c r="AU248" s="3">
        <f t="shared" si="67"/>
        <v>0</v>
      </c>
      <c r="AV248" s="3">
        <f t="shared" si="68"/>
        <v>0</v>
      </c>
      <c r="AW248" s="3">
        <v>488</v>
      </c>
      <c r="AX248" s="3" t="e">
        <f>IF(AND(#REF!="N",OR(AW248=$AX$1,AW248=$AX$2,AW248=$AX$3,AW248=$AX$4,AW248=$AY$1,AW248=$AY$2,AW248=$AY$3,AW248=$AY$4)),0,1)</f>
        <v>#REF!</v>
      </c>
    </row>
    <row r="249" spans="2:50" x14ac:dyDescent="0.2">
      <c r="B249" s="4">
        <v>490</v>
      </c>
      <c r="C249" s="208">
        <v>4.4194173824159217E-8</v>
      </c>
      <c r="D249" s="208">
        <v>4.4194173824159217E-8</v>
      </c>
      <c r="E249" s="208">
        <v>4.4194173824159217E-8</v>
      </c>
      <c r="F249" s="209" t="s">
        <v>714</v>
      </c>
      <c r="G249" s="208">
        <v>2.4120896966381974E-16</v>
      </c>
      <c r="H249" s="210">
        <v>3.2970060210824006E-15</v>
      </c>
      <c r="I249" s="208">
        <v>1.4570845719501516E-24</v>
      </c>
      <c r="J249" s="208">
        <v>1.4570845719501516E-24</v>
      </c>
      <c r="K249" s="208">
        <v>1.4570845719501516E-24</v>
      </c>
      <c r="L249" s="208">
        <v>0</v>
      </c>
      <c r="M249" s="208">
        <v>0</v>
      </c>
      <c r="N249" s="208">
        <v>0</v>
      </c>
      <c r="O249" s="3">
        <v>360</v>
      </c>
      <c r="P249" s="3">
        <v>360</v>
      </c>
      <c r="Q249" s="3">
        <v>360</v>
      </c>
      <c r="S249" s="4">
        <v>0</v>
      </c>
      <c r="T249" s="4">
        <v>122.5</v>
      </c>
      <c r="U249" s="210"/>
      <c r="V249" s="210">
        <v>3.2970060210824006E-15</v>
      </c>
      <c r="W249" s="3">
        <v>0</v>
      </c>
      <c r="X249" s="3">
        <v>0</v>
      </c>
      <c r="Y249" s="3">
        <f t="shared" si="69"/>
        <v>1</v>
      </c>
      <c r="Z249" s="3">
        <f t="shared" si="70"/>
        <v>1</v>
      </c>
      <c r="AA249" s="3" t="str">
        <f t="shared" si="55"/>
        <v/>
      </c>
      <c r="AB249" s="3" t="str">
        <f t="shared" si="56"/>
        <v/>
      </c>
      <c r="AC249" s="3" t="str">
        <f t="shared" si="57"/>
        <v/>
      </c>
      <c r="AD249" s="3" t="str">
        <f t="shared" si="58"/>
        <v>0</v>
      </c>
      <c r="AE249" s="3">
        <f t="shared" si="59"/>
        <v>0</v>
      </c>
      <c r="AF249" s="3">
        <f t="shared" si="60"/>
        <v>0</v>
      </c>
      <c r="AM249" s="3" t="str">
        <f t="shared" si="61"/>
        <v/>
      </c>
      <c r="AN249" s="3" t="str">
        <f t="shared" si="62"/>
        <v/>
      </c>
      <c r="AO249" s="3" t="str">
        <f t="shared" si="63"/>
        <v/>
      </c>
      <c r="AP249" s="3">
        <f t="shared" si="64"/>
        <v>0</v>
      </c>
      <c r="AQ249" s="3">
        <f t="shared" si="65"/>
        <v>0</v>
      </c>
      <c r="AR249" s="3">
        <f t="shared" si="71"/>
        <v>0</v>
      </c>
      <c r="AS249" s="3" t="e">
        <f t="shared" si="72"/>
        <v>#REF!</v>
      </c>
      <c r="AT249" s="3" t="str">
        <f t="shared" si="66"/>
        <v/>
      </c>
      <c r="AU249" s="3">
        <f t="shared" si="67"/>
        <v>0</v>
      </c>
      <c r="AV249" s="3">
        <f t="shared" si="68"/>
        <v>0</v>
      </c>
      <c r="AW249" s="3">
        <v>490</v>
      </c>
      <c r="AX249" s="3" t="e">
        <f>IF(AND(#REF!="N",OR(AW249=$AX$1,AW249=$AX$2,AW249=$AX$3,AW249=$AX$4,AW249=$AY$1,AW249=$AY$2,AW249=$AY$3,AW249=$AY$4)),0,1)</f>
        <v>#REF!</v>
      </c>
    </row>
    <row r="250" spans="2:50" x14ac:dyDescent="0.2">
      <c r="B250" s="4">
        <v>492</v>
      </c>
      <c r="C250" s="208">
        <v>0.65328148243817274</v>
      </c>
      <c r="D250" s="208">
        <v>0.65328148243820361</v>
      </c>
      <c r="E250" s="208">
        <v>0.65328148243818895</v>
      </c>
      <c r="F250" s="209" t="s">
        <v>714</v>
      </c>
      <c r="G250" s="208">
        <v>1.3601047159321177E-15</v>
      </c>
      <c r="H250" s="210">
        <v>1.859082373255285E-14</v>
      </c>
      <c r="I250" s="208">
        <v>1.214504088774889E-16</v>
      </c>
      <c r="J250" s="208">
        <v>1.2145040887749462E-16</v>
      </c>
      <c r="K250" s="208">
        <v>1.2145040887749191E-16</v>
      </c>
      <c r="L250" s="208">
        <v>3.5064732833336356E-30</v>
      </c>
      <c r="M250" s="208">
        <v>8.8953755116659287E-30</v>
      </c>
      <c r="N250" s="208">
        <v>5.699633195812921E-30</v>
      </c>
      <c r="O250" s="3">
        <v>360</v>
      </c>
      <c r="P250" s="3">
        <v>0</v>
      </c>
      <c r="Q250" s="3">
        <v>360</v>
      </c>
      <c r="S250" s="4">
        <v>0</v>
      </c>
      <c r="T250" s="4">
        <v>123</v>
      </c>
      <c r="U250" s="210"/>
      <c r="V250" s="210">
        <v>1.859082373255285E-14</v>
      </c>
      <c r="W250" s="3">
        <v>0</v>
      </c>
      <c r="X250" s="3">
        <v>0</v>
      </c>
      <c r="Y250" s="3">
        <f t="shared" si="69"/>
        <v>1</v>
      </c>
      <c r="Z250" s="3">
        <f t="shared" si="70"/>
        <v>1</v>
      </c>
      <c r="AA250" s="3" t="str">
        <f t="shared" si="55"/>
        <v/>
      </c>
      <c r="AB250" s="3" t="str">
        <f t="shared" si="56"/>
        <v/>
      </c>
      <c r="AC250" s="3" t="str">
        <f t="shared" si="57"/>
        <v/>
      </c>
      <c r="AD250" s="3" t="str">
        <f t="shared" si="58"/>
        <v>0</v>
      </c>
      <c r="AE250" s="3">
        <f t="shared" si="59"/>
        <v>0</v>
      </c>
      <c r="AF250" s="3">
        <f t="shared" si="60"/>
        <v>0</v>
      </c>
      <c r="AM250" s="3" t="str">
        <f t="shared" si="61"/>
        <v/>
      </c>
      <c r="AN250" s="3" t="str">
        <f t="shared" si="62"/>
        <v/>
      </c>
      <c r="AO250" s="3" t="str">
        <f t="shared" si="63"/>
        <v/>
      </c>
      <c r="AP250" s="3">
        <f t="shared" si="64"/>
        <v>0</v>
      </c>
      <c r="AQ250" s="3">
        <f t="shared" si="65"/>
        <v>0</v>
      </c>
      <c r="AR250" s="3">
        <f t="shared" si="71"/>
        <v>0</v>
      </c>
      <c r="AS250" s="3" t="e">
        <f t="shared" si="72"/>
        <v>#REF!</v>
      </c>
      <c r="AT250" s="3" t="str">
        <f t="shared" si="66"/>
        <v/>
      </c>
      <c r="AU250" s="3">
        <f t="shared" si="67"/>
        <v>0</v>
      </c>
      <c r="AV250" s="3">
        <f t="shared" si="68"/>
        <v>0</v>
      </c>
      <c r="AW250" s="3">
        <v>492</v>
      </c>
      <c r="AX250" s="3" t="e">
        <f>IF(AND(#REF!="N",OR(AW250=$AX$1,AW250=$AX$2,AW250=$AX$3,AW250=$AX$4,AW250=$AY$1,AW250=$AY$2,AW250=$AY$3,AW250=$AY$4)),0,1)</f>
        <v>#REF!</v>
      </c>
    </row>
    <row r="251" spans="2:50" x14ac:dyDescent="0.2">
      <c r="B251" s="4">
        <v>494</v>
      </c>
      <c r="C251" s="208">
        <v>4.4194173824159217E-8</v>
      </c>
      <c r="D251" s="208">
        <v>4.4194173824159217E-8</v>
      </c>
      <c r="E251" s="208">
        <v>4.4194173824159217E-8</v>
      </c>
      <c r="F251" s="209" t="s">
        <v>714</v>
      </c>
      <c r="G251" s="208">
        <v>4.9894249490958443E-16</v>
      </c>
      <c r="H251" s="210">
        <v>6.81988075395158E-15</v>
      </c>
      <c r="I251" s="208">
        <v>3.0139899550017414E-24</v>
      </c>
      <c r="J251" s="208">
        <v>3.0139899550017414E-24</v>
      </c>
      <c r="K251" s="208">
        <v>3.0139899550017414E-24</v>
      </c>
      <c r="L251" s="208">
        <v>0</v>
      </c>
      <c r="M251" s="208">
        <v>0</v>
      </c>
      <c r="N251" s="208">
        <v>0</v>
      </c>
      <c r="O251" s="3">
        <v>360</v>
      </c>
      <c r="P251" s="3">
        <v>360</v>
      </c>
      <c r="Q251" s="3">
        <v>360</v>
      </c>
      <c r="S251" s="4">
        <v>0</v>
      </c>
      <c r="T251" s="4">
        <v>123.5</v>
      </c>
      <c r="U251" s="210"/>
      <c r="V251" s="210">
        <v>6.81988075395158E-15</v>
      </c>
      <c r="W251" s="3">
        <v>0</v>
      </c>
      <c r="X251" s="3">
        <v>0</v>
      </c>
      <c r="Y251" s="3">
        <f t="shared" si="69"/>
        <v>1</v>
      </c>
      <c r="Z251" s="3">
        <f t="shared" si="70"/>
        <v>1</v>
      </c>
      <c r="AA251" s="3" t="str">
        <f t="shared" si="55"/>
        <v/>
      </c>
      <c r="AB251" s="3" t="str">
        <f t="shared" si="56"/>
        <v/>
      </c>
      <c r="AC251" s="3" t="str">
        <f t="shared" si="57"/>
        <v/>
      </c>
      <c r="AD251" s="3" t="str">
        <f t="shared" si="58"/>
        <v>0</v>
      </c>
      <c r="AE251" s="3">
        <f t="shared" si="59"/>
        <v>0</v>
      </c>
      <c r="AF251" s="3">
        <f t="shared" si="60"/>
        <v>0</v>
      </c>
      <c r="AM251" s="3" t="str">
        <f t="shared" si="61"/>
        <v/>
      </c>
      <c r="AN251" s="3" t="str">
        <f t="shared" si="62"/>
        <v/>
      </c>
      <c r="AO251" s="3" t="str">
        <f t="shared" si="63"/>
        <v/>
      </c>
      <c r="AP251" s="3">
        <f t="shared" si="64"/>
        <v>0</v>
      </c>
      <c r="AQ251" s="3">
        <f t="shared" si="65"/>
        <v>0</v>
      </c>
      <c r="AR251" s="3">
        <f t="shared" si="71"/>
        <v>0</v>
      </c>
      <c r="AS251" s="3" t="e">
        <f t="shared" si="72"/>
        <v>#REF!</v>
      </c>
      <c r="AT251" s="3" t="str">
        <f t="shared" si="66"/>
        <v/>
      </c>
      <c r="AU251" s="3">
        <f t="shared" si="67"/>
        <v>0</v>
      </c>
      <c r="AV251" s="3">
        <f t="shared" si="68"/>
        <v>0</v>
      </c>
      <c r="AW251" s="3">
        <v>494</v>
      </c>
      <c r="AX251" s="3" t="e">
        <f>IF(AND(#REF!="N",OR(AW251=$AX$1,AW251=$AX$2,AW251=$AX$3,AW251=$AX$4,AW251=$AY$1,AW251=$AY$2,AW251=$AY$3,AW251=$AY$4)),0,1)</f>
        <v>#REF!</v>
      </c>
    </row>
    <row r="252" spans="2:50" x14ac:dyDescent="0.2">
      <c r="B252" s="4">
        <v>496</v>
      </c>
      <c r="C252" s="208">
        <v>4.4194173824159217E-8</v>
      </c>
      <c r="D252" s="208">
        <v>4.4194173824159217E-8</v>
      </c>
      <c r="E252" s="208">
        <v>4.4194173824159217E-8</v>
      </c>
      <c r="F252" s="209" t="s">
        <v>714</v>
      </c>
      <c r="G252" s="208">
        <v>2.9930043172050482E-16</v>
      </c>
      <c r="H252" s="210">
        <v>4.0910390972209405E-15</v>
      </c>
      <c r="I252" s="208">
        <v>1.8080009298401365E-24</v>
      </c>
      <c r="J252" s="208">
        <v>1.8080009298401365E-24</v>
      </c>
      <c r="K252" s="208">
        <v>1.8080009298401365E-24</v>
      </c>
      <c r="L252" s="208">
        <v>0</v>
      </c>
      <c r="M252" s="208">
        <v>0</v>
      </c>
      <c r="N252" s="208">
        <v>0</v>
      </c>
      <c r="O252" s="3">
        <v>360</v>
      </c>
      <c r="P252" s="3">
        <v>360</v>
      </c>
      <c r="Q252" s="3">
        <v>360</v>
      </c>
      <c r="S252" s="4">
        <v>0</v>
      </c>
      <c r="T252" s="4">
        <v>124</v>
      </c>
      <c r="U252" s="210"/>
      <c r="V252" s="210">
        <v>4.0910390972209405E-15</v>
      </c>
      <c r="W252" s="3">
        <v>0</v>
      </c>
      <c r="X252" s="3">
        <v>0</v>
      </c>
      <c r="Y252" s="3">
        <f t="shared" si="69"/>
        <v>1</v>
      </c>
      <c r="Z252" s="3">
        <f t="shared" si="70"/>
        <v>1</v>
      </c>
      <c r="AA252" s="3" t="str">
        <f t="shared" si="55"/>
        <v/>
      </c>
      <c r="AB252" s="3" t="str">
        <f t="shared" si="56"/>
        <v/>
      </c>
      <c r="AC252" s="3" t="str">
        <f t="shared" si="57"/>
        <v/>
      </c>
      <c r="AD252" s="3" t="str">
        <f t="shared" si="58"/>
        <v>0</v>
      </c>
      <c r="AE252" s="3">
        <f t="shared" si="59"/>
        <v>0</v>
      </c>
      <c r="AF252" s="3">
        <f t="shared" si="60"/>
        <v>0</v>
      </c>
      <c r="AM252" s="3" t="str">
        <f t="shared" si="61"/>
        <v/>
      </c>
      <c r="AN252" s="3" t="str">
        <f t="shared" si="62"/>
        <v/>
      </c>
      <c r="AO252" s="3" t="str">
        <f t="shared" si="63"/>
        <v/>
      </c>
      <c r="AP252" s="3">
        <f t="shared" si="64"/>
        <v>0</v>
      </c>
      <c r="AQ252" s="3">
        <f t="shared" si="65"/>
        <v>0</v>
      </c>
      <c r="AR252" s="3">
        <f t="shared" si="71"/>
        <v>0</v>
      </c>
      <c r="AS252" s="3" t="e">
        <f t="shared" si="72"/>
        <v>#REF!</v>
      </c>
      <c r="AT252" s="3" t="str">
        <f t="shared" si="66"/>
        <v/>
      </c>
      <c r="AU252" s="3">
        <f t="shared" si="67"/>
        <v>0</v>
      </c>
      <c r="AV252" s="3">
        <f t="shared" si="68"/>
        <v>0</v>
      </c>
      <c r="AW252" s="3">
        <v>496</v>
      </c>
      <c r="AX252" s="3" t="e">
        <f>IF(AND(#REF!="N",OR(AW252=$AX$1,AW252=$AX$2,AW252=$AX$3,AW252=$AX$4,AW252=$AY$1,AW252=$AY$2,AW252=$AY$3,AW252=$AY$4)),0,1)</f>
        <v>#REF!</v>
      </c>
    </row>
    <row r="253" spans="2:50" x14ac:dyDescent="0.2">
      <c r="B253" s="4">
        <v>498</v>
      </c>
      <c r="C253" s="208">
        <v>4.4194173824159217E-8</v>
      </c>
      <c r="D253" s="208">
        <v>4.4194173824159217E-8</v>
      </c>
      <c r="E253" s="208">
        <v>4.4194173824159217E-8</v>
      </c>
      <c r="F253" s="209" t="s">
        <v>714</v>
      </c>
      <c r="G253" s="208">
        <v>1.2802172050209502E-15</v>
      </c>
      <c r="H253" s="210">
        <v>1.7498867638007527E-14</v>
      </c>
      <c r="I253" s="208">
        <v>7.7334799812005916E-24</v>
      </c>
      <c r="J253" s="208">
        <v>7.7334799812005916E-24</v>
      </c>
      <c r="K253" s="208">
        <v>7.7334799812005916E-24</v>
      </c>
      <c r="L253" s="208">
        <v>0</v>
      </c>
      <c r="M253" s="208">
        <v>0</v>
      </c>
      <c r="N253" s="208">
        <v>0</v>
      </c>
      <c r="O253" s="3">
        <v>360</v>
      </c>
      <c r="P253" s="3">
        <v>360</v>
      </c>
      <c r="Q253" s="3">
        <v>360</v>
      </c>
      <c r="S253" s="4">
        <v>0</v>
      </c>
      <c r="T253" s="4">
        <v>124.5</v>
      </c>
      <c r="U253" s="210"/>
      <c r="V253" s="210">
        <v>1.7498867638007527E-14</v>
      </c>
      <c r="W253" s="3">
        <v>0</v>
      </c>
      <c r="X253" s="3">
        <v>0</v>
      </c>
      <c r="Y253" s="3">
        <f t="shared" si="69"/>
        <v>1</v>
      </c>
      <c r="Z253" s="3">
        <f t="shared" si="70"/>
        <v>1</v>
      </c>
      <c r="AA253" s="3" t="str">
        <f t="shared" si="55"/>
        <v/>
      </c>
      <c r="AB253" s="3" t="str">
        <f t="shared" si="56"/>
        <v/>
      </c>
      <c r="AC253" s="3" t="str">
        <f t="shared" si="57"/>
        <v/>
      </c>
      <c r="AD253" s="3" t="str">
        <f t="shared" si="58"/>
        <v>0</v>
      </c>
      <c r="AE253" s="3">
        <f t="shared" si="59"/>
        <v>0</v>
      </c>
      <c r="AF253" s="3">
        <f t="shared" si="60"/>
        <v>0</v>
      </c>
      <c r="AM253" s="3" t="str">
        <f t="shared" si="61"/>
        <v/>
      </c>
      <c r="AN253" s="3" t="str">
        <f t="shared" si="62"/>
        <v/>
      </c>
      <c r="AO253" s="3" t="str">
        <f t="shared" si="63"/>
        <v/>
      </c>
      <c r="AP253" s="3">
        <f t="shared" si="64"/>
        <v>0</v>
      </c>
      <c r="AQ253" s="3">
        <f t="shared" si="65"/>
        <v>0</v>
      </c>
      <c r="AR253" s="3">
        <f t="shared" si="71"/>
        <v>0</v>
      </c>
      <c r="AS253" s="3" t="e">
        <f t="shared" si="72"/>
        <v>#REF!</v>
      </c>
      <c r="AT253" s="3" t="str">
        <f t="shared" si="66"/>
        <v/>
      </c>
      <c r="AU253" s="3">
        <f t="shared" si="67"/>
        <v>0</v>
      </c>
      <c r="AV253" s="3">
        <f t="shared" si="68"/>
        <v>0</v>
      </c>
      <c r="AW253" s="3">
        <v>498</v>
      </c>
      <c r="AX253" s="3" t="e">
        <f>IF(AND(#REF!="N",OR(AW253=$AX$1,AW253=$AX$2,AW253=$AX$3,AW253=$AX$4,AW253=$AY$1,AW253=$AY$2,AW253=$AY$3,AW253=$AY$4)),0,1)</f>
        <v>#REF!</v>
      </c>
    </row>
    <row r="254" spans="2:50" x14ac:dyDescent="0.2">
      <c r="B254" s="4">
        <v>500</v>
      </c>
      <c r="C254" s="208">
        <v>0.20533495396307538</v>
      </c>
      <c r="D254" s="208">
        <v>0.20533495396307508</v>
      </c>
      <c r="E254" s="208">
        <v>0.20533495396307458</v>
      </c>
      <c r="F254" s="209" t="s">
        <v>714</v>
      </c>
      <c r="G254" s="208">
        <v>1.2549147998503801E-2</v>
      </c>
      <c r="H254" s="210">
        <v>0.17153017389107147</v>
      </c>
      <c r="I254" s="208">
        <v>3.5221140359201474E-4</v>
      </c>
      <c r="J254" s="208">
        <v>3.5221140359201425E-4</v>
      </c>
      <c r="K254" s="208">
        <v>3.5221140359201339E-4</v>
      </c>
      <c r="L254" s="208">
        <v>6.1004804602651157E-4</v>
      </c>
      <c r="M254" s="208">
        <v>6.1004804602652317E-4</v>
      </c>
      <c r="N254" s="208">
        <v>6.1004804602651287E-4</v>
      </c>
      <c r="O254" s="3">
        <v>120</v>
      </c>
      <c r="P254" s="3">
        <v>120</v>
      </c>
      <c r="Q254" s="3">
        <v>120</v>
      </c>
      <c r="R254" s="4" t="s">
        <v>172</v>
      </c>
      <c r="S254" s="4" t="s">
        <v>172</v>
      </c>
      <c r="T254" s="4">
        <v>125</v>
      </c>
      <c r="U254" s="210"/>
      <c r="V254" s="210">
        <v>0.17153017389107147</v>
      </c>
      <c r="W254" s="3">
        <v>0.17153017389107075</v>
      </c>
      <c r="X254" s="3">
        <v>0</v>
      </c>
      <c r="Y254" s="3">
        <f t="shared" si="69"/>
        <v>1</v>
      </c>
      <c r="Z254" s="3">
        <f t="shared" si="70"/>
        <v>1</v>
      </c>
      <c r="AA254" s="3">
        <f t="shared" si="55"/>
        <v>0.13791844010203602</v>
      </c>
      <c r="AB254" s="3">
        <f t="shared" si="56"/>
        <v>6.8959220051018011E-2</v>
      </c>
      <c r="AC254" s="3">
        <f t="shared" si="57"/>
        <v>4.4133900832651528E-5</v>
      </c>
      <c r="AD254" s="3" t="str">
        <f t="shared" si="58"/>
        <v>1.12953860690175E-08+0.0000441282495250934i</v>
      </c>
      <c r="AE254" s="3">
        <f t="shared" si="59"/>
        <v>1.12953860690175E-8</v>
      </c>
      <c r="AF254" s="3">
        <f t="shared" si="60"/>
        <v>4.4128249525093399E-5</v>
      </c>
      <c r="AM254" s="3" t="str">
        <f t="shared" si="61"/>
        <v>-3.04343937922862E-06+6.08687875845724E-06i</v>
      </c>
      <c r="AN254" s="3" t="str">
        <f t="shared" si="62"/>
        <v>0.137918440102036+0.0690033539518507i</v>
      </c>
      <c r="AO254" s="3" t="str">
        <f t="shared" si="63"/>
        <v>1.12953860690175E-08+0.0000441282495250934i</v>
      </c>
      <c r="AP254" s="3">
        <f t="shared" si="64"/>
        <v>1.12953860690175E-8</v>
      </c>
      <c r="AQ254" s="3">
        <f t="shared" si="65"/>
        <v>4.4128249525093399E-5</v>
      </c>
      <c r="AR254" s="3">
        <f t="shared" si="71"/>
        <v>-1.2566370614359172</v>
      </c>
      <c r="AS254" s="3" t="e">
        <f t="shared" si="72"/>
        <v>#REF!</v>
      </c>
      <c r="AT254" s="3" t="e">
        <f t="shared" si="66"/>
        <v>#REF!</v>
      </c>
      <c r="AU254" s="3" t="e">
        <f t="shared" si="67"/>
        <v>#REF!</v>
      </c>
      <c r="AV254" s="3" t="e">
        <f t="shared" si="68"/>
        <v>#REF!</v>
      </c>
      <c r="AW254" s="3">
        <v>500</v>
      </c>
      <c r="AX254" s="3" t="e">
        <f>IF(AND(#REF!="N",OR(AW254=$AX$1,AW254=$AX$2,AW254=$AX$3,AW254=$AX$4,AW254=$AY$1,AW254=$AY$2,AW254=$AY$3,AW254=$AY$4)),0,1)</f>
        <v>#REF!</v>
      </c>
    </row>
    <row r="255" spans="2:50" x14ac:dyDescent="0.2">
      <c r="B255" s="4">
        <v>502</v>
      </c>
      <c r="C255" s="208">
        <v>4.4194173824159217E-8</v>
      </c>
      <c r="D255" s="208">
        <v>4.4194173824159217E-8</v>
      </c>
      <c r="E255" s="208">
        <v>4.4194173824159217E-8</v>
      </c>
      <c r="F255" s="209" t="s">
        <v>714</v>
      </c>
      <c r="G255" s="208">
        <v>7.8234924569807763E-16</v>
      </c>
      <c r="H255" s="210">
        <v>1.069367435734599E-14</v>
      </c>
      <c r="I255" s="208">
        <v>4.7259810336750283E-24</v>
      </c>
      <c r="J255" s="208">
        <v>4.7259810336750283E-24</v>
      </c>
      <c r="K255" s="208">
        <v>4.7259810336750283E-24</v>
      </c>
      <c r="L255" s="208">
        <v>0</v>
      </c>
      <c r="M255" s="208">
        <v>0</v>
      </c>
      <c r="N255" s="208">
        <v>0</v>
      </c>
      <c r="O255" s="3">
        <v>360</v>
      </c>
      <c r="P255" s="3">
        <v>360</v>
      </c>
      <c r="Q255" s="3">
        <v>360</v>
      </c>
      <c r="S255" s="4">
        <v>0</v>
      </c>
      <c r="T255" s="4">
        <v>125.5</v>
      </c>
      <c r="U255" s="210"/>
      <c r="V255" s="210">
        <v>1.069367435734599E-14</v>
      </c>
      <c r="W255" s="3">
        <v>0</v>
      </c>
      <c r="X255" s="3">
        <v>0</v>
      </c>
      <c r="Y255" s="3">
        <f t="shared" si="69"/>
        <v>1</v>
      </c>
      <c r="Z255" s="3">
        <f t="shared" si="70"/>
        <v>1</v>
      </c>
      <c r="AA255" s="3" t="str">
        <f t="shared" si="55"/>
        <v/>
      </c>
      <c r="AB255" s="3" t="str">
        <f t="shared" si="56"/>
        <v/>
      </c>
      <c r="AC255" s="3" t="str">
        <f t="shared" si="57"/>
        <v/>
      </c>
      <c r="AD255" s="3" t="str">
        <f t="shared" si="58"/>
        <v>0</v>
      </c>
      <c r="AE255" s="3">
        <f t="shared" si="59"/>
        <v>0</v>
      </c>
      <c r="AF255" s="3">
        <f t="shared" si="60"/>
        <v>0</v>
      </c>
      <c r="AM255" s="3" t="str">
        <f t="shared" si="61"/>
        <v/>
      </c>
      <c r="AN255" s="3" t="str">
        <f t="shared" si="62"/>
        <v/>
      </c>
      <c r="AO255" s="3" t="str">
        <f t="shared" si="63"/>
        <v/>
      </c>
      <c r="AP255" s="3">
        <f t="shared" si="64"/>
        <v>0</v>
      </c>
      <c r="AQ255" s="3">
        <f t="shared" si="65"/>
        <v>0</v>
      </c>
      <c r="AR255" s="3">
        <f t="shared" si="71"/>
        <v>0</v>
      </c>
      <c r="AS255" s="3" t="e">
        <f t="shared" si="72"/>
        <v>#REF!</v>
      </c>
      <c r="AT255" s="3" t="str">
        <f t="shared" si="66"/>
        <v/>
      </c>
      <c r="AU255" s="3">
        <f t="shared" si="67"/>
        <v>0</v>
      </c>
      <c r="AV255" s="3">
        <f t="shared" si="68"/>
        <v>0</v>
      </c>
      <c r="AW255" s="3">
        <v>502</v>
      </c>
      <c r="AX255" s="3" t="e">
        <f>IF(AND(#REF!="N",OR(AW255=$AX$1,AW255=$AX$2,AW255=$AX$3,AW255=$AX$4,AW255=$AY$1,AW255=$AY$2,AW255=$AY$3,AW255=$AY$4)),0,1)</f>
        <v>#REF!</v>
      </c>
    </row>
    <row r="256" spans="2:50" x14ac:dyDescent="0.2">
      <c r="B256" s="4">
        <v>504</v>
      </c>
      <c r="C256" s="208">
        <v>4.4194173824159217E-8</v>
      </c>
      <c r="D256" s="208">
        <v>4.4194173824159217E-8</v>
      </c>
      <c r="E256" s="208">
        <v>4.4194173824159217E-8</v>
      </c>
      <c r="F256" s="209" t="s">
        <v>714</v>
      </c>
      <c r="G256" s="208">
        <v>1.4346286334436927E-16</v>
      </c>
      <c r="H256" s="210">
        <v>1.9609466634152895E-15</v>
      </c>
      <c r="I256" s="208">
        <v>8.6662417702880345E-25</v>
      </c>
      <c r="J256" s="208">
        <v>8.6662417702880345E-25</v>
      </c>
      <c r="K256" s="208">
        <v>8.6662417702880345E-25</v>
      </c>
      <c r="L256" s="208">
        <v>0</v>
      </c>
      <c r="M256" s="208">
        <v>0</v>
      </c>
      <c r="N256" s="208">
        <v>0</v>
      </c>
      <c r="O256" s="3">
        <v>360</v>
      </c>
      <c r="P256" s="3">
        <v>360</v>
      </c>
      <c r="Q256" s="3">
        <v>360</v>
      </c>
      <c r="S256" s="4">
        <v>0</v>
      </c>
      <c r="T256" s="4">
        <v>126</v>
      </c>
      <c r="U256" s="210"/>
      <c r="V256" s="210">
        <v>1.9609466634152895E-15</v>
      </c>
      <c r="W256" s="3">
        <v>0</v>
      </c>
      <c r="X256" s="3">
        <v>0</v>
      </c>
      <c r="Y256" s="3">
        <f t="shared" si="69"/>
        <v>1</v>
      </c>
      <c r="Z256" s="3">
        <f t="shared" si="70"/>
        <v>1</v>
      </c>
      <c r="AA256" s="3" t="str">
        <f t="shared" si="55"/>
        <v/>
      </c>
      <c r="AB256" s="3" t="str">
        <f t="shared" si="56"/>
        <v/>
      </c>
      <c r="AC256" s="3" t="str">
        <f t="shared" si="57"/>
        <v/>
      </c>
      <c r="AD256" s="3" t="str">
        <f t="shared" si="58"/>
        <v>0</v>
      </c>
      <c r="AE256" s="3">
        <f t="shared" si="59"/>
        <v>0</v>
      </c>
      <c r="AF256" s="3">
        <f t="shared" si="60"/>
        <v>0</v>
      </c>
      <c r="AM256" s="3" t="str">
        <f t="shared" si="61"/>
        <v/>
      </c>
      <c r="AN256" s="3" t="str">
        <f t="shared" si="62"/>
        <v/>
      </c>
      <c r="AO256" s="3" t="str">
        <f t="shared" si="63"/>
        <v/>
      </c>
      <c r="AP256" s="3">
        <f t="shared" si="64"/>
        <v>0</v>
      </c>
      <c r="AQ256" s="3">
        <f t="shared" si="65"/>
        <v>0</v>
      </c>
      <c r="AR256" s="3">
        <f t="shared" si="71"/>
        <v>0</v>
      </c>
      <c r="AS256" s="3" t="e">
        <f t="shared" si="72"/>
        <v>#REF!</v>
      </c>
      <c r="AT256" s="3" t="str">
        <f t="shared" si="66"/>
        <v/>
      </c>
      <c r="AU256" s="3">
        <f t="shared" si="67"/>
        <v>0</v>
      </c>
      <c r="AV256" s="3">
        <f t="shared" si="68"/>
        <v>0</v>
      </c>
      <c r="AW256" s="3">
        <v>504</v>
      </c>
      <c r="AX256" s="3" t="e">
        <f>IF(AND(#REF!="N",OR(AW256=$AX$1,AW256=$AX$2,AW256=$AX$3,AW256=$AX$4,AW256=$AY$1,AW256=$AY$2,AW256=$AY$3,AW256=$AY$4)),0,1)</f>
        <v>#REF!</v>
      </c>
    </row>
    <row r="257" spans="2:50" x14ac:dyDescent="0.2">
      <c r="B257" s="4">
        <v>506</v>
      </c>
      <c r="C257" s="208">
        <v>4.4194173824159217E-8</v>
      </c>
      <c r="D257" s="208">
        <v>4.4194173824159217E-8</v>
      </c>
      <c r="E257" s="208">
        <v>4.4194173824159217E-8</v>
      </c>
      <c r="F257" s="209" t="s">
        <v>714</v>
      </c>
      <c r="G257" s="208">
        <v>4.0699846069529223E-16</v>
      </c>
      <c r="H257" s="210">
        <v>5.5631280103466339E-15</v>
      </c>
      <c r="I257" s="208">
        <v>2.4585784629530815E-24</v>
      </c>
      <c r="J257" s="208">
        <v>2.4585784629530815E-24</v>
      </c>
      <c r="K257" s="208">
        <v>2.4585784629530815E-24</v>
      </c>
      <c r="L257" s="208">
        <v>0</v>
      </c>
      <c r="M257" s="208">
        <v>0</v>
      </c>
      <c r="N257" s="208">
        <v>0</v>
      </c>
      <c r="O257" s="3">
        <v>360</v>
      </c>
      <c r="P257" s="3">
        <v>360</v>
      </c>
      <c r="Q257" s="3">
        <v>360</v>
      </c>
      <c r="S257" s="4">
        <v>0</v>
      </c>
      <c r="T257" s="4">
        <v>126.5</v>
      </c>
      <c r="U257" s="210"/>
      <c r="V257" s="210">
        <v>5.5631280103466339E-15</v>
      </c>
      <c r="W257" s="3">
        <v>0</v>
      </c>
      <c r="X257" s="3">
        <v>0</v>
      </c>
      <c r="Y257" s="3">
        <f t="shared" si="69"/>
        <v>1</v>
      </c>
      <c r="Z257" s="3">
        <f t="shared" si="70"/>
        <v>1</v>
      </c>
      <c r="AA257" s="3" t="str">
        <f t="shared" si="55"/>
        <v/>
      </c>
      <c r="AB257" s="3" t="str">
        <f t="shared" si="56"/>
        <v/>
      </c>
      <c r="AC257" s="3" t="str">
        <f t="shared" si="57"/>
        <v/>
      </c>
      <c r="AD257" s="3" t="str">
        <f t="shared" si="58"/>
        <v>0</v>
      </c>
      <c r="AE257" s="3">
        <f t="shared" si="59"/>
        <v>0</v>
      </c>
      <c r="AF257" s="3">
        <f t="shared" si="60"/>
        <v>0</v>
      </c>
      <c r="AM257" s="3" t="str">
        <f t="shared" si="61"/>
        <v/>
      </c>
      <c r="AN257" s="3" t="str">
        <f t="shared" si="62"/>
        <v/>
      </c>
      <c r="AO257" s="3" t="str">
        <f t="shared" si="63"/>
        <v/>
      </c>
      <c r="AP257" s="3">
        <f t="shared" si="64"/>
        <v>0</v>
      </c>
      <c r="AQ257" s="3">
        <f t="shared" si="65"/>
        <v>0</v>
      </c>
      <c r="AR257" s="3">
        <f t="shared" si="71"/>
        <v>0</v>
      </c>
      <c r="AS257" s="3" t="e">
        <f t="shared" si="72"/>
        <v>#REF!</v>
      </c>
      <c r="AT257" s="3" t="str">
        <f t="shared" si="66"/>
        <v/>
      </c>
      <c r="AU257" s="3">
        <f t="shared" si="67"/>
        <v>0</v>
      </c>
      <c r="AV257" s="3">
        <f t="shared" si="68"/>
        <v>0</v>
      </c>
      <c r="AW257" s="3">
        <v>506</v>
      </c>
      <c r="AX257" s="3" t="e">
        <f>IF(AND(#REF!="N",OR(AW257=$AX$1,AW257=$AX$2,AW257=$AX$3,AW257=$AX$4,AW257=$AY$1,AW257=$AY$2,AW257=$AY$3,AW257=$AY$4)),0,1)</f>
        <v>#REF!</v>
      </c>
    </row>
    <row r="258" spans="2:50" x14ac:dyDescent="0.2">
      <c r="B258" s="4">
        <v>508</v>
      </c>
      <c r="C258" s="208">
        <v>0.15755905175128643</v>
      </c>
      <c r="D258" s="208">
        <v>0.15755905175128745</v>
      </c>
      <c r="E258" s="208">
        <v>0.1575590517512854</v>
      </c>
      <c r="F258" s="209" t="s">
        <v>714</v>
      </c>
      <c r="G258" s="208">
        <v>9.4776574167266345E-3</v>
      </c>
      <c r="H258" s="210">
        <v>0.12954697999935541</v>
      </c>
      <c r="I258" s="208">
        <v>2.0411299325941306E-4</v>
      </c>
      <c r="J258" s="208">
        <v>2.0411299325941439E-4</v>
      </c>
      <c r="K258" s="208">
        <v>2.0411299325941173E-4</v>
      </c>
      <c r="L258" s="208">
        <v>3.5353407481026293E-4</v>
      </c>
      <c r="M258" s="208">
        <v>3.5353407481027486E-4</v>
      </c>
      <c r="N258" s="208">
        <v>3.5353407481026396E-4</v>
      </c>
      <c r="O258" s="3">
        <v>240</v>
      </c>
      <c r="P258" s="3">
        <v>240</v>
      </c>
      <c r="Q258" s="3">
        <v>240</v>
      </c>
      <c r="R258" s="4" t="s">
        <v>168</v>
      </c>
      <c r="S258" s="4" t="s">
        <v>168</v>
      </c>
      <c r="T258" s="4">
        <v>127</v>
      </c>
      <c r="U258" s="210"/>
      <c r="V258" s="210">
        <v>0.12954697999935541</v>
      </c>
      <c r="W258" s="3">
        <v>0</v>
      </c>
      <c r="X258" s="3">
        <v>0.12954697999935402</v>
      </c>
      <c r="Y258" s="3">
        <f t="shared" si="69"/>
        <v>1</v>
      </c>
      <c r="Z258" s="3">
        <f t="shared" si="70"/>
        <v>1</v>
      </c>
      <c r="AA258" s="3">
        <f t="shared" si="55"/>
        <v>8.1205095784417772E-2</v>
      </c>
      <c r="AB258" s="3">
        <f t="shared" si="56"/>
        <v>4.0602547892208886E-2</v>
      </c>
      <c r="AC258" s="3">
        <f t="shared" si="57"/>
        <v>2.5173630040429588E-5</v>
      </c>
      <c r="AD258" s="3" t="str">
        <f t="shared" si="58"/>
        <v>6.24152435517904E-09+0.0000251705073433756i</v>
      </c>
      <c r="AE258" s="3">
        <f t="shared" si="59"/>
        <v>6.2415243551790402E-9</v>
      </c>
      <c r="AF258" s="3">
        <f t="shared" si="60"/>
        <v>2.5170507343375601E-5</v>
      </c>
      <c r="AM258" s="3" t="str">
        <f t="shared" si="61"/>
        <v>-1.02211351933729E-06+2.04422703867458E-06i</v>
      </c>
      <c r="AN258" s="3" t="str">
        <f t="shared" si="62"/>
        <v>0.0812050957844178+0.0406277215222493i</v>
      </c>
      <c r="AO258" s="3" t="str">
        <f t="shared" si="63"/>
        <v>6.24152435517904E-09+0.0000251705073433756i</v>
      </c>
      <c r="AP258" s="3">
        <f t="shared" si="64"/>
        <v>6.2415243551790402E-9</v>
      </c>
      <c r="AQ258" s="3">
        <f t="shared" si="65"/>
        <v>2.5170507343375601E-5</v>
      </c>
      <c r="AR258" s="3">
        <f t="shared" si="71"/>
        <v>1.2368475014133045</v>
      </c>
      <c r="AS258" s="3" t="e">
        <f t="shared" si="72"/>
        <v>#REF!</v>
      </c>
      <c r="AT258" s="3" t="e">
        <f t="shared" si="66"/>
        <v>#REF!</v>
      </c>
      <c r="AU258" s="3" t="e">
        <f t="shared" si="67"/>
        <v>#REF!</v>
      </c>
      <c r="AV258" s="3" t="e">
        <f t="shared" si="68"/>
        <v>#REF!</v>
      </c>
      <c r="AW258" s="3">
        <v>508</v>
      </c>
      <c r="AX258" s="3" t="e">
        <f>IF(AND(#REF!="N",OR(AW258=$AX$1,AW258=$AX$2,AW258=$AX$3,AW258=$AX$4,AW258=$AY$1,AW258=$AY$2,AW258=$AY$3,AW258=$AY$4)),0,1)</f>
        <v>#REF!</v>
      </c>
    </row>
    <row r="259" spans="2:50" x14ac:dyDescent="0.2">
      <c r="B259" s="4">
        <v>510</v>
      </c>
      <c r="C259" s="208">
        <v>4.4194173824159217E-8</v>
      </c>
      <c r="D259" s="208">
        <v>4.4194173824159217E-8</v>
      </c>
      <c r="E259" s="208">
        <v>4.4194173824159217E-8</v>
      </c>
      <c r="F259" s="209" t="s">
        <v>714</v>
      </c>
      <c r="G259" s="208">
        <v>2.3684651434743915E-16</v>
      </c>
      <c r="H259" s="210">
        <v>3.2373770551079764E-15</v>
      </c>
      <c r="I259" s="208">
        <v>1.4307320430778659E-24</v>
      </c>
      <c r="J259" s="208">
        <v>1.4307320430778659E-24</v>
      </c>
      <c r="K259" s="208">
        <v>1.4307320430778659E-24</v>
      </c>
      <c r="L259" s="208">
        <v>0</v>
      </c>
      <c r="M259" s="208">
        <v>0</v>
      </c>
      <c r="N259" s="208">
        <v>0</v>
      </c>
      <c r="O259" s="3">
        <v>360</v>
      </c>
      <c r="P259" s="3">
        <v>360</v>
      </c>
      <c r="Q259" s="3">
        <v>360</v>
      </c>
      <c r="S259" s="4">
        <v>0</v>
      </c>
      <c r="T259" s="4">
        <v>127.5</v>
      </c>
      <c r="U259" s="210"/>
      <c r="V259" s="210">
        <v>3.2373770551079768E-15</v>
      </c>
      <c r="W259" s="3">
        <v>0</v>
      </c>
      <c r="X259" s="3">
        <v>0</v>
      </c>
      <c r="Y259" s="3">
        <f t="shared" si="69"/>
        <v>1</v>
      </c>
      <c r="Z259" s="3">
        <f t="shared" si="70"/>
        <v>1</v>
      </c>
      <c r="AA259" s="3" t="str">
        <f t="shared" si="55"/>
        <v/>
      </c>
      <c r="AB259" s="3" t="str">
        <f t="shared" si="56"/>
        <v/>
      </c>
      <c r="AC259" s="3" t="str">
        <f t="shared" si="57"/>
        <v/>
      </c>
      <c r="AD259" s="3" t="str">
        <f t="shared" si="58"/>
        <v>0</v>
      </c>
      <c r="AE259" s="3">
        <f t="shared" si="59"/>
        <v>0</v>
      </c>
      <c r="AF259" s="3">
        <f t="shared" si="60"/>
        <v>0</v>
      </c>
      <c r="AM259" s="3" t="str">
        <f t="shared" si="61"/>
        <v/>
      </c>
      <c r="AN259" s="3" t="str">
        <f t="shared" si="62"/>
        <v/>
      </c>
      <c r="AO259" s="3" t="str">
        <f t="shared" si="63"/>
        <v/>
      </c>
      <c r="AP259" s="3">
        <f t="shared" si="64"/>
        <v>0</v>
      </c>
      <c r="AQ259" s="3">
        <f t="shared" si="65"/>
        <v>0</v>
      </c>
      <c r="AR259" s="3">
        <f t="shared" si="71"/>
        <v>0</v>
      </c>
      <c r="AS259" s="3" t="e">
        <f t="shared" si="72"/>
        <v>#REF!</v>
      </c>
      <c r="AT259" s="3" t="str">
        <f t="shared" si="66"/>
        <v/>
      </c>
      <c r="AU259" s="3">
        <f t="shared" si="67"/>
        <v>0</v>
      </c>
      <c r="AV259" s="3">
        <f t="shared" si="68"/>
        <v>0</v>
      </c>
      <c r="AW259" s="3">
        <v>510</v>
      </c>
      <c r="AX259" s="3" t="e">
        <f>IF(AND(#REF!="N",OR(AW259=$AX$1,AW259=$AX$2,AW259=$AX$3,AW259=$AX$4,AW259=$AY$1,AW259=$AY$2,AW259=$AY$3,AW259=$AY$4)),0,1)</f>
        <v>#REF!</v>
      </c>
    </row>
    <row r="260" spans="2:50" x14ac:dyDescent="0.2">
      <c r="B260" s="4">
        <v>512</v>
      </c>
      <c r="C260" s="208">
        <v>4.4194173824159217E-8</v>
      </c>
      <c r="D260" s="208">
        <v>4.4194173824159217E-8</v>
      </c>
      <c r="E260" s="208">
        <v>4.4194173824159217E-8</v>
      </c>
      <c r="F260" s="209" t="s">
        <v>714</v>
      </c>
      <c r="G260" s="208">
        <v>2.6605318882353971E-16</v>
      </c>
      <c r="H260" s="210">
        <v>3.6365934761959064E-15</v>
      </c>
      <c r="I260" s="208">
        <v>1.607162442148053E-24</v>
      </c>
      <c r="J260" s="208">
        <v>1.607162442148053E-24</v>
      </c>
      <c r="K260" s="208">
        <v>1.607162442148053E-24</v>
      </c>
      <c r="L260" s="208">
        <v>0</v>
      </c>
      <c r="M260" s="208">
        <v>0</v>
      </c>
      <c r="N260" s="208">
        <v>0</v>
      </c>
      <c r="O260" s="3">
        <v>360</v>
      </c>
      <c r="P260" s="3">
        <v>360</v>
      </c>
      <c r="Q260" s="3">
        <v>360</v>
      </c>
      <c r="S260" s="4">
        <v>0</v>
      </c>
      <c r="T260" s="4">
        <v>128</v>
      </c>
      <c r="U260" s="210"/>
      <c r="V260" s="210">
        <v>3.6365934761959064E-15</v>
      </c>
      <c r="W260" s="3">
        <v>0</v>
      </c>
      <c r="X260" s="3">
        <v>0</v>
      </c>
      <c r="Y260" s="3">
        <f t="shared" si="69"/>
        <v>1</v>
      </c>
      <c r="Z260" s="3">
        <f t="shared" si="70"/>
        <v>1</v>
      </c>
      <c r="AA260" s="3" t="str">
        <f t="shared" si="55"/>
        <v/>
      </c>
      <c r="AB260" s="3" t="str">
        <f t="shared" si="56"/>
        <v/>
      </c>
      <c r="AC260" s="3" t="str">
        <f t="shared" si="57"/>
        <v/>
      </c>
      <c r="AD260" s="3" t="str">
        <f t="shared" si="58"/>
        <v>0</v>
      </c>
      <c r="AE260" s="3">
        <f t="shared" si="59"/>
        <v>0</v>
      </c>
      <c r="AF260" s="3">
        <f t="shared" si="60"/>
        <v>0</v>
      </c>
      <c r="AM260" s="3" t="str">
        <f t="shared" si="61"/>
        <v/>
      </c>
      <c r="AN260" s="3" t="str">
        <f t="shared" si="62"/>
        <v/>
      </c>
      <c r="AO260" s="3" t="str">
        <f t="shared" si="63"/>
        <v/>
      </c>
      <c r="AP260" s="3">
        <f t="shared" si="64"/>
        <v>0</v>
      </c>
      <c r="AQ260" s="3">
        <f t="shared" si="65"/>
        <v>0</v>
      </c>
      <c r="AR260" s="3">
        <f t="shared" si="71"/>
        <v>0</v>
      </c>
      <c r="AS260" s="3" t="e">
        <f t="shared" si="72"/>
        <v>#REF!</v>
      </c>
      <c r="AT260" s="3" t="str">
        <f t="shared" si="66"/>
        <v/>
      </c>
      <c r="AU260" s="3">
        <f t="shared" si="67"/>
        <v>0</v>
      </c>
      <c r="AV260" s="3">
        <f t="shared" si="68"/>
        <v>0</v>
      </c>
      <c r="AW260" s="3">
        <v>512</v>
      </c>
      <c r="AX260" s="3" t="e">
        <f>IF(AND(#REF!="N",OR(AW260=$AX$1,AW260=$AX$2,AW260=$AX$3,AW260=$AX$4,AW260=$AY$1,AW260=$AY$2,AW260=$AY$3,AW260=$AY$4)),0,1)</f>
        <v>#REF!</v>
      </c>
    </row>
    <row r="261" spans="2:50" x14ac:dyDescent="0.2">
      <c r="B261" s="4">
        <v>514</v>
      </c>
      <c r="C261" s="208">
        <v>4.4194173824159217E-8</v>
      </c>
      <c r="D261" s="208">
        <v>4.4194173824159217E-8</v>
      </c>
      <c r="E261" s="208">
        <v>4.4194173824159217E-8</v>
      </c>
      <c r="F261" s="209" t="s">
        <v>714</v>
      </c>
      <c r="G261" s="208">
        <v>2.7739308196110618E-16</v>
      </c>
      <c r="H261" s="210">
        <v>3.7915947433755473E-15</v>
      </c>
      <c r="I261" s="208">
        <v>1.6756639715950733E-24</v>
      </c>
      <c r="J261" s="208">
        <v>1.6756639715950733E-24</v>
      </c>
      <c r="K261" s="208">
        <v>1.6756639715950733E-24</v>
      </c>
      <c r="L261" s="208">
        <v>0</v>
      </c>
      <c r="M261" s="208">
        <v>0</v>
      </c>
      <c r="N261" s="208">
        <v>0</v>
      </c>
      <c r="O261" s="3">
        <v>360</v>
      </c>
      <c r="P261" s="3">
        <v>360</v>
      </c>
      <c r="Q261" s="3">
        <v>360</v>
      </c>
      <c r="S261" s="4">
        <v>0</v>
      </c>
      <c r="T261" s="4">
        <v>128.5</v>
      </c>
      <c r="U261" s="210"/>
      <c r="V261" s="210">
        <v>3.7915947433755473E-15</v>
      </c>
      <c r="W261" s="3">
        <v>0</v>
      </c>
      <c r="X261" s="3">
        <v>0</v>
      </c>
      <c r="Y261" s="3">
        <f t="shared" si="69"/>
        <v>1</v>
      </c>
      <c r="Z261" s="3">
        <f t="shared" si="70"/>
        <v>1</v>
      </c>
      <c r="AA261" s="3" t="str">
        <f t="shared" ref="AA261:AA324" si="73">IF(R261="","",$AB$1*(C261/$C$3)^2)</f>
        <v/>
      </c>
      <c r="AB261" s="3" t="str">
        <f t="shared" ref="AB261:AB324" si="74">IF(R261="","",$AB$2*(C261/$C$3)^2)</f>
        <v/>
      </c>
      <c r="AC261" s="3" t="str">
        <f t="shared" ref="AC261:AC324" si="75">IF(R261="","",$AB$3*(C261/$C$3/T261)^2)</f>
        <v/>
      </c>
      <c r="AD261" s="3" t="str">
        <f t="shared" ref="AD261:AD324" si="76">IF(R261="",COMPLEX(0,0),IMDIV(IMPRODUCT(COMPLEX(AA261,AB261),COMPLEX(0,AC261)),COMPLEX(AA261,AB261+AC261)))</f>
        <v>0</v>
      </c>
      <c r="AE261" s="3">
        <f t="shared" ref="AE261:AE324" si="77">IMREAL(AD261)</f>
        <v>0</v>
      </c>
      <c r="AF261" s="3">
        <f t="shared" ref="AF261:AF324" si="78">IMAGINARY(AD261)</f>
        <v>0</v>
      </c>
      <c r="AM261" s="3" t="str">
        <f t="shared" ref="AM261:AM324" si="79">IF(R261="","",IMPRODUCT(COMPLEX(AA261,Y261*AB261),COMPLEX(0,AC261)))</f>
        <v/>
      </c>
      <c r="AN261" s="3" t="str">
        <f t="shared" ref="AN261:AN324" si="80">IF(R261="","",COMPLEX(AA261,Y261*(AB261+AC261)))</f>
        <v/>
      </c>
      <c r="AO261" s="3" t="str">
        <f t="shared" ref="AO261:AO324" si="81">IF(R261="","",IMDIV(AM261,AN261))</f>
        <v/>
      </c>
      <c r="AP261" s="3">
        <f t="shared" ref="AP261:AP324" si="82">IF(R261="",0,IMREAL(AO261))</f>
        <v>0</v>
      </c>
      <c r="AQ261" s="3">
        <f t="shared" ref="AQ261:AQ324" si="83">IF(R261="",0,IMAGINARY(AO261))</f>
        <v>0</v>
      </c>
      <c r="AR261" s="3">
        <f t="shared" si="71"/>
        <v>0</v>
      </c>
      <c r="AS261" s="3" t="e">
        <f t="shared" si="72"/>
        <v>#REF!</v>
      </c>
      <c r="AT261" s="3" t="str">
        <f t="shared" ref="AT261:AT324" si="84">IF(R261="","",IMDIV($AP$3,IMSUM(AO261,$AP$2)))</f>
        <v/>
      </c>
      <c r="AU261" s="3">
        <f t="shared" ref="AU261:AU324" si="85">IF(R261="",0,IMREAL(AT261))</f>
        <v>0</v>
      </c>
      <c r="AV261" s="3">
        <f t="shared" ref="AV261:AV324" si="86">IF(R261="",0,IMAGINARY(AT261))</f>
        <v>0</v>
      </c>
      <c r="AW261" s="3">
        <v>514</v>
      </c>
      <c r="AX261" s="3" t="e">
        <f>IF(AND(#REF!="N",OR(AW261=$AX$1,AW261=$AX$2,AW261=$AX$3,AW261=$AX$4,AW261=$AY$1,AW261=$AY$2,AW261=$AY$3,AW261=$AY$4)),0,1)</f>
        <v>#REF!</v>
      </c>
    </row>
    <row r="262" spans="2:50" x14ac:dyDescent="0.2">
      <c r="B262" s="4">
        <v>516</v>
      </c>
      <c r="C262" s="208">
        <v>0.27059805007309573</v>
      </c>
      <c r="D262" s="208">
        <v>0.27059805007309262</v>
      </c>
      <c r="E262" s="208">
        <v>0.27059805007310284</v>
      </c>
      <c r="F262" s="209" t="s">
        <v>714</v>
      </c>
      <c r="G262" s="208">
        <v>4.7377345273490934E-16</v>
      </c>
      <c r="H262" s="210">
        <v>6.4758533999504586E-15</v>
      </c>
      <c r="I262" s="208">
        <v>1.7523533025858215E-17</v>
      </c>
      <c r="J262" s="208">
        <v>1.7523533025858012E-17</v>
      </c>
      <c r="K262" s="208">
        <v>1.7523533025858674E-17</v>
      </c>
      <c r="L262" s="208">
        <v>6.720823328268999E-31</v>
      </c>
      <c r="M262" s="208">
        <v>1.066875911302004E-30</v>
      </c>
      <c r="N262" s="208">
        <v>8.6405932063609498E-31</v>
      </c>
      <c r="O262" s="3">
        <v>360</v>
      </c>
      <c r="P262" s="3">
        <v>0</v>
      </c>
      <c r="Q262" s="3">
        <v>360</v>
      </c>
      <c r="S262" s="4">
        <v>0</v>
      </c>
      <c r="T262" s="4">
        <v>129</v>
      </c>
      <c r="U262" s="210"/>
      <c r="V262" s="210">
        <v>6.4758533999504586E-15</v>
      </c>
      <c r="W262" s="3">
        <v>0</v>
      </c>
      <c r="X262" s="3">
        <v>0</v>
      </c>
      <c r="Y262" s="3">
        <f t="shared" ref="Y262:Y325" si="87">IF($S$3="+",IF(X262&gt;W262,1-B262/$E$2*(1-$Y$1),1+B262/$E$2*(1-$Y$1)),IF(W262&gt;X262,1-B262/$E$2*(1-$Y$1),1+B262/$E$2*(1-$Y$1)))</f>
        <v>1</v>
      </c>
      <c r="Z262" s="3">
        <f t="shared" ref="Z262:Z325" si="88">2-Y262</f>
        <v>1</v>
      </c>
      <c r="AA262" s="3" t="str">
        <f t="shared" si="73"/>
        <v/>
      </c>
      <c r="AB262" s="3" t="str">
        <f t="shared" si="74"/>
        <v/>
      </c>
      <c r="AC262" s="3" t="str">
        <f t="shared" si="75"/>
        <v/>
      </c>
      <c r="AD262" s="3" t="str">
        <f t="shared" si="76"/>
        <v>0</v>
      </c>
      <c r="AE262" s="3">
        <f t="shared" si="77"/>
        <v>0</v>
      </c>
      <c r="AF262" s="3">
        <f t="shared" si="78"/>
        <v>0</v>
      </c>
      <c r="AM262" s="3" t="str">
        <f t="shared" si="79"/>
        <v/>
      </c>
      <c r="AN262" s="3" t="str">
        <f t="shared" si="80"/>
        <v/>
      </c>
      <c r="AO262" s="3" t="str">
        <f t="shared" si="81"/>
        <v/>
      </c>
      <c r="AP262" s="3">
        <f t="shared" si="82"/>
        <v>0</v>
      </c>
      <c r="AQ262" s="3">
        <f t="shared" si="83"/>
        <v>0</v>
      </c>
      <c r="AR262" s="3">
        <f t="shared" ref="AR262:AR325" si="89">IF(R262="",0,IF(X262&gt;W262,1,-1)*2*PI()*$Y$2/(B262/2))</f>
        <v>0</v>
      </c>
      <c r="AS262" s="3" t="e">
        <f t="shared" ref="AS262:AS325" si="90">IF(OR(R262="",S262=0),0,3*$AV$2^2*AP262/AR262)*AX262</f>
        <v>#REF!</v>
      </c>
      <c r="AT262" s="3" t="str">
        <f t="shared" si="84"/>
        <v/>
      </c>
      <c r="AU262" s="3">
        <f t="shared" si="85"/>
        <v>0</v>
      </c>
      <c r="AV262" s="3">
        <f t="shared" si="86"/>
        <v>0</v>
      </c>
      <c r="AW262" s="3">
        <v>516</v>
      </c>
      <c r="AX262" s="3" t="e">
        <f>IF(AND(#REF!="N",OR(AW262=$AX$1,AW262=$AX$2,AW262=$AX$3,AW262=$AX$4,AW262=$AY$1,AW262=$AY$2,AW262=$AY$3,AW262=$AY$4)),0,1)</f>
        <v>#REF!</v>
      </c>
    </row>
    <row r="263" spans="2:50" x14ac:dyDescent="0.2">
      <c r="B263" s="4">
        <v>518</v>
      </c>
      <c r="C263" s="208">
        <v>4.4194173824159217E-8</v>
      </c>
      <c r="D263" s="208">
        <v>4.4194173824159217E-8</v>
      </c>
      <c r="E263" s="208">
        <v>4.4194173824159217E-8</v>
      </c>
      <c r="F263" s="209" t="s">
        <v>714</v>
      </c>
      <c r="G263" s="208">
        <v>1.3306696732641561E-16</v>
      </c>
      <c r="H263" s="210">
        <v>1.8188485821809541E-15</v>
      </c>
      <c r="I263" s="208">
        <v>8.0382510400730619E-25</v>
      </c>
      <c r="J263" s="208">
        <v>8.0382510400730619E-25</v>
      </c>
      <c r="K263" s="208">
        <v>8.0382510400730619E-25</v>
      </c>
      <c r="L263" s="208">
        <v>0</v>
      </c>
      <c r="M263" s="208">
        <v>0</v>
      </c>
      <c r="N263" s="208">
        <v>0</v>
      </c>
      <c r="O263" s="3">
        <v>360</v>
      </c>
      <c r="P263" s="3">
        <v>360</v>
      </c>
      <c r="Q263" s="3">
        <v>360</v>
      </c>
      <c r="S263" s="4">
        <v>0</v>
      </c>
      <c r="T263" s="4">
        <v>129.5</v>
      </c>
      <c r="U263" s="210"/>
      <c r="V263" s="210">
        <v>1.8188485821809541E-15</v>
      </c>
      <c r="W263" s="3">
        <v>0</v>
      </c>
      <c r="X263" s="3">
        <v>0</v>
      </c>
      <c r="Y263" s="3">
        <f t="shared" si="87"/>
        <v>1</v>
      </c>
      <c r="Z263" s="3">
        <f t="shared" si="88"/>
        <v>1</v>
      </c>
      <c r="AA263" s="3" t="str">
        <f t="shared" si="73"/>
        <v/>
      </c>
      <c r="AB263" s="3" t="str">
        <f t="shared" si="74"/>
        <v/>
      </c>
      <c r="AC263" s="3" t="str">
        <f t="shared" si="75"/>
        <v/>
      </c>
      <c r="AD263" s="3" t="str">
        <f t="shared" si="76"/>
        <v>0</v>
      </c>
      <c r="AE263" s="3">
        <f t="shared" si="77"/>
        <v>0</v>
      </c>
      <c r="AF263" s="3">
        <f t="shared" si="78"/>
        <v>0</v>
      </c>
      <c r="AM263" s="3" t="str">
        <f t="shared" si="79"/>
        <v/>
      </c>
      <c r="AN263" s="3" t="str">
        <f t="shared" si="80"/>
        <v/>
      </c>
      <c r="AO263" s="3" t="str">
        <f t="shared" si="81"/>
        <v/>
      </c>
      <c r="AP263" s="3">
        <f t="shared" si="82"/>
        <v>0</v>
      </c>
      <c r="AQ263" s="3">
        <f t="shared" si="83"/>
        <v>0</v>
      </c>
      <c r="AR263" s="3">
        <f t="shared" si="89"/>
        <v>0</v>
      </c>
      <c r="AS263" s="3" t="e">
        <f t="shared" si="90"/>
        <v>#REF!</v>
      </c>
      <c r="AT263" s="3" t="str">
        <f t="shared" si="84"/>
        <v/>
      </c>
      <c r="AU263" s="3">
        <f t="shared" si="85"/>
        <v>0</v>
      </c>
      <c r="AV263" s="3">
        <f t="shared" si="86"/>
        <v>0</v>
      </c>
      <c r="AW263" s="3">
        <v>518</v>
      </c>
      <c r="AX263" s="3" t="e">
        <f>IF(AND(#REF!="N",OR(AW263=$AX$1,AW263=$AX$2,AW263=$AX$3,AW263=$AX$4,AW263=$AY$1,AW263=$AY$2,AW263=$AY$3,AW263=$AY$4)),0,1)</f>
        <v>#REF!</v>
      </c>
    </row>
    <row r="264" spans="2:50" x14ac:dyDescent="0.2">
      <c r="B264" s="4">
        <v>520</v>
      </c>
      <c r="C264" s="208">
        <v>4.4194173824159217E-8</v>
      </c>
      <c r="D264" s="208">
        <v>4.4194173824159217E-8</v>
      </c>
      <c r="E264" s="208">
        <v>4.4194173824159217E-8</v>
      </c>
      <c r="F264" s="209" t="s">
        <v>714</v>
      </c>
      <c r="G264" s="208">
        <v>4.598872497316074E-16</v>
      </c>
      <c r="H264" s="210">
        <v>6.2860474612423417E-15</v>
      </c>
      <c r="I264" s="208">
        <v>2.778066741690588E-24</v>
      </c>
      <c r="J264" s="208">
        <v>2.778066741690588E-24</v>
      </c>
      <c r="K264" s="208">
        <v>2.778066741690588E-24</v>
      </c>
      <c r="L264" s="208">
        <v>0</v>
      </c>
      <c r="M264" s="208">
        <v>0</v>
      </c>
      <c r="N264" s="208">
        <v>0</v>
      </c>
      <c r="O264" s="3">
        <v>360</v>
      </c>
      <c r="P264" s="3">
        <v>360</v>
      </c>
      <c r="Q264" s="3">
        <v>360</v>
      </c>
      <c r="S264" s="4">
        <v>0</v>
      </c>
      <c r="T264" s="4">
        <v>130</v>
      </c>
      <c r="U264" s="210"/>
      <c r="V264" s="210">
        <v>6.2860474612423417E-15</v>
      </c>
      <c r="W264" s="3">
        <v>0</v>
      </c>
      <c r="X264" s="3">
        <v>0</v>
      </c>
      <c r="Y264" s="3">
        <f t="shared" si="87"/>
        <v>1</v>
      </c>
      <c r="Z264" s="3">
        <f t="shared" si="88"/>
        <v>1</v>
      </c>
      <c r="AA264" s="3" t="str">
        <f t="shared" si="73"/>
        <v/>
      </c>
      <c r="AB264" s="3" t="str">
        <f t="shared" si="74"/>
        <v/>
      </c>
      <c r="AC264" s="3" t="str">
        <f t="shared" si="75"/>
        <v/>
      </c>
      <c r="AD264" s="3" t="str">
        <f t="shared" si="76"/>
        <v>0</v>
      </c>
      <c r="AE264" s="3">
        <f t="shared" si="77"/>
        <v>0</v>
      </c>
      <c r="AF264" s="3">
        <f t="shared" si="78"/>
        <v>0</v>
      </c>
      <c r="AM264" s="3" t="str">
        <f t="shared" si="79"/>
        <v/>
      </c>
      <c r="AN264" s="3" t="str">
        <f t="shared" si="80"/>
        <v/>
      </c>
      <c r="AO264" s="3" t="str">
        <f t="shared" si="81"/>
        <v/>
      </c>
      <c r="AP264" s="3">
        <f t="shared" si="82"/>
        <v>0</v>
      </c>
      <c r="AQ264" s="3">
        <f t="shared" si="83"/>
        <v>0</v>
      </c>
      <c r="AR264" s="3">
        <f t="shared" si="89"/>
        <v>0</v>
      </c>
      <c r="AS264" s="3" t="e">
        <f t="shared" si="90"/>
        <v>#REF!</v>
      </c>
      <c r="AT264" s="3" t="str">
        <f t="shared" si="84"/>
        <v/>
      </c>
      <c r="AU264" s="3">
        <f t="shared" si="85"/>
        <v>0</v>
      </c>
      <c r="AV264" s="3">
        <f t="shared" si="86"/>
        <v>0</v>
      </c>
      <c r="AW264" s="3">
        <v>520</v>
      </c>
      <c r="AX264" s="3" t="e">
        <f>IF(AND(#REF!="N",OR(AW264=$AX$1,AW264=$AX$2,AW264=$AX$3,AW264=$AX$4,AW264=$AY$1,AW264=$AY$2,AW264=$AY$3,AW264=$AY$4)),0,1)</f>
        <v>#REF!</v>
      </c>
    </row>
    <row r="265" spans="2:50" x14ac:dyDescent="0.2">
      <c r="B265" s="4">
        <v>522</v>
      </c>
      <c r="C265" s="208">
        <v>4.4194173824159217E-8</v>
      </c>
      <c r="D265" s="208">
        <v>4.4194173824159217E-8</v>
      </c>
      <c r="E265" s="208">
        <v>4.4194173824159217E-8</v>
      </c>
      <c r="F265" s="209" t="s">
        <v>714</v>
      </c>
      <c r="G265" s="208">
        <v>7.3014892539876784E-16</v>
      </c>
      <c r="H265" s="210">
        <v>9.9801653590317007E-15</v>
      </c>
      <c r="I265" s="208">
        <v>4.4106516267089933E-24</v>
      </c>
      <c r="J265" s="208">
        <v>4.4106516267089933E-24</v>
      </c>
      <c r="K265" s="208">
        <v>4.4106516267089933E-24</v>
      </c>
      <c r="L265" s="208">
        <v>0</v>
      </c>
      <c r="M265" s="208">
        <v>0</v>
      </c>
      <c r="N265" s="208">
        <v>0</v>
      </c>
      <c r="O265" s="3">
        <v>360</v>
      </c>
      <c r="P265" s="3">
        <v>360</v>
      </c>
      <c r="Q265" s="3">
        <v>360</v>
      </c>
      <c r="S265" s="4">
        <v>0</v>
      </c>
      <c r="T265" s="4">
        <v>130.5</v>
      </c>
      <c r="U265" s="210"/>
      <c r="V265" s="210">
        <v>9.9801653590317007E-15</v>
      </c>
      <c r="W265" s="3">
        <v>0</v>
      </c>
      <c r="X265" s="3">
        <v>0</v>
      </c>
      <c r="Y265" s="3">
        <f t="shared" si="87"/>
        <v>1</v>
      </c>
      <c r="Z265" s="3">
        <f t="shared" si="88"/>
        <v>1</v>
      </c>
      <c r="AA265" s="3" t="str">
        <f t="shared" si="73"/>
        <v/>
      </c>
      <c r="AB265" s="3" t="str">
        <f t="shared" si="74"/>
        <v/>
      </c>
      <c r="AC265" s="3" t="str">
        <f t="shared" si="75"/>
        <v/>
      </c>
      <c r="AD265" s="3" t="str">
        <f t="shared" si="76"/>
        <v>0</v>
      </c>
      <c r="AE265" s="3">
        <f t="shared" si="77"/>
        <v>0</v>
      </c>
      <c r="AF265" s="3">
        <f t="shared" si="78"/>
        <v>0</v>
      </c>
      <c r="AM265" s="3" t="str">
        <f t="shared" si="79"/>
        <v/>
      </c>
      <c r="AN265" s="3" t="str">
        <f t="shared" si="80"/>
        <v/>
      </c>
      <c r="AO265" s="3" t="str">
        <f t="shared" si="81"/>
        <v/>
      </c>
      <c r="AP265" s="3">
        <f t="shared" si="82"/>
        <v>0</v>
      </c>
      <c r="AQ265" s="3">
        <f t="shared" si="83"/>
        <v>0</v>
      </c>
      <c r="AR265" s="3">
        <f t="shared" si="89"/>
        <v>0</v>
      </c>
      <c r="AS265" s="3" t="e">
        <f t="shared" si="90"/>
        <v>#REF!</v>
      </c>
      <c r="AT265" s="3" t="str">
        <f t="shared" si="84"/>
        <v/>
      </c>
      <c r="AU265" s="3">
        <f t="shared" si="85"/>
        <v>0</v>
      </c>
      <c r="AV265" s="3">
        <f t="shared" si="86"/>
        <v>0</v>
      </c>
      <c r="AW265" s="3">
        <v>522</v>
      </c>
      <c r="AX265" s="3" t="e">
        <f>IF(AND(#REF!="N",OR(AW265=$AX$1,AW265=$AX$2,AW265=$AX$3,AW265=$AX$4,AW265=$AY$1,AW265=$AY$2,AW265=$AY$3,AW265=$AY$4)),0,1)</f>
        <v>#REF!</v>
      </c>
    </row>
    <row r="266" spans="2:50" x14ac:dyDescent="0.2">
      <c r="B266" s="4">
        <v>524</v>
      </c>
      <c r="C266" s="208">
        <v>0.12607862007251391</v>
      </c>
      <c r="D266" s="208">
        <v>0.12607862007252157</v>
      </c>
      <c r="E266" s="208">
        <v>0.12607862007251019</v>
      </c>
      <c r="F266" s="209" t="s">
        <v>714</v>
      </c>
      <c r="G266" s="208">
        <v>7.3524405261969966E-3</v>
      </c>
      <c r="H266" s="210">
        <v>0.10049808976136843</v>
      </c>
      <c r="I266" s="208">
        <v>1.2670660477036969E-4</v>
      </c>
      <c r="J266" s="208">
        <v>1.2670660477037742E-4</v>
      </c>
      <c r="K266" s="208">
        <v>1.2670660477036598E-4</v>
      </c>
      <c r="L266" s="208">
        <v>2.1946227711682682E-4</v>
      </c>
      <c r="M266" s="208">
        <v>2.1946227711683788E-4</v>
      </c>
      <c r="N266" s="208">
        <v>2.1946227711683043E-4</v>
      </c>
      <c r="O266" s="3">
        <v>120</v>
      </c>
      <c r="P266" s="3">
        <v>120</v>
      </c>
      <c r="Q266" s="3">
        <v>120</v>
      </c>
      <c r="R266" s="4" t="s">
        <v>172</v>
      </c>
      <c r="S266" s="4" t="s">
        <v>172</v>
      </c>
      <c r="T266" s="4">
        <v>131</v>
      </c>
      <c r="U266" s="210"/>
      <c r="V266" s="210">
        <v>0.10049808976136843</v>
      </c>
      <c r="W266" s="3">
        <v>0.10049808976136788</v>
      </c>
      <c r="X266" s="3">
        <v>0</v>
      </c>
      <c r="Y266" s="3">
        <f t="shared" si="87"/>
        <v>1</v>
      </c>
      <c r="Z266" s="3">
        <f t="shared" si="88"/>
        <v>1</v>
      </c>
      <c r="AA266" s="3">
        <f t="shared" si="73"/>
        <v>5.1997140362993549E-2</v>
      </c>
      <c r="AB266" s="3">
        <f t="shared" si="74"/>
        <v>2.5998570181496775E-2</v>
      </c>
      <c r="AC266" s="3">
        <f t="shared" si="75"/>
        <v>1.5149799068525596E-5</v>
      </c>
      <c r="AD266" s="3" t="str">
        <f t="shared" si="76"/>
        <v>3.53039278528909E-09+0.0000151480328435237i</v>
      </c>
      <c r="AE266" s="3">
        <f t="shared" si="77"/>
        <v>3.5303927852890898E-9</v>
      </c>
      <c r="AF266" s="3">
        <f t="shared" si="78"/>
        <v>1.51480328435237E-5</v>
      </c>
      <c r="AM266" s="3" t="str">
        <f t="shared" si="79"/>
        <v>-3.93873114318638E-07+7.87746228637274E-07i</v>
      </c>
      <c r="AN266" s="3" t="str">
        <f t="shared" si="80"/>
        <v>0.0519971403629935+0.0260137199805653i</v>
      </c>
      <c r="AO266" s="3" t="str">
        <f t="shared" si="81"/>
        <v>3.53039278528909E-09+0.0000151480328435237i</v>
      </c>
      <c r="AP266" s="3">
        <f t="shared" si="82"/>
        <v>3.5303927852890898E-9</v>
      </c>
      <c r="AQ266" s="3">
        <f t="shared" si="83"/>
        <v>1.51480328435237E-5</v>
      </c>
      <c r="AR266" s="3">
        <f t="shared" si="89"/>
        <v>-1.1990811654922875</v>
      </c>
      <c r="AS266" s="3" t="e">
        <f t="shared" si="90"/>
        <v>#REF!</v>
      </c>
      <c r="AT266" s="3" t="e">
        <f t="shared" si="84"/>
        <v>#REF!</v>
      </c>
      <c r="AU266" s="3" t="e">
        <f t="shared" si="85"/>
        <v>#REF!</v>
      </c>
      <c r="AV266" s="3" t="e">
        <f t="shared" si="86"/>
        <v>#REF!</v>
      </c>
      <c r="AW266" s="3">
        <v>524</v>
      </c>
      <c r="AX266" s="3" t="e">
        <f>IF(AND(#REF!="N",OR(AW266=$AX$1,AW266=$AX$2,AW266=$AX$3,AW266=$AX$4,AW266=$AY$1,AW266=$AY$2,AW266=$AY$3,AW266=$AY$4)),0,1)</f>
        <v>#REF!</v>
      </c>
    </row>
    <row r="267" spans="2:50" x14ac:dyDescent="0.2">
      <c r="B267" s="4">
        <v>526</v>
      </c>
      <c r="C267" s="208">
        <v>4.4194173824159217E-8</v>
      </c>
      <c r="D267" s="208">
        <v>4.4194173824159217E-8</v>
      </c>
      <c r="E267" s="208">
        <v>4.4194173824159217E-8</v>
      </c>
      <c r="F267" s="209" t="s">
        <v>714</v>
      </c>
      <c r="G267" s="208">
        <v>4.5077525935282607E-16</v>
      </c>
      <c r="H267" s="210">
        <v>6.1614986636385135E-15</v>
      </c>
      <c r="I267" s="208">
        <v>2.7230234295816522E-24</v>
      </c>
      <c r="J267" s="208">
        <v>2.7230234295816522E-24</v>
      </c>
      <c r="K267" s="208">
        <v>2.7230234295816522E-24</v>
      </c>
      <c r="L267" s="208">
        <v>0</v>
      </c>
      <c r="M267" s="208">
        <v>0</v>
      </c>
      <c r="N267" s="208">
        <v>0</v>
      </c>
      <c r="O267" s="3">
        <v>360</v>
      </c>
      <c r="P267" s="3">
        <v>360</v>
      </c>
      <c r="Q267" s="3">
        <v>360</v>
      </c>
      <c r="S267" s="4">
        <v>0</v>
      </c>
      <c r="T267" s="4">
        <v>131.5</v>
      </c>
      <c r="U267" s="210"/>
      <c r="V267" s="210">
        <v>6.1614986636385143E-15</v>
      </c>
      <c r="W267" s="3">
        <v>0</v>
      </c>
      <c r="X267" s="3">
        <v>0</v>
      </c>
      <c r="Y267" s="3">
        <f t="shared" si="87"/>
        <v>1</v>
      </c>
      <c r="Z267" s="3">
        <f t="shared" si="88"/>
        <v>1</v>
      </c>
      <c r="AA267" s="3" t="str">
        <f t="shared" si="73"/>
        <v/>
      </c>
      <c r="AB267" s="3" t="str">
        <f t="shared" si="74"/>
        <v/>
      </c>
      <c r="AC267" s="3" t="str">
        <f t="shared" si="75"/>
        <v/>
      </c>
      <c r="AD267" s="3" t="str">
        <f t="shared" si="76"/>
        <v>0</v>
      </c>
      <c r="AE267" s="3">
        <f t="shared" si="77"/>
        <v>0</v>
      </c>
      <c r="AF267" s="3">
        <f t="shared" si="78"/>
        <v>0</v>
      </c>
      <c r="AM267" s="3" t="str">
        <f t="shared" si="79"/>
        <v/>
      </c>
      <c r="AN267" s="3" t="str">
        <f t="shared" si="80"/>
        <v/>
      </c>
      <c r="AO267" s="3" t="str">
        <f t="shared" si="81"/>
        <v/>
      </c>
      <c r="AP267" s="3">
        <f t="shared" si="82"/>
        <v>0</v>
      </c>
      <c r="AQ267" s="3">
        <f t="shared" si="83"/>
        <v>0</v>
      </c>
      <c r="AR267" s="3">
        <f t="shared" si="89"/>
        <v>0</v>
      </c>
      <c r="AS267" s="3" t="e">
        <f t="shared" si="90"/>
        <v>#REF!</v>
      </c>
      <c r="AT267" s="3" t="str">
        <f t="shared" si="84"/>
        <v/>
      </c>
      <c r="AU267" s="3">
        <f t="shared" si="85"/>
        <v>0</v>
      </c>
      <c r="AV267" s="3">
        <f t="shared" si="86"/>
        <v>0</v>
      </c>
      <c r="AW267" s="3">
        <v>526</v>
      </c>
      <c r="AX267" s="3" t="e">
        <f>IF(AND(#REF!="N",OR(AW267=$AX$1,AW267=$AX$2,AW267=$AX$3,AW267=$AX$4,AW267=$AY$1,AW267=$AY$2,AW267=$AY$3,AW267=$AY$4)),0,1)</f>
        <v>#REF!</v>
      </c>
    </row>
    <row r="268" spans="2:50" x14ac:dyDescent="0.2">
      <c r="B268" s="4">
        <v>528</v>
      </c>
      <c r="C268" s="208">
        <v>4.4194173824159217E-8</v>
      </c>
      <c r="D268" s="208">
        <v>4.4194173824159217E-8</v>
      </c>
      <c r="E268" s="208">
        <v>4.4194173824159217E-8</v>
      </c>
      <c r="F268" s="209">
        <v>0</v>
      </c>
      <c r="G268" s="208">
        <v>0</v>
      </c>
      <c r="H268" s="210">
        <v>0</v>
      </c>
      <c r="I268" s="208">
        <v>0</v>
      </c>
      <c r="J268" s="208">
        <v>0</v>
      </c>
      <c r="K268" s="208">
        <v>0</v>
      </c>
      <c r="L268" s="208">
        <v>0</v>
      </c>
      <c r="M268" s="208">
        <v>0</v>
      </c>
      <c r="N268" s="208">
        <v>0</v>
      </c>
      <c r="O268" s="3">
        <v>360</v>
      </c>
      <c r="P268" s="3">
        <v>360</v>
      </c>
      <c r="Q268" s="3">
        <v>360</v>
      </c>
      <c r="S268" s="4">
        <v>0</v>
      </c>
      <c r="T268" s="4">
        <v>132</v>
      </c>
      <c r="U268" s="210"/>
      <c r="V268" s="210">
        <v>0</v>
      </c>
      <c r="W268" s="3">
        <v>0</v>
      </c>
      <c r="X268" s="3">
        <v>0</v>
      </c>
      <c r="Y268" s="3">
        <f t="shared" si="87"/>
        <v>1</v>
      </c>
      <c r="Z268" s="3">
        <f t="shared" si="88"/>
        <v>1</v>
      </c>
      <c r="AA268" s="3" t="str">
        <f t="shared" si="73"/>
        <v/>
      </c>
      <c r="AB268" s="3" t="str">
        <f t="shared" si="74"/>
        <v/>
      </c>
      <c r="AC268" s="3" t="str">
        <f t="shared" si="75"/>
        <v/>
      </c>
      <c r="AD268" s="3" t="str">
        <f t="shared" si="76"/>
        <v>0</v>
      </c>
      <c r="AE268" s="3">
        <f t="shared" si="77"/>
        <v>0</v>
      </c>
      <c r="AF268" s="3">
        <f t="shared" si="78"/>
        <v>0</v>
      </c>
      <c r="AM268" s="3" t="str">
        <f t="shared" si="79"/>
        <v/>
      </c>
      <c r="AN268" s="3" t="str">
        <f t="shared" si="80"/>
        <v/>
      </c>
      <c r="AO268" s="3" t="str">
        <f t="shared" si="81"/>
        <v/>
      </c>
      <c r="AP268" s="3">
        <f t="shared" si="82"/>
        <v>0</v>
      </c>
      <c r="AQ268" s="3">
        <f t="shared" si="83"/>
        <v>0</v>
      </c>
      <c r="AR268" s="3">
        <f t="shared" si="89"/>
        <v>0</v>
      </c>
      <c r="AS268" s="3" t="e">
        <f t="shared" si="90"/>
        <v>#REF!</v>
      </c>
      <c r="AT268" s="3" t="str">
        <f t="shared" si="84"/>
        <v/>
      </c>
      <c r="AU268" s="3">
        <f t="shared" si="85"/>
        <v>0</v>
      </c>
      <c r="AV268" s="3">
        <f t="shared" si="86"/>
        <v>0</v>
      </c>
      <c r="AW268" s="3">
        <v>528</v>
      </c>
      <c r="AX268" s="3" t="e">
        <f>IF(AND(#REF!="N",OR(AW268=$AX$1,AW268=$AX$2,AW268=$AX$3,AW268=$AX$4,AW268=$AY$1,AW268=$AY$2,AW268=$AY$3,AW268=$AY$4)),0,1)</f>
        <v>#REF!</v>
      </c>
    </row>
    <row r="269" spans="2:50" x14ac:dyDescent="0.2">
      <c r="B269" s="4">
        <v>530</v>
      </c>
      <c r="C269" s="208">
        <v>4.4194173824159217E-8</v>
      </c>
      <c r="D269" s="208">
        <v>4.4194173824159217E-8</v>
      </c>
      <c r="E269" s="208">
        <v>4.4194173824159217E-8</v>
      </c>
      <c r="F269" s="209" t="s">
        <v>714</v>
      </c>
      <c r="G269" s="208">
        <v>3.9977873827057633E-16</v>
      </c>
      <c r="H269" s="210">
        <v>5.4644440006350237E-15</v>
      </c>
      <c r="I269" s="208">
        <v>2.4149658801644824E-24</v>
      </c>
      <c r="J269" s="208">
        <v>2.4149658801644824E-24</v>
      </c>
      <c r="K269" s="208">
        <v>2.4149658801644824E-24</v>
      </c>
      <c r="L269" s="208">
        <v>0</v>
      </c>
      <c r="M269" s="208">
        <v>0</v>
      </c>
      <c r="N269" s="208">
        <v>0</v>
      </c>
      <c r="O269" s="3">
        <v>360</v>
      </c>
      <c r="P269" s="3">
        <v>360</v>
      </c>
      <c r="Q269" s="3">
        <v>360</v>
      </c>
      <c r="S269" s="4">
        <v>0</v>
      </c>
      <c r="T269" s="4">
        <v>132.5</v>
      </c>
      <c r="U269" s="210"/>
      <c r="V269" s="210">
        <v>5.4644440006350237E-15</v>
      </c>
      <c r="W269" s="3">
        <v>0</v>
      </c>
      <c r="X269" s="3">
        <v>0</v>
      </c>
      <c r="Y269" s="3">
        <f t="shared" si="87"/>
        <v>1</v>
      </c>
      <c r="Z269" s="3">
        <f t="shared" si="88"/>
        <v>1</v>
      </c>
      <c r="AA269" s="3" t="str">
        <f t="shared" si="73"/>
        <v/>
      </c>
      <c r="AB269" s="3" t="str">
        <f t="shared" si="74"/>
        <v/>
      </c>
      <c r="AC269" s="3" t="str">
        <f t="shared" si="75"/>
        <v/>
      </c>
      <c r="AD269" s="3" t="str">
        <f t="shared" si="76"/>
        <v>0</v>
      </c>
      <c r="AE269" s="3">
        <f t="shared" si="77"/>
        <v>0</v>
      </c>
      <c r="AF269" s="3">
        <f t="shared" si="78"/>
        <v>0</v>
      </c>
      <c r="AM269" s="3" t="str">
        <f t="shared" si="79"/>
        <v/>
      </c>
      <c r="AN269" s="3" t="str">
        <f t="shared" si="80"/>
        <v/>
      </c>
      <c r="AO269" s="3" t="str">
        <f t="shared" si="81"/>
        <v/>
      </c>
      <c r="AP269" s="3">
        <f t="shared" si="82"/>
        <v>0</v>
      </c>
      <c r="AQ269" s="3">
        <f t="shared" si="83"/>
        <v>0</v>
      </c>
      <c r="AR269" s="3">
        <f t="shared" si="89"/>
        <v>0</v>
      </c>
      <c r="AS269" s="3" t="e">
        <f t="shared" si="90"/>
        <v>#REF!</v>
      </c>
      <c r="AT269" s="3" t="str">
        <f t="shared" si="84"/>
        <v/>
      </c>
      <c r="AU269" s="3">
        <f t="shared" si="85"/>
        <v>0</v>
      </c>
      <c r="AV269" s="3">
        <f t="shared" si="86"/>
        <v>0</v>
      </c>
      <c r="AW269" s="3">
        <v>530</v>
      </c>
      <c r="AX269" s="3" t="e">
        <f>IF(AND(#REF!="N",OR(AW269=$AX$1,AW269=$AX$2,AW269=$AX$3,AW269=$AX$4,AW269=$AY$1,AW269=$AY$2,AW269=$AY$3,AW269=$AY$4)),0,1)</f>
        <v>#REF!</v>
      </c>
    </row>
    <row r="270" spans="2:50" x14ac:dyDescent="0.2">
      <c r="B270" s="4">
        <v>532</v>
      </c>
      <c r="C270" s="208">
        <v>0.1260786200725165</v>
      </c>
      <c r="D270" s="208">
        <v>0.12607862007252002</v>
      </c>
      <c r="E270" s="208">
        <v>0.12607862007252002</v>
      </c>
      <c r="F270" s="209" t="s">
        <v>714</v>
      </c>
      <c r="G270" s="208">
        <v>7.241877510765592E-3</v>
      </c>
      <c r="H270" s="210">
        <v>9.8986840291274428E-2</v>
      </c>
      <c r="I270" s="208">
        <v>1.2480124229262456E-4</v>
      </c>
      <c r="J270" s="208">
        <v>1.2480124229262806E-4</v>
      </c>
      <c r="K270" s="208">
        <v>1.2480124229262806E-4</v>
      </c>
      <c r="L270" s="208">
        <v>2.1616209249854089E-4</v>
      </c>
      <c r="M270" s="208">
        <v>2.1616209249854503E-4</v>
      </c>
      <c r="N270" s="208">
        <v>2.1616209249854463E-4</v>
      </c>
      <c r="O270" s="3">
        <v>240</v>
      </c>
      <c r="P270" s="3">
        <v>240</v>
      </c>
      <c r="Q270" s="3">
        <v>240</v>
      </c>
      <c r="R270" s="4" t="s">
        <v>168</v>
      </c>
      <c r="S270" s="4" t="s">
        <v>168</v>
      </c>
      <c r="T270" s="4">
        <v>133</v>
      </c>
      <c r="U270" s="210"/>
      <c r="V270" s="210">
        <v>9.8986840291274428E-2</v>
      </c>
      <c r="W270" s="3">
        <v>0</v>
      </c>
      <c r="X270" s="3">
        <v>9.8986840291274886E-2</v>
      </c>
      <c r="Y270" s="3">
        <f t="shared" si="87"/>
        <v>1</v>
      </c>
      <c r="Z270" s="3">
        <f t="shared" si="88"/>
        <v>1</v>
      </c>
      <c r="AA270" s="3">
        <f t="shared" si="73"/>
        <v>5.1997140362995672E-2</v>
      </c>
      <c r="AB270" s="3">
        <f t="shared" si="74"/>
        <v>2.5998570181497836E-2</v>
      </c>
      <c r="AC270" s="3">
        <f t="shared" si="75"/>
        <v>1.4697591826274994E-5</v>
      </c>
      <c r="AD270" s="3" t="str">
        <f t="shared" si="76"/>
        <v>3.32280356911603E-09+0.0000146959294852617i</v>
      </c>
      <c r="AE270" s="3">
        <f t="shared" si="77"/>
        <v>3.3228035691160298E-9</v>
      </c>
      <c r="AF270" s="3">
        <f t="shared" si="78"/>
        <v>1.46959294852617E-5</v>
      </c>
      <c r="AM270" s="3" t="str">
        <f t="shared" si="79"/>
        <v>-3.82116372594419E-07+7.6423274518884E-07i</v>
      </c>
      <c r="AN270" s="3" t="str">
        <f t="shared" si="80"/>
        <v>0.0519971403629957+0.0260132677733241i</v>
      </c>
      <c r="AO270" s="3" t="str">
        <f t="shared" si="81"/>
        <v>3.32280356911603E-09+0.0000146959294852617i</v>
      </c>
      <c r="AP270" s="3">
        <f t="shared" si="82"/>
        <v>3.3228035691160298E-9</v>
      </c>
      <c r="AQ270" s="3">
        <f t="shared" si="83"/>
        <v>1.46959294852617E-5</v>
      </c>
      <c r="AR270" s="3">
        <f t="shared" si="89"/>
        <v>1.1810498697705989</v>
      </c>
      <c r="AS270" s="3" t="e">
        <f t="shared" si="90"/>
        <v>#REF!</v>
      </c>
      <c r="AT270" s="3" t="e">
        <f t="shared" si="84"/>
        <v>#REF!</v>
      </c>
      <c r="AU270" s="3" t="e">
        <f t="shared" si="85"/>
        <v>#REF!</v>
      </c>
      <c r="AV270" s="3" t="e">
        <f t="shared" si="86"/>
        <v>#REF!</v>
      </c>
      <c r="AW270" s="3">
        <v>532</v>
      </c>
      <c r="AX270" s="3" t="e">
        <f>IF(AND(#REF!="N",OR(AW270=$AX$1,AW270=$AX$2,AW270=$AX$3,AW270=$AX$4,AW270=$AY$1,AW270=$AY$2,AW270=$AY$3,AW270=$AY$4)),0,1)</f>
        <v>#REF!</v>
      </c>
    </row>
    <row r="271" spans="2:50" x14ac:dyDescent="0.2">
      <c r="B271" s="4">
        <v>534</v>
      </c>
      <c r="C271" s="208">
        <v>4.4194173824159217E-8</v>
      </c>
      <c r="D271" s="208">
        <v>4.4194173824159217E-8</v>
      </c>
      <c r="E271" s="208">
        <v>4.4194173824159217E-8</v>
      </c>
      <c r="F271" s="209" t="s">
        <v>714</v>
      </c>
      <c r="G271" s="208">
        <v>4.0534637982917689E-16</v>
      </c>
      <c r="H271" s="210">
        <v>5.5405462607106694E-15</v>
      </c>
      <c r="I271" s="208">
        <v>2.4485986452664269E-24</v>
      </c>
      <c r="J271" s="208">
        <v>2.4485986452664269E-24</v>
      </c>
      <c r="K271" s="208">
        <v>2.4485986452664269E-24</v>
      </c>
      <c r="L271" s="208">
        <v>0</v>
      </c>
      <c r="M271" s="208">
        <v>0</v>
      </c>
      <c r="N271" s="208">
        <v>0</v>
      </c>
      <c r="O271" s="3">
        <v>360</v>
      </c>
      <c r="P271" s="3">
        <v>360</v>
      </c>
      <c r="Q271" s="3">
        <v>360</v>
      </c>
      <c r="S271" s="4">
        <v>0</v>
      </c>
      <c r="T271" s="4">
        <v>133.5</v>
      </c>
      <c r="U271" s="210"/>
      <c r="V271" s="210">
        <v>5.5405462607106702E-15</v>
      </c>
      <c r="W271" s="3">
        <v>0</v>
      </c>
      <c r="X271" s="3">
        <v>0</v>
      </c>
      <c r="Y271" s="3">
        <f t="shared" si="87"/>
        <v>1</v>
      </c>
      <c r="Z271" s="3">
        <f t="shared" si="88"/>
        <v>1</v>
      </c>
      <c r="AA271" s="3" t="str">
        <f t="shared" si="73"/>
        <v/>
      </c>
      <c r="AB271" s="3" t="str">
        <f t="shared" si="74"/>
        <v/>
      </c>
      <c r="AC271" s="3" t="str">
        <f t="shared" si="75"/>
        <v/>
      </c>
      <c r="AD271" s="3" t="str">
        <f t="shared" si="76"/>
        <v>0</v>
      </c>
      <c r="AE271" s="3">
        <f t="shared" si="77"/>
        <v>0</v>
      </c>
      <c r="AF271" s="3">
        <f t="shared" si="78"/>
        <v>0</v>
      </c>
      <c r="AM271" s="3" t="str">
        <f t="shared" si="79"/>
        <v/>
      </c>
      <c r="AN271" s="3" t="str">
        <f t="shared" si="80"/>
        <v/>
      </c>
      <c r="AO271" s="3" t="str">
        <f t="shared" si="81"/>
        <v/>
      </c>
      <c r="AP271" s="3">
        <f t="shared" si="82"/>
        <v>0</v>
      </c>
      <c r="AQ271" s="3">
        <f t="shared" si="83"/>
        <v>0</v>
      </c>
      <c r="AR271" s="3">
        <f t="shared" si="89"/>
        <v>0</v>
      </c>
      <c r="AS271" s="3" t="e">
        <f t="shared" si="90"/>
        <v>#REF!</v>
      </c>
      <c r="AT271" s="3" t="str">
        <f t="shared" si="84"/>
        <v/>
      </c>
      <c r="AU271" s="3">
        <f t="shared" si="85"/>
        <v>0</v>
      </c>
      <c r="AV271" s="3">
        <f t="shared" si="86"/>
        <v>0</v>
      </c>
      <c r="AW271" s="3">
        <v>534</v>
      </c>
      <c r="AX271" s="3" t="e">
        <f>IF(AND(#REF!="N",OR(AW271=$AX$1,AW271=$AX$2,AW271=$AX$3,AW271=$AX$4,AW271=$AY$1,AW271=$AY$2,AW271=$AY$3,AW271=$AY$4)),0,1)</f>
        <v>#REF!</v>
      </c>
    </row>
    <row r="272" spans="2:50" x14ac:dyDescent="0.2">
      <c r="B272" s="4">
        <v>536</v>
      </c>
      <c r="C272" s="208">
        <v>4.4194173824159217E-8</v>
      </c>
      <c r="D272" s="208">
        <v>4.4194173824159217E-8</v>
      </c>
      <c r="E272" s="208">
        <v>4.4194173824159217E-8</v>
      </c>
      <c r="F272" s="209" t="s">
        <v>714</v>
      </c>
      <c r="G272" s="208">
        <v>3.6610029460571373E-16</v>
      </c>
      <c r="H272" s="210">
        <v>5.0041044382278155E-15</v>
      </c>
      <c r="I272" s="208">
        <v>2.2115226137728667E-24</v>
      </c>
      <c r="J272" s="208">
        <v>2.2115226137728667E-24</v>
      </c>
      <c r="K272" s="208">
        <v>2.2115226137728667E-24</v>
      </c>
      <c r="L272" s="208">
        <v>0</v>
      </c>
      <c r="M272" s="208">
        <v>0</v>
      </c>
      <c r="N272" s="208">
        <v>0</v>
      </c>
      <c r="O272" s="3">
        <v>360</v>
      </c>
      <c r="P272" s="3">
        <v>360</v>
      </c>
      <c r="Q272" s="3">
        <v>360</v>
      </c>
      <c r="S272" s="4">
        <v>0</v>
      </c>
      <c r="T272" s="4">
        <v>134</v>
      </c>
      <c r="U272" s="210"/>
      <c r="V272" s="210">
        <v>5.0041044382278155E-15</v>
      </c>
      <c r="W272" s="3">
        <v>0</v>
      </c>
      <c r="X272" s="3">
        <v>0</v>
      </c>
      <c r="Y272" s="3">
        <f t="shared" si="87"/>
        <v>1</v>
      </c>
      <c r="Z272" s="3">
        <f t="shared" si="88"/>
        <v>1</v>
      </c>
      <c r="AA272" s="3" t="str">
        <f t="shared" si="73"/>
        <v/>
      </c>
      <c r="AB272" s="3" t="str">
        <f t="shared" si="74"/>
        <v/>
      </c>
      <c r="AC272" s="3" t="str">
        <f t="shared" si="75"/>
        <v/>
      </c>
      <c r="AD272" s="3" t="str">
        <f t="shared" si="76"/>
        <v>0</v>
      </c>
      <c r="AE272" s="3">
        <f t="shared" si="77"/>
        <v>0</v>
      </c>
      <c r="AF272" s="3">
        <f t="shared" si="78"/>
        <v>0</v>
      </c>
      <c r="AM272" s="3" t="str">
        <f t="shared" si="79"/>
        <v/>
      </c>
      <c r="AN272" s="3" t="str">
        <f t="shared" si="80"/>
        <v/>
      </c>
      <c r="AO272" s="3" t="str">
        <f t="shared" si="81"/>
        <v/>
      </c>
      <c r="AP272" s="3">
        <f t="shared" si="82"/>
        <v>0</v>
      </c>
      <c r="AQ272" s="3">
        <f t="shared" si="83"/>
        <v>0</v>
      </c>
      <c r="AR272" s="3">
        <f t="shared" si="89"/>
        <v>0</v>
      </c>
      <c r="AS272" s="3" t="e">
        <f t="shared" si="90"/>
        <v>#REF!</v>
      </c>
      <c r="AT272" s="3" t="str">
        <f t="shared" si="84"/>
        <v/>
      </c>
      <c r="AU272" s="3">
        <f t="shared" si="85"/>
        <v>0</v>
      </c>
      <c r="AV272" s="3">
        <f t="shared" si="86"/>
        <v>0</v>
      </c>
      <c r="AW272" s="3">
        <v>536</v>
      </c>
      <c r="AX272" s="3" t="e">
        <f>IF(AND(#REF!="N",OR(AW272=$AX$1,AW272=$AX$2,AW272=$AX$3,AW272=$AX$4,AW272=$AY$1,AW272=$AY$2,AW272=$AY$3,AW272=$AY$4)),0,1)</f>
        <v>#REF!</v>
      </c>
    </row>
    <row r="273" spans="2:50" x14ac:dyDescent="0.2">
      <c r="B273" s="4">
        <v>538</v>
      </c>
      <c r="C273" s="208">
        <v>4.4194173824159217E-8</v>
      </c>
      <c r="D273" s="208">
        <v>4.4194173824159217E-8</v>
      </c>
      <c r="E273" s="208">
        <v>4.4194173824159217E-8</v>
      </c>
      <c r="F273" s="209" t="s">
        <v>714</v>
      </c>
      <c r="G273" s="208">
        <v>2.4157903441493026E-16</v>
      </c>
      <c r="H273" s="210">
        <v>3.3020643143718343E-15</v>
      </c>
      <c r="I273" s="208">
        <v>1.4593200428790197E-24</v>
      </c>
      <c r="J273" s="208">
        <v>1.4593200428790197E-24</v>
      </c>
      <c r="K273" s="208">
        <v>1.4593200428790197E-24</v>
      </c>
      <c r="L273" s="208">
        <v>0</v>
      </c>
      <c r="M273" s="208">
        <v>0</v>
      </c>
      <c r="N273" s="208">
        <v>0</v>
      </c>
      <c r="O273" s="3">
        <v>360</v>
      </c>
      <c r="P273" s="3">
        <v>360</v>
      </c>
      <c r="Q273" s="3">
        <v>360</v>
      </c>
      <c r="S273" s="4">
        <v>0</v>
      </c>
      <c r="T273" s="4">
        <v>134.5</v>
      </c>
      <c r="U273" s="210"/>
      <c r="V273" s="210">
        <v>3.3020643143718343E-15</v>
      </c>
      <c r="W273" s="3">
        <v>0</v>
      </c>
      <c r="X273" s="3">
        <v>0</v>
      </c>
      <c r="Y273" s="3">
        <f t="shared" si="87"/>
        <v>1</v>
      </c>
      <c r="Z273" s="3">
        <f t="shared" si="88"/>
        <v>1</v>
      </c>
      <c r="AA273" s="3" t="str">
        <f t="shared" si="73"/>
        <v/>
      </c>
      <c r="AB273" s="3" t="str">
        <f t="shared" si="74"/>
        <v/>
      </c>
      <c r="AC273" s="3" t="str">
        <f t="shared" si="75"/>
        <v/>
      </c>
      <c r="AD273" s="3" t="str">
        <f t="shared" si="76"/>
        <v>0</v>
      </c>
      <c r="AE273" s="3">
        <f t="shared" si="77"/>
        <v>0</v>
      </c>
      <c r="AF273" s="3">
        <f t="shared" si="78"/>
        <v>0</v>
      </c>
      <c r="AM273" s="3" t="str">
        <f t="shared" si="79"/>
        <v/>
      </c>
      <c r="AN273" s="3" t="str">
        <f t="shared" si="80"/>
        <v/>
      </c>
      <c r="AO273" s="3" t="str">
        <f t="shared" si="81"/>
        <v/>
      </c>
      <c r="AP273" s="3">
        <f t="shared" si="82"/>
        <v>0</v>
      </c>
      <c r="AQ273" s="3">
        <f t="shared" si="83"/>
        <v>0</v>
      </c>
      <c r="AR273" s="3">
        <f t="shared" si="89"/>
        <v>0</v>
      </c>
      <c r="AS273" s="3" t="e">
        <f t="shared" si="90"/>
        <v>#REF!</v>
      </c>
      <c r="AT273" s="3" t="str">
        <f t="shared" si="84"/>
        <v/>
      </c>
      <c r="AU273" s="3">
        <f t="shared" si="85"/>
        <v>0</v>
      </c>
      <c r="AV273" s="3">
        <f t="shared" si="86"/>
        <v>0</v>
      </c>
      <c r="AW273" s="3">
        <v>538</v>
      </c>
      <c r="AX273" s="3" t="e">
        <f>IF(AND(#REF!="N",OR(AW273=$AX$1,AW273=$AX$2,AW273=$AX$3,AW273=$AX$4,AW273=$AY$1,AW273=$AY$2,AW273=$AY$3,AW273=$AY$4)),0,1)</f>
        <v>#REF!</v>
      </c>
    </row>
    <row r="274" spans="2:50" x14ac:dyDescent="0.2">
      <c r="B274" s="4">
        <v>540</v>
      </c>
      <c r="C274" s="208">
        <v>0.27059805007309273</v>
      </c>
      <c r="D274" s="208">
        <v>0.27059805007312049</v>
      </c>
      <c r="E274" s="208">
        <v>0.27059805007308163</v>
      </c>
      <c r="F274" s="209" t="s">
        <v>714</v>
      </c>
      <c r="G274" s="208">
        <v>9.4863454897720965E-16</v>
      </c>
      <c r="H274" s="210">
        <v>1.2966573441044724E-14</v>
      </c>
      <c r="I274" s="208">
        <v>3.5087294892762545E-17</v>
      </c>
      <c r="J274" s="208">
        <v>3.5087294892766144E-17</v>
      </c>
      <c r="K274" s="208">
        <v>3.5087294892761109E-17</v>
      </c>
      <c r="L274" s="208">
        <v>4.0342643901236003E-30</v>
      </c>
      <c r="M274" s="208">
        <v>4.32248405605325E-30</v>
      </c>
      <c r="N274" s="208">
        <v>5.2231947281506944E-30</v>
      </c>
      <c r="O274" s="3">
        <v>360</v>
      </c>
      <c r="P274" s="3">
        <v>0</v>
      </c>
      <c r="Q274" s="3">
        <v>0</v>
      </c>
      <c r="S274" s="4">
        <v>0</v>
      </c>
      <c r="T274" s="4">
        <v>135</v>
      </c>
      <c r="U274" s="210"/>
      <c r="V274" s="210">
        <v>1.2966573441044724E-14</v>
      </c>
      <c r="W274" s="3">
        <v>0</v>
      </c>
      <c r="X274" s="3">
        <v>0</v>
      </c>
      <c r="Y274" s="3">
        <f t="shared" si="87"/>
        <v>1</v>
      </c>
      <c r="Z274" s="3">
        <f t="shared" si="88"/>
        <v>1</v>
      </c>
      <c r="AA274" s="3" t="str">
        <f t="shared" si="73"/>
        <v/>
      </c>
      <c r="AB274" s="3" t="str">
        <f t="shared" si="74"/>
        <v/>
      </c>
      <c r="AC274" s="3" t="str">
        <f t="shared" si="75"/>
        <v/>
      </c>
      <c r="AD274" s="3" t="str">
        <f t="shared" si="76"/>
        <v>0</v>
      </c>
      <c r="AE274" s="3">
        <f t="shared" si="77"/>
        <v>0</v>
      </c>
      <c r="AF274" s="3">
        <f t="shared" si="78"/>
        <v>0</v>
      </c>
      <c r="AM274" s="3" t="str">
        <f t="shared" si="79"/>
        <v/>
      </c>
      <c r="AN274" s="3" t="str">
        <f t="shared" si="80"/>
        <v/>
      </c>
      <c r="AO274" s="3" t="str">
        <f t="shared" si="81"/>
        <v/>
      </c>
      <c r="AP274" s="3">
        <f t="shared" si="82"/>
        <v>0</v>
      </c>
      <c r="AQ274" s="3">
        <f t="shared" si="83"/>
        <v>0</v>
      </c>
      <c r="AR274" s="3">
        <f t="shared" si="89"/>
        <v>0</v>
      </c>
      <c r="AS274" s="3" t="e">
        <f t="shared" si="90"/>
        <v>#REF!</v>
      </c>
      <c r="AT274" s="3" t="str">
        <f t="shared" si="84"/>
        <v/>
      </c>
      <c r="AU274" s="3">
        <f t="shared" si="85"/>
        <v>0</v>
      </c>
      <c r="AV274" s="3">
        <f t="shared" si="86"/>
        <v>0</v>
      </c>
      <c r="AW274" s="3">
        <v>540</v>
      </c>
      <c r="AX274" s="3" t="e">
        <f>IF(AND(#REF!="N",OR(AW274=$AX$1,AW274=$AX$2,AW274=$AX$3,AW274=$AX$4,AW274=$AY$1,AW274=$AY$2,AW274=$AY$3,AW274=$AY$4)),0,1)</f>
        <v>#REF!</v>
      </c>
    </row>
    <row r="275" spans="2:50" x14ac:dyDescent="0.2">
      <c r="B275" s="4">
        <v>542</v>
      </c>
      <c r="C275" s="208">
        <v>4.4194173824159217E-8</v>
      </c>
      <c r="D275" s="208">
        <v>4.4194173824159217E-8</v>
      </c>
      <c r="E275" s="208">
        <v>4.4194173824159217E-8</v>
      </c>
      <c r="F275" s="209" t="s">
        <v>714</v>
      </c>
      <c r="G275" s="208">
        <v>4.5962600080212892E-16</v>
      </c>
      <c r="H275" s="210">
        <v>6.2824765356059849E-15</v>
      </c>
      <c r="I275" s="208">
        <v>2.7764886006077251E-24</v>
      </c>
      <c r="J275" s="208">
        <v>2.7764886006077251E-24</v>
      </c>
      <c r="K275" s="208">
        <v>2.7764886006077251E-24</v>
      </c>
      <c r="L275" s="208">
        <v>0</v>
      </c>
      <c r="M275" s="208">
        <v>0</v>
      </c>
      <c r="N275" s="208">
        <v>0</v>
      </c>
      <c r="O275" s="3">
        <v>360</v>
      </c>
      <c r="P275" s="3">
        <v>360</v>
      </c>
      <c r="Q275" s="3">
        <v>360</v>
      </c>
      <c r="S275" s="4">
        <v>0</v>
      </c>
      <c r="T275" s="4">
        <v>135.5</v>
      </c>
      <c r="U275" s="210"/>
      <c r="V275" s="210">
        <v>6.2824765356059841E-15</v>
      </c>
      <c r="W275" s="3">
        <v>0</v>
      </c>
      <c r="X275" s="3">
        <v>0</v>
      </c>
      <c r="Y275" s="3">
        <f t="shared" si="87"/>
        <v>1</v>
      </c>
      <c r="Z275" s="3">
        <f t="shared" si="88"/>
        <v>1</v>
      </c>
      <c r="AA275" s="3" t="str">
        <f t="shared" si="73"/>
        <v/>
      </c>
      <c r="AB275" s="3" t="str">
        <f t="shared" si="74"/>
        <v/>
      </c>
      <c r="AC275" s="3" t="str">
        <f t="shared" si="75"/>
        <v/>
      </c>
      <c r="AD275" s="3" t="str">
        <f t="shared" si="76"/>
        <v>0</v>
      </c>
      <c r="AE275" s="3">
        <f t="shared" si="77"/>
        <v>0</v>
      </c>
      <c r="AF275" s="3">
        <f t="shared" si="78"/>
        <v>0</v>
      </c>
      <c r="AM275" s="3" t="str">
        <f t="shared" si="79"/>
        <v/>
      </c>
      <c r="AN275" s="3" t="str">
        <f t="shared" si="80"/>
        <v/>
      </c>
      <c r="AO275" s="3" t="str">
        <f t="shared" si="81"/>
        <v/>
      </c>
      <c r="AP275" s="3">
        <f t="shared" si="82"/>
        <v>0</v>
      </c>
      <c r="AQ275" s="3">
        <f t="shared" si="83"/>
        <v>0</v>
      </c>
      <c r="AR275" s="3">
        <f t="shared" si="89"/>
        <v>0</v>
      </c>
      <c r="AS275" s="3" t="e">
        <f t="shared" si="90"/>
        <v>#REF!</v>
      </c>
      <c r="AT275" s="3" t="str">
        <f t="shared" si="84"/>
        <v/>
      </c>
      <c r="AU275" s="3">
        <f t="shared" si="85"/>
        <v>0</v>
      </c>
      <c r="AV275" s="3">
        <f t="shared" si="86"/>
        <v>0</v>
      </c>
      <c r="AW275" s="3">
        <v>542</v>
      </c>
      <c r="AX275" s="3" t="e">
        <f>IF(AND(#REF!="N",OR(AW275=$AX$1,AW275=$AX$2,AW275=$AX$3,AW275=$AX$4,AW275=$AY$1,AW275=$AY$2,AW275=$AY$3,AW275=$AY$4)),0,1)</f>
        <v>#REF!</v>
      </c>
    </row>
    <row r="276" spans="2:50" x14ac:dyDescent="0.2">
      <c r="B276" s="4">
        <v>544</v>
      </c>
      <c r="C276" s="208">
        <v>4.4194173824159217E-8</v>
      </c>
      <c r="D276" s="208">
        <v>4.4194173824159217E-8</v>
      </c>
      <c r="E276" s="208">
        <v>4.4194173824159217E-8</v>
      </c>
      <c r="F276" s="209" t="s">
        <v>714</v>
      </c>
      <c r="G276" s="208">
        <v>8.2272750392394276E-16</v>
      </c>
      <c r="H276" s="210">
        <v>1.1245591479984677E-14</v>
      </c>
      <c r="I276" s="208">
        <v>4.9698962462192667E-24</v>
      </c>
      <c r="J276" s="208">
        <v>4.9698962462192667E-24</v>
      </c>
      <c r="K276" s="208">
        <v>4.9698962462192667E-24</v>
      </c>
      <c r="L276" s="208">
        <v>0</v>
      </c>
      <c r="M276" s="208">
        <v>0</v>
      </c>
      <c r="N276" s="208">
        <v>0</v>
      </c>
      <c r="O276" s="3">
        <v>360</v>
      </c>
      <c r="P276" s="3">
        <v>360</v>
      </c>
      <c r="Q276" s="3">
        <v>360</v>
      </c>
      <c r="S276" s="4">
        <v>0</v>
      </c>
      <c r="T276" s="4">
        <v>136</v>
      </c>
      <c r="U276" s="210"/>
      <c r="V276" s="210">
        <v>1.1245591479984677E-14</v>
      </c>
      <c r="W276" s="3">
        <v>0</v>
      </c>
      <c r="X276" s="3">
        <v>0</v>
      </c>
      <c r="Y276" s="3">
        <f t="shared" si="87"/>
        <v>1</v>
      </c>
      <c r="Z276" s="3">
        <f t="shared" si="88"/>
        <v>1</v>
      </c>
      <c r="AA276" s="3" t="str">
        <f t="shared" si="73"/>
        <v/>
      </c>
      <c r="AB276" s="3" t="str">
        <f t="shared" si="74"/>
        <v/>
      </c>
      <c r="AC276" s="3" t="str">
        <f t="shared" si="75"/>
        <v/>
      </c>
      <c r="AD276" s="3" t="str">
        <f t="shared" si="76"/>
        <v>0</v>
      </c>
      <c r="AE276" s="3">
        <f t="shared" si="77"/>
        <v>0</v>
      </c>
      <c r="AF276" s="3">
        <f t="shared" si="78"/>
        <v>0</v>
      </c>
      <c r="AM276" s="3" t="str">
        <f t="shared" si="79"/>
        <v/>
      </c>
      <c r="AN276" s="3" t="str">
        <f t="shared" si="80"/>
        <v/>
      </c>
      <c r="AO276" s="3" t="str">
        <f t="shared" si="81"/>
        <v/>
      </c>
      <c r="AP276" s="3">
        <f t="shared" si="82"/>
        <v>0</v>
      </c>
      <c r="AQ276" s="3">
        <f t="shared" si="83"/>
        <v>0</v>
      </c>
      <c r="AR276" s="3">
        <f t="shared" si="89"/>
        <v>0</v>
      </c>
      <c r="AS276" s="3" t="e">
        <f t="shared" si="90"/>
        <v>#REF!</v>
      </c>
      <c r="AT276" s="3" t="str">
        <f t="shared" si="84"/>
        <v/>
      </c>
      <c r="AU276" s="3">
        <f t="shared" si="85"/>
        <v>0</v>
      </c>
      <c r="AV276" s="3">
        <f t="shared" si="86"/>
        <v>0</v>
      </c>
      <c r="AW276" s="3">
        <v>544</v>
      </c>
      <c r="AX276" s="3" t="e">
        <f>IF(AND(#REF!="N",OR(AW276=$AX$1,AW276=$AX$2,AW276=$AX$3,AW276=$AX$4,AW276=$AY$1,AW276=$AY$2,AW276=$AY$3,AW276=$AY$4)),0,1)</f>
        <v>#REF!</v>
      </c>
    </row>
    <row r="277" spans="2:50" x14ac:dyDescent="0.2">
      <c r="B277" s="4">
        <v>546</v>
      </c>
      <c r="C277" s="208">
        <v>4.4194173824159217E-8</v>
      </c>
      <c r="D277" s="208">
        <v>4.4194173824159217E-8</v>
      </c>
      <c r="E277" s="208">
        <v>4.4194173824159217E-8</v>
      </c>
      <c r="F277" s="209" t="s">
        <v>714</v>
      </c>
      <c r="G277" s="208">
        <v>1.6098782428877026E-16</v>
      </c>
      <c r="H277" s="210">
        <v>2.2004895868540551E-15</v>
      </c>
      <c r="I277" s="208">
        <v>9.7248819299680418E-25</v>
      </c>
      <c r="J277" s="208">
        <v>9.7248819299680418E-25</v>
      </c>
      <c r="K277" s="208">
        <v>9.7248819299680418E-25</v>
      </c>
      <c r="L277" s="208">
        <v>0</v>
      </c>
      <c r="M277" s="208">
        <v>0</v>
      </c>
      <c r="N277" s="208">
        <v>0</v>
      </c>
      <c r="O277" s="3">
        <v>360</v>
      </c>
      <c r="P277" s="3">
        <v>360</v>
      </c>
      <c r="Q277" s="3">
        <v>360</v>
      </c>
      <c r="S277" s="4">
        <v>0</v>
      </c>
      <c r="T277" s="4">
        <v>136.5</v>
      </c>
      <c r="U277" s="210"/>
      <c r="V277" s="210">
        <v>2.2004895868540551E-15</v>
      </c>
      <c r="W277" s="3">
        <v>0</v>
      </c>
      <c r="X277" s="3">
        <v>0</v>
      </c>
      <c r="Y277" s="3">
        <f t="shared" si="87"/>
        <v>1</v>
      </c>
      <c r="Z277" s="3">
        <f t="shared" si="88"/>
        <v>1</v>
      </c>
      <c r="AA277" s="3" t="str">
        <f t="shared" si="73"/>
        <v/>
      </c>
      <c r="AB277" s="3" t="str">
        <f t="shared" si="74"/>
        <v/>
      </c>
      <c r="AC277" s="3" t="str">
        <f t="shared" si="75"/>
        <v/>
      </c>
      <c r="AD277" s="3" t="str">
        <f t="shared" si="76"/>
        <v>0</v>
      </c>
      <c r="AE277" s="3">
        <f t="shared" si="77"/>
        <v>0</v>
      </c>
      <c r="AF277" s="3">
        <f t="shared" si="78"/>
        <v>0</v>
      </c>
      <c r="AM277" s="3" t="str">
        <f t="shared" si="79"/>
        <v/>
      </c>
      <c r="AN277" s="3" t="str">
        <f t="shared" si="80"/>
        <v/>
      </c>
      <c r="AO277" s="3" t="str">
        <f t="shared" si="81"/>
        <v/>
      </c>
      <c r="AP277" s="3">
        <f t="shared" si="82"/>
        <v>0</v>
      </c>
      <c r="AQ277" s="3">
        <f t="shared" si="83"/>
        <v>0</v>
      </c>
      <c r="AR277" s="3">
        <f t="shared" si="89"/>
        <v>0</v>
      </c>
      <c r="AS277" s="3" t="e">
        <f t="shared" si="90"/>
        <v>#REF!</v>
      </c>
      <c r="AT277" s="3" t="str">
        <f t="shared" si="84"/>
        <v/>
      </c>
      <c r="AU277" s="3">
        <f t="shared" si="85"/>
        <v>0</v>
      </c>
      <c r="AV277" s="3">
        <f t="shared" si="86"/>
        <v>0</v>
      </c>
      <c r="AW277" s="3">
        <v>546</v>
      </c>
      <c r="AX277" s="3" t="e">
        <f>IF(AND(#REF!="N",OR(AW277=$AX$1,AW277=$AX$2,AW277=$AX$3,AW277=$AX$4,AW277=$AY$1,AW277=$AY$2,AW277=$AY$3,AW277=$AY$4)),0,1)</f>
        <v>#REF!</v>
      </c>
    </row>
    <row r="278" spans="2:50" x14ac:dyDescent="0.2">
      <c r="B278" s="4">
        <v>548</v>
      </c>
      <c r="C278" s="208">
        <v>0.15755905175128632</v>
      </c>
      <c r="D278" s="208">
        <v>0.15755905175128812</v>
      </c>
      <c r="E278" s="208">
        <v>0.15755905175128398</v>
      </c>
      <c r="F278" s="209" t="s">
        <v>714</v>
      </c>
      <c r="G278" s="208">
        <v>8.7858576052865962E-3</v>
      </c>
      <c r="H278" s="210">
        <v>0.12009099605779475</v>
      </c>
      <c r="I278" s="208">
        <v>1.8921423462733603E-4</v>
      </c>
      <c r="J278" s="208">
        <v>1.892142346273382E-4</v>
      </c>
      <c r="K278" s="208">
        <v>1.8921423462733324E-4</v>
      </c>
      <c r="L278" s="208">
        <v>3.2772866788979789E-4</v>
      </c>
      <c r="M278" s="208">
        <v>3.2772866788980895E-4</v>
      </c>
      <c r="N278" s="208">
        <v>3.2772866788980526E-4</v>
      </c>
      <c r="O278" s="3">
        <v>120</v>
      </c>
      <c r="P278" s="3">
        <v>120</v>
      </c>
      <c r="Q278" s="3">
        <v>120</v>
      </c>
      <c r="R278" s="4" t="s">
        <v>172</v>
      </c>
      <c r="S278" s="4" t="s">
        <v>172</v>
      </c>
      <c r="T278" s="4">
        <v>137</v>
      </c>
      <c r="U278" s="210"/>
      <c r="V278" s="210">
        <v>0.12009099605779475</v>
      </c>
      <c r="W278" s="3">
        <v>0.12009099605779529</v>
      </c>
      <c r="X278" s="3">
        <v>0</v>
      </c>
      <c r="Y278" s="3">
        <f t="shared" si="87"/>
        <v>1</v>
      </c>
      <c r="Z278" s="3">
        <f t="shared" si="88"/>
        <v>1</v>
      </c>
      <c r="AA278" s="3">
        <f t="shared" si="73"/>
        <v>8.1205095784417661E-2</v>
      </c>
      <c r="AB278" s="3">
        <f t="shared" si="74"/>
        <v>4.060254789220883E-2</v>
      </c>
      <c r="AC278" s="3">
        <f t="shared" si="75"/>
        <v>2.1632771001230127E-5</v>
      </c>
      <c r="AD278" s="3" t="str">
        <f t="shared" si="76"/>
        <v>4.60933676520347E-09+0.0000216304651049353i</v>
      </c>
      <c r="AE278" s="3">
        <f t="shared" si="77"/>
        <v>4.6093367652034704E-9</v>
      </c>
      <c r="AF278" s="3">
        <f t="shared" si="78"/>
        <v>2.16304651049353E-5</v>
      </c>
      <c r="AM278" s="3" t="str">
        <f t="shared" si="79"/>
        <v>-8.78345620618631E-07+1.75669124123726E-06i</v>
      </c>
      <c r="AN278" s="3" t="str">
        <f t="shared" si="80"/>
        <v>0.0812050957844177+0.0406241806632101i</v>
      </c>
      <c r="AO278" s="3" t="str">
        <f t="shared" si="81"/>
        <v>4.60933676520347E-09+0.0000216304651049353i</v>
      </c>
      <c r="AP278" s="3">
        <f t="shared" si="82"/>
        <v>4.6093367652034704E-9</v>
      </c>
      <c r="AQ278" s="3">
        <f t="shared" si="83"/>
        <v>2.16304651049353E-5</v>
      </c>
      <c r="AR278" s="3">
        <f t="shared" si="89"/>
        <v>-1.1465666618940851</v>
      </c>
      <c r="AS278" s="3" t="e">
        <f t="shared" si="90"/>
        <v>#REF!</v>
      </c>
      <c r="AT278" s="3" t="e">
        <f t="shared" si="84"/>
        <v>#REF!</v>
      </c>
      <c r="AU278" s="3" t="e">
        <f t="shared" si="85"/>
        <v>#REF!</v>
      </c>
      <c r="AV278" s="3" t="e">
        <f t="shared" si="86"/>
        <v>#REF!</v>
      </c>
      <c r="AW278" s="3">
        <v>548</v>
      </c>
      <c r="AX278" s="3" t="e">
        <f>IF(AND(#REF!="N",OR(AW278=$AX$1,AW278=$AX$2,AW278=$AX$3,AW278=$AX$4,AW278=$AY$1,AW278=$AY$2,AW278=$AY$3,AW278=$AY$4)),0,1)</f>
        <v>#REF!</v>
      </c>
    </row>
    <row r="279" spans="2:50" x14ac:dyDescent="0.2">
      <c r="B279" s="4">
        <v>550</v>
      </c>
      <c r="C279" s="208">
        <v>4.4194173824159217E-8</v>
      </c>
      <c r="D279" s="208">
        <v>4.4194173824159217E-8</v>
      </c>
      <c r="E279" s="208">
        <v>4.4194173824159217E-8</v>
      </c>
      <c r="F279" s="209" t="s">
        <v>714</v>
      </c>
      <c r="G279" s="208">
        <v>5.2987214066112793E-16</v>
      </c>
      <c r="H279" s="210">
        <v>7.2426479023495471E-15</v>
      </c>
      <c r="I279" s="208">
        <v>3.2008284034361801E-24</v>
      </c>
      <c r="J279" s="208">
        <v>3.2008284034361801E-24</v>
      </c>
      <c r="K279" s="208">
        <v>3.2008284034361801E-24</v>
      </c>
      <c r="L279" s="208">
        <v>0</v>
      </c>
      <c r="M279" s="208">
        <v>0</v>
      </c>
      <c r="N279" s="208">
        <v>0</v>
      </c>
      <c r="O279" s="3">
        <v>360</v>
      </c>
      <c r="P279" s="3">
        <v>360</v>
      </c>
      <c r="Q279" s="3">
        <v>360</v>
      </c>
      <c r="S279" s="4">
        <v>0</v>
      </c>
      <c r="T279" s="4">
        <v>137.5</v>
      </c>
      <c r="U279" s="210"/>
      <c r="V279" s="210">
        <v>7.2426479023495471E-15</v>
      </c>
      <c r="W279" s="3">
        <v>0</v>
      </c>
      <c r="X279" s="3">
        <v>0</v>
      </c>
      <c r="Y279" s="3">
        <f t="shared" si="87"/>
        <v>1</v>
      </c>
      <c r="Z279" s="3">
        <f t="shared" si="88"/>
        <v>1</v>
      </c>
      <c r="AA279" s="3" t="str">
        <f t="shared" si="73"/>
        <v/>
      </c>
      <c r="AB279" s="3" t="str">
        <f t="shared" si="74"/>
        <v/>
      </c>
      <c r="AC279" s="3" t="str">
        <f t="shared" si="75"/>
        <v/>
      </c>
      <c r="AD279" s="3" t="str">
        <f t="shared" si="76"/>
        <v>0</v>
      </c>
      <c r="AE279" s="3">
        <f t="shared" si="77"/>
        <v>0</v>
      </c>
      <c r="AF279" s="3">
        <f t="shared" si="78"/>
        <v>0</v>
      </c>
      <c r="AM279" s="3" t="str">
        <f t="shared" si="79"/>
        <v/>
      </c>
      <c r="AN279" s="3" t="str">
        <f t="shared" si="80"/>
        <v/>
      </c>
      <c r="AO279" s="3" t="str">
        <f t="shared" si="81"/>
        <v/>
      </c>
      <c r="AP279" s="3">
        <f t="shared" si="82"/>
        <v>0</v>
      </c>
      <c r="AQ279" s="3">
        <f t="shared" si="83"/>
        <v>0</v>
      </c>
      <c r="AR279" s="3">
        <f t="shared" si="89"/>
        <v>0</v>
      </c>
      <c r="AS279" s="3" t="e">
        <f t="shared" si="90"/>
        <v>#REF!</v>
      </c>
      <c r="AT279" s="3" t="str">
        <f t="shared" si="84"/>
        <v/>
      </c>
      <c r="AU279" s="3">
        <f t="shared" si="85"/>
        <v>0</v>
      </c>
      <c r="AV279" s="3">
        <f t="shared" si="86"/>
        <v>0</v>
      </c>
      <c r="AW279" s="3">
        <v>550</v>
      </c>
      <c r="AX279" s="3" t="e">
        <f>IF(AND(#REF!="N",OR(AW279=$AX$1,AW279=$AX$2,AW279=$AX$3,AW279=$AX$4,AW279=$AY$1,AW279=$AY$2,AW279=$AY$3,AW279=$AY$4)),0,1)</f>
        <v>#REF!</v>
      </c>
    </row>
    <row r="280" spans="2:50" x14ac:dyDescent="0.2">
      <c r="B280" s="4">
        <v>552</v>
      </c>
      <c r="C280" s="208">
        <v>4.4194173824159217E-8</v>
      </c>
      <c r="D280" s="208">
        <v>4.4194173824159217E-8</v>
      </c>
      <c r="E280" s="208">
        <v>4.4194173824159217E-8</v>
      </c>
      <c r="F280" s="209" t="s">
        <v>714</v>
      </c>
      <c r="G280" s="208">
        <v>4.6174774988939467E-16</v>
      </c>
      <c r="H280" s="210">
        <v>6.3114780255824603E-15</v>
      </c>
      <c r="I280" s="208">
        <v>2.7893055694995247E-24</v>
      </c>
      <c r="J280" s="208">
        <v>2.7893055694995247E-24</v>
      </c>
      <c r="K280" s="208">
        <v>2.7893055694995247E-24</v>
      </c>
      <c r="L280" s="208">
        <v>0</v>
      </c>
      <c r="M280" s="208">
        <v>0</v>
      </c>
      <c r="N280" s="208">
        <v>0</v>
      </c>
      <c r="O280" s="3">
        <v>360</v>
      </c>
      <c r="P280" s="3">
        <v>360</v>
      </c>
      <c r="Q280" s="3">
        <v>360</v>
      </c>
      <c r="S280" s="4">
        <v>0</v>
      </c>
      <c r="T280" s="4">
        <v>138</v>
      </c>
      <c r="U280" s="210"/>
      <c r="V280" s="210">
        <v>6.3114780255824603E-15</v>
      </c>
      <c r="W280" s="3">
        <v>0</v>
      </c>
      <c r="X280" s="3">
        <v>0</v>
      </c>
      <c r="Y280" s="3">
        <f t="shared" si="87"/>
        <v>1</v>
      </c>
      <c r="Z280" s="3">
        <f t="shared" si="88"/>
        <v>1</v>
      </c>
      <c r="AA280" s="3" t="str">
        <f t="shared" si="73"/>
        <v/>
      </c>
      <c r="AB280" s="3" t="str">
        <f t="shared" si="74"/>
        <v/>
      </c>
      <c r="AC280" s="3" t="str">
        <f t="shared" si="75"/>
        <v/>
      </c>
      <c r="AD280" s="3" t="str">
        <f t="shared" si="76"/>
        <v>0</v>
      </c>
      <c r="AE280" s="3">
        <f t="shared" si="77"/>
        <v>0</v>
      </c>
      <c r="AF280" s="3">
        <f t="shared" si="78"/>
        <v>0</v>
      </c>
      <c r="AM280" s="3" t="str">
        <f t="shared" si="79"/>
        <v/>
      </c>
      <c r="AN280" s="3" t="str">
        <f t="shared" si="80"/>
        <v/>
      </c>
      <c r="AO280" s="3" t="str">
        <f t="shared" si="81"/>
        <v/>
      </c>
      <c r="AP280" s="3">
        <f t="shared" si="82"/>
        <v>0</v>
      </c>
      <c r="AQ280" s="3">
        <f t="shared" si="83"/>
        <v>0</v>
      </c>
      <c r="AR280" s="3">
        <f t="shared" si="89"/>
        <v>0</v>
      </c>
      <c r="AS280" s="3" t="e">
        <f t="shared" si="90"/>
        <v>#REF!</v>
      </c>
      <c r="AT280" s="3" t="str">
        <f t="shared" si="84"/>
        <v/>
      </c>
      <c r="AU280" s="3">
        <f t="shared" si="85"/>
        <v>0</v>
      </c>
      <c r="AV280" s="3">
        <f t="shared" si="86"/>
        <v>0</v>
      </c>
      <c r="AW280" s="3">
        <v>552</v>
      </c>
      <c r="AX280" s="3" t="e">
        <f>IF(AND(#REF!="N",OR(AW280=$AX$1,AW280=$AX$2,AW280=$AX$3,AW280=$AX$4,AW280=$AY$1,AW280=$AY$2,AW280=$AY$3,AW280=$AY$4)),0,1)</f>
        <v>#REF!</v>
      </c>
    </row>
    <row r="281" spans="2:50" x14ac:dyDescent="0.2">
      <c r="B281" s="4">
        <v>554</v>
      </c>
      <c r="C281" s="208">
        <v>4.4194173824159217E-8</v>
      </c>
      <c r="D281" s="208">
        <v>4.4194173824159217E-8</v>
      </c>
      <c r="E281" s="208">
        <v>4.4194173824159217E-8</v>
      </c>
      <c r="F281" s="209" t="s">
        <v>714</v>
      </c>
      <c r="G281" s="208">
        <v>1.3555822578610369E-16</v>
      </c>
      <c r="H281" s="210">
        <v>1.8529007741583576E-15</v>
      </c>
      <c r="I281" s="208">
        <v>8.188741889207364E-25</v>
      </c>
      <c r="J281" s="208">
        <v>8.188741889207364E-25</v>
      </c>
      <c r="K281" s="208">
        <v>8.188741889207364E-25</v>
      </c>
      <c r="L281" s="208">
        <v>0</v>
      </c>
      <c r="M281" s="208">
        <v>0</v>
      </c>
      <c r="N281" s="208">
        <v>0</v>
      </c>
      <c r="O281" s="3">
        <v>360</v>
      </c>
      <c r="P281" s="3">
        <v>360</v>
      </c>
      <c r="Q281" s="3">
        <v>360</v>
      </c>
      <c r="S281" s="4">
        <v>0</v>
      </c>
      <c r="T281" s="4">
        <v>138.5</v>
      </c>
      <c r="U281" s="210"/>
      <c r="V281" s="210">
        <v>1.8529007741583576E-15</v>
      </c>
      <c r="W281" s="3">
        <v>0</v>
      </c>
      <c r="X281" s="3">
        <v>0</v>
      </c>
      <c r="Y281" s="3">
        <f t="shared" si="87"/>
        <v>1</v>
      </c>
      <c r="Z281" s="3">
        <f t="shared" si="88"/>
        <v>1</v>
      </c>
      <c r="AA281" s="3" t="str">
        <f t="shared" si="73"/>
        <v/>
      </c>
      <c r="AB281" s="3" t="str">
        <f t="shared" si="74"/>
        <v/>
      </c>
      <c r="AC281" s="3" t="str">
        <f t="shared" si="75"/>
        <v/>
      </c>
      <c r="AD281" s="3" t="str">
        <f t="shared" si="76"/>
        <v>0</v>
      </c>
      <c r="AE281" s="3">
        <f t="shared" si="77"/>
        <v>0</v>
      </c>
      <c r="AF281" s="3">
        <f t="shared" si="78"/>
        <v>0</v>
      </c>
      <c r="AM281" s="3" t="str">
        <f t="shared" si="79"/>
        <v/>
      </c>
      <c r="AN281" s="3" t="str">
        <f t="shared" si="80"/>
        <v/>
      </c>
      <c r="AO281" s="3" t="str">
        <f t="shared" si="81"/>
        <v/>
      </c>
      <c r="AP281" s="3">
        <f t="shared" si="82"/>
        <v>0</v>
      </c>
      <c r="AQ281" s="3">
        <f t="shared" si="83"/>
        <v>0</v>
      </c>
      <c r="AR281" s="3">
        <f t="shared" si="89"/>
        <v>0</v>
      </c>
      <c r="AS281" s="3" t="e">
        <f t="shared" si="90"/>
        <v>#REF!</v>
      </c>
      <c r="AT281" s="3" t="str">
        <f t="shared" si="84"/>
        <v/>
      </c>
      <c r="AU281" s="3">
        <f t="shared" si="85"/>
        <v>0</v>
      </c>
      <c r="AV281" s="3">
        <f t="shared" si="86"/>
        <v>0</v>
      </c>
      <c r="AW281" s="3">
        <v>554</v>
      </c>
      <c r="AX281" s="3" t="e">
        <f>IF(AND(#REF!="N",OR(AW281=$AX$1,AW281=$AX$2,AW281=$AX$3,AW281=$AX$4,AW281=$AY$1,AW281=$AY$2,AW281=$AY$3,AW281=$AY$4)),0,1)</f>
        <v>#REF!</v>
      </c>
    </row>
    <row r="282" spans="2:50" x14ac:dyDescent="0.2">
      <c r="B282" s="4">
        <v>556</v>
      </c>
      <c r="C282" s="208">
        <v>0.20533495396308213</v>
      </c>
      <c r="D282" s="208">
        <v>0.20533495396309304</v>
      </c>
      <c r="E282" s="208">
        <v>0.20533495396309301</v>
      </c>
      <c r="F282" s="209" t="s">
        <v>714</v>
      </c>
      <c r="G282" s="208">
        <v>1.1285205034626232E-2</v>
      </c>
      <c r="H282" s="210">
        <v>0.154253753499172</v>
      </c>
      <c r="I282" s="208">
        <v>3.1673687373385103E-4</v>
      </c>
      <c r="J282" s="208">
        <v>3.1673687373386783E-4</v>
      </c>
      <c r="K282" s="208">
        <v>3.1673687373386783E-4</v>
      </c>
      <c r="L282" s="208">
        <v>5.4860435793758025E-4</v>
      </c>
      <c r="M282" s="208">
        <v>5.4860435793756409E-4</v>
      </c>
      <c r="N282" s="208">
        <v>5.4860435793758849E-4</v>
      </c>
      <c r="O282" s="3">
        <v>240</v>
      </c>
      <c r="P282" s="3">
        <v>240</v>
      </c>
      <c r="Q282" s="3">
        <v>240</v>
      </c>
      <c r="R282" s="4" t="s">
        <v>168</v>
      </c>
      <c r="S282" s="4" t="s">
        <v>168</v>
      </c>
      <c r="T282" s="4">
        <v>139</v>
      </c>
      <c r="U282" s="210"/>
      <c r="V282" s="210">
        <v>0.154253753499172</v>
      </c>
      <c r="W282" s="3">
        <v>0</v>
      </c>
      <c r="X282" s="3">
        <v>0.15425375349917445</v>
      </c>
      <c r="Y282" s="3">
        <f t="shared" si="87"/>
        <v>1</v>
      </c>
      <c r="Z282" s="3">
        <f t="shared" si="88"/>
        <v>1</v>
      </c>
      <c r="AA282" s="3">
        <f t="shared" si="73"/>
        <v>0.13791844010204504</v>
      </c>
      <c r="AB282" s="3">
        <f t="shared" si="74"/>
        <v>6.8959220051022521E-2</v>
      </c>
      <c r="AC282" s="3">
        <f t="shared" si="75"/>
        <v>3.5691330702873825E-5</v>
      </c>
      <c r="AD282" s="3" t="str">
        <f t="shared" si="76"/>
        <v>7.38759716245108E-09+0.0000356876349924875i</v>
      </c>
      <c r="AE282" s="3">
        <f t="shared" si="77"/>
        <v>7.3875971624510803E-9</v>
      </c>
      <c r="AF282" s="3">
        <f t="shared" si="78"/>
        <v>3.5687634992487498E-5</v>
      </c>
      <c r="AM282" s="3" t="str">
        <f t="shared" si="79"/>
        <v>-2.46124632785329E-06+4.92249265570658E-06i</v>
      </c>
      <c r="AN282" s="3" t="str">
        <f t="shared" si="80"/>
        <v>0.137918440102045+0.0689949113817254i</v>
      </c>
      <c r="AO282" s="3" t="str">
        <f t="shared" si="81"/>
        <v>7.38759716245108E-09+0.0000356876349924875i</v>
      </c>
      <c r="AP282" s="3">
        <f t="shared" si="82"/>
        <v>7.3875971624510803E-9</v>
      </c>
      <c r="AQ282" s="3">
        <f t="shared" si="83"/>
        <v>3.5687634992487498E-5</v>
      </c>
      <c r="AR282" s="3">
        <f t="shared" si="89"/>
        <v>1.1300692998524435</v>
      </c>
      <c r="AS282" s="3" t="e">
        <f t="shared" si="90"/>
        <v>#REF!</v>
      </c>
      <c r="AT282" s="3" t="e">
        <f t="shared" si="84"/>
        <v>#REF!</v>
      </c>
      <c r="AU282" s="3" t="e">
        <f t="shared" si="85"/>
        <v>#REF!</v>
      </c>
      <c r="AV282" s="3" t="e">
        <f t="shared" si="86"/>
        <v>#REF!</v>
      </c>
      <c r="AW282" s="3">
        <v>556</v>
      </c>
      <c r="AX282" s="3" t="e">
        <f>IF(AND(#REF!="N",OR(AW282=$AX$1,AW282=$AX$2,AW282=$AX$3,AW282=$AX$4,AW282=$AY$1,AW282=$AY$2,AW282=$AY$3,AW282=$AY$4)),0,1)</f>
        <v>#REF!</v>
      </c>
    </row>
    <row r="283" spans="2:50" x14ac:dyDescent="0.2">
      <c r="B283" s="4">
        <v>558</v>
      </c>
      <c r="C283" s="208">
        <v>4.4194173824159217E-8</v>
      </c>
      <c r="D283" s="208">
        <v>4.4194173824159217E-8</v>
      </c>
      <c r="E283" s="208">
        <v>4.4194173824159217E-8</v>
      </c>
      <c r="F283" s="209" t="s">
        <v>714</v>
      </c>
      <c r="G283" s="208">
        <v>7.7941179741027284E-16</v>
      </c>
      <c r="H283" s="210">
        <v>1.0653523343455386E-14</v>
      </c>
      <c r="I283" s="208">
        <v>4.7082366248040518E-24</v>
      </c>
      <c r="J283" s="208">
        <v>4.7082366248040518E-24</v>
      </c>
      <c r="K283" s="208">
        <v>4.7082366248040518E-24</v>
      </c>
      <c r="L283" s="208">
        <v>0</v>
      </c>
      <c r="M283" s="208">
        <v>0</v>
      </c>
      <c r="N283" s="208">
        <v>0</v>
      </c>
      <c r="O283" s="3">
        <v>360</v>
      </c>
      <c r="P283" s="3">
        <v>360</v>
      </c>
      <c r="Q283" s="3">
        <v>360</v>
      </c>
      <c r="S283" s="4">
        <v>0</v>
      </c>
      <c r="T283" s="4">
        <v>139.5</v>
      </c>
      <c r="U283" s="210"/>
      <c r="V283" s="210">
        <v>1.0653523343455386E-14</v>
      </c>
      <c r="W283" s="3">
        <v>0</v>
      </c>
      <c r="X283" s="3">
        <v>0</v>
      </c>
      <c r="Y283" s="3">
        <f t="shared" si="87"/>
        <v>1</v>
      </c>
      <c r="Z283" s="3">
        <f t="shared" si="88"/>
        <v>1</v>
      </c>
      <c r="AA283" s="3" t="str">
        <f t="shared" si="73"/>
        <v/>
      </c>
      <c r="AB283" s="3" t="str">
        <f t="shared" si="74"/>
        <v/>
      </c>
      <c r="AC283" s="3" t="str">
        <f t="shared" si="75"/>
        <v/>
      </c>
      <c r="AD283" s="3" t="str">
        <f t="shared" si="76"/>
        <v>0</v>
      </c>
      <c r="AE283" s="3">
        <f t="shared" si="77"/>
        <v>0</v>
      </c>
      <c r="AF283" s="3">
        <f t="shared" si="78"/>
        <v>0</v>
      </c>
      <c r="AM283" s="3" t="str">
        <f t="shared" si="79"/>
        <v/>
      </c>
      <c r="AN283" s="3" t="str">
        <f t="shared" si="80"/>
        <v/>
      </c>
      <c r="AO283" s="3" t="str">
        <f t="shared" si="81"/>
        <v/>
      </c>
      <c r="AP283" s="3">
        <f t="shared" si="82"/>
        <v>0</v>
      </c>
      <c r="AQ283" s="3">
        <f t="shared" si="83"/>
        <v>0</v>
      </c>
      <c r="AR283" s="3">
        <f t="shared" si="89"/>
        <v>0</v>
      </c>
      <c r="AS283" s="3" t="e">
        <f t="shared" si="90"/>
        <v>#REF!</v>
      </c>
      <c r="AT283" s="3" t="str">
        <f t="shared" si="84"/>
        <v/>
      </c>
      <c r="AU283" s="3">
        <f t="shared" si="85"/>
        <v>0</v>
      </c>
      <c r="AV283" s="3">
        <f t="shared" si="86"/>
        <v>0</v>
      </c>
      <c r="AW283" s="3">
        <v>558</v>
      </c>
      <c r="AX283" s="3" t="e">
        <f>IF(AND(#REF!="N",OR(AW283=$AX$1,AW283=$AX$2,AW283=$AX$3,AW283=$AX$4,AW283=$AY$1,AW283=$AY$2,AW283=$AY$3,AW283=$AY$4)),0,1)</f>
        <v>#REF!</v>
      </c>
    </row>
    <row r="284" spans="2:50" x14ac:dyDescent="0.2">
      <c r="B284" s="4">
        <v>560</v>
      </c>
      <c r="C284" s="208">
        <v>4.4194173824159217E-8</v>
      </c>
      <c r="D284" s="208">
        <v>4.4194173824159217E-8</v>
      </c>
      <c r="E284" s="208">
        <v>4.4194173824159217E-8</v>
      </c>
      <c r="F284" s="209" t="s">
        <v>714</v>
      </c>
      <c r="G284" s="208">
        <v>3.065560306432726E-16</v>
      </c>
      <c r="H284" s="210">
        <v>4.1902134909769641E-15</v>
      </c>
      <c r="I284" s="208">
        <v>1.8518302338057295E-24</v>
      </c>
      <c r="J284" s="208">
        <v>1.8518302338057295E-24</v>
      </c>
      <c r="K284" s="208">
        <v>1.8518302338057295E-24</v>
      </c>
      <c r="L284" s="208">
        <v>0</v>
      </c>
      <c r="M284" s="208">
        <v>0</v>
      </c>
      <c r="N284" s="208">
        <v>0</v>
      </c>
      <c r="O284" s="3">
        <v>360</v>
      </c>
      <c r="P284" s="3">
        <v>360</v>
      </c>
      <c r="Q284" s="3">
        <v>360</v>
      </c>
      <c r="S284" s="4">
        <v>0</v>
      </c>
      <c r="T284" s="4">
        <v>140</v>
      </c>
      <c r="U284" s="210"/>
      <c r="V284" s="210">
        <v>4.1902134909769633E-15</v>
      </c>
      <c r="W284" s="3">
        <v>0</v>
      </c>
      <c r="X284" s="3">
        <v>0</v>
      </c>
      <c r="Y284" s="3">
        <f t="shared" si="87"/>
        <v>1</v>
      </c>
      <c r="Z284" s="3">
        <f t="shared" si="88"/>
        <v>1</v>
      </c>
      <c r="AA284" s="3" t="str">
        <f t="shared" si="73"/>
        <v/>
      </c>
      <c r="AB284" s="3" t="str">
        <f t="shared" si="74"/>
        <v/>
      </c>
      <c r="AC284" s="3" t="str">
        <f t="shared" si="75"/>
        <v/>
      </c>
      <c r="AD284" s="3" t="str">
        <f t="shared" si="76"/>
        <v>0</v>
      </c>
      <c r="AE284" s="3">
        <f t="shared" si="77"/>
        <v>0</v>
      </c>
      <c r="AF284" s="3">
        <f t="shared" si="78"/>
        <v>0</v>
      </c>
      <c r="AM284" s="3" t="str">
        <f t="shared" si="79"/>
        <v/>
      </c>
      <c r="AN284" s="3" t="str">
        <f t="shared" si="80"/>
        <v/>
      </c>
      <c r="AO284" s="3" t="str">
        <f t="shared" si="81"/>
        <v/>
      </c>
      <c r="AP284" s="3">
        <f t="shared" si="82"/>
        <v>0</v>
      </c>
      <c r="AQ284" s="3">
        <f t="shared" si="83"/>
        <v>0</v>
      </c>
      <c r="AR284" s="3">
        <f t="shared" si="89"/>
        <v>0</v>
      </c>
      <c r="AS284" s="3" t="e">
        <f t="shared" si="90"/>
        <v>#REF!</v>
      </c>
      <c r="AT284" s="3" t="str">
        <f t="shared" si="84"/>
        <v/>
      </c>
      <c r="AU284" s="3">
        <f t="shared" si="85"/>
        <v>0</v>
      </c>
      <c r="AV284" s="3">
        <f t="shared" si="86"/>
        <v>0</v>
      </c>
      <c r="AW284" s="3">
        <v>560</v>
      </c>
      <c r="AX284" s="3" t="e">
        <f>IF(AND(#REF!="N",OR(AW284=$AX$1,AW284=$AX$2,AW284=$AX$3,AW284=$AX$4,AW284=$AY$1,AW284=$AY$2,AW284=$AY$3,AW284=$AY$4)),0,1)</f>
        <v>#REF!</v>
      </c>
    </row>
    <row r="285" spans="2:50" x14ac:dyDescent="0.2">
      <c r="B285" s="4">
        <v>562</v>
      </c>
      <c r="C285" s="208">
        <v>4.4194173824159217E-8</v>
      </c>
      <c r="D285" s="208">
        <v>4.4194173824159217E-8</v>
      </c>
      <c r="E285" s="208">
        <v>4.4194173824159217E-8</v>
      </c>
      <c r="F285" s="209" t="s">
        <v>714</v>
      </c>
      <c r="G285" s="208">
        <v>4.8022023321783502E-16</v>
      </c>
      <c r="H285" s="210">
        <v>6.5639723206457651E-15</v>
      </c>
      <c r="I285" s="208">
        <v>2.9008933371558868E-24</v>
      </c>
      <c r="J285" s="208">
        <v>2.9008933371558868E-24</v>
      </c>
      <c r="K285" s="208">
        <v>2.9008933371558868E-24</v>
      </c>
      <c r="L285" s="208">
        <v>0</v>
      </c>
      <c r="M285" s="208">
        <v>0</v>
      </c>
      <c r="N285" s="208">
        <v>0</v>
      </c>
      <c r="O285" s="3">
        <v>360</v>
      </c>
      <c r="P285" s="3">
        <v>360</v>
      </c>
      <c r="Q285" s="3">
        <v>360</v>
      </c>
      <c r="S285" s="4">
        <v>0</v>
      </c>
      <c r="T285" s="4">
        <v>140.5</v>
      </c>
      <c r="U285" s="210"/>
      <c r="V285" s="210">
        <v>6.5639723206457643E-15</v>
      </c>
      <c r="W285" s="3">
        <v>0</v>
      </c>
      <c r="X285" s="3">
        <v>0</v>
      </c>
      <c r="Y285" s="3">
        <f t="shared" si="87"/>
        <v>1</v>
      </c>
      <c r="Z285" s="3">
        <f t="shared" si="88"/>
        <v>1</v>
      </c>
      <c r="AA285" s="3" t="str">
        <f t="shared" si="73"/>
        <v/>
      </c>
      <c r="AB285" s="3" t="str">
        <f t="shared" si="74"/>
        <v/>
      </c>
      <c r="AC285" s="3" t="str">
        <f t="shared" si="75"/>
        <v/>
      </c>
      <c r="AD285" s="3" t="str">
        <f t="shared" si="76"/>
        <v>0</v>
      </c>
      <c r="AE285" s="3">
        <f t="shared" si="77"/>
        <v>0</v>
      </c>
      <c r="AF285" s="3">
        <f t="shared" si="78"/>
        <v>0</v>
      </c>
      <c r="AM285" s="3" t="str">
        <f t="shared" si="79"/>
        <v/>
      </c>
      <c r="AN285" s="3" t="str">
        <f t="shared" si="80"/>
        <v/>
      </c>
      <c r="AO285" s="3" t="str">
        <f t="shared" si="81"/>
        <v/>
      </c>
      <c r="AP285" s="3">
        <f t="shared" si="82"/>
        <v>0</v>
      </c>
      <c r="AQ285" s="3">
        <f t="shared" si="83"/>
        <v>0</v>
      </c>
      <c r="AR285" s="3">
        <f t="shared" si="89"/>
        <v>0</v>
      </c>
      <c r="AS285" s="3" t="e">
        <f t="shared" si="90"/>
        <v>#REF!</v>
      </c>
      <c r="AT285" s="3" t="str">
        <f t="shared" si="84"/>
        <v/>
      </c>
      <c r="AU285" s="3">
        <f t="shared" si="85"/>
        <v>0</v>
      </c>
      <c r="AV285" s="3">
        <f t="shared" si="86"/>
        <v>0</v>
      </c>
      <c r="AW285" s="3">
        <v>562</v>
      </c>
      <c r="AX285" s="3" t="e">
        <f>IF(AND(#REF!="N",OR(AW285=$AX$1,AW285=$AX$2,AW285=$AX$3,AW285=$AX$4,AW285=$AY$1,AW285=$AY$2,AW285=$AY$3,AW285=$AY$4)),0,1)</f>
        <v>#REF!</v>
      </c>
    </row>
    <row r="286" spans="2:50" x14ac:dyDescent="0.2">
      <c r="B286" s="4">
        <v>564</v>
      </c>
      <c r="C286" s="208">
        <v>0.65328148243819295</v>
      </c>
      <c r="D286" s="208">
        <v>0.65328148243819062</v>
      </c>
      <c r="E286" s="208">
        <v>0.65328148243818329</v>
      </c>
      <c r="F286" s="209" t="s">
        <v>714</v>
      </c>
      <c r="G286" s="208">
        <v>6.7867823078842273E-16</v>
      </c>
      <c r="H286" s="210">
        <v>9.2766293741298276E-15</v>
      </c>
      <c r="I286" s="208">
        <v>6.0602501895612203E-17</v>
      </c>
      <c r="J286" s="208">
        <v>6.0602501895611981E-17</v>
      </c>
      <c r="K286" s="208">
        <v>6.0602501895611303E-17</v>
      </c>
      <c r="L286" s="208">
        <v>2.3604197398409963E-30</v>
      </c>
      <c r="M286" s="208">
        <v>1.1228969007989791E-30</v>
      </c>
      <c r="N286" s="208">
        <v>1.2745892257847437E-30</v>
      </c>
      <c r="O286" s="3">
        <v>360</v>
      </c>
      <c r="P286" s="3">
        <v>0</v>
      </c>
      <c r="Q286" s="3">
        <v>0</v>
      </c>
      <c r="S286" s="4">
        <v>0</v>
      </c>
      <c r="T286" s="4">
        <v>141</v>
      </c>
      <c r="U286" s="210"/>
      <c r="V286" s="210">
        <v>9.2766293741298276E-15</v>
      </c>
      <c r="W286" s="3">
        <v>0</v>
      </c>
      <c r="X286" s="3">
        <v>0</v>
      </c>
      <c r="Y286" s="3">
        <f t="shared" si="87"/>
        <v>1</v>
      </c>
      <c r="Z286" s="3">
        <f t="shared" si="88"/>
        <v>1</v>
      </c>
      <c r="AA286" s="3" t="str">
        <f t="shared" si="73"/>
        <v/>
      </c>
      <c r="AB286" s="3" t="str">
        <f t="shared" si="74"/>
        <v/>
      </c>
      <c r="AC286" s="3" t="str">
        <f t="shared" si="75"/>
        <v/>
      </c>
      <c r="AD286" s="3" t="str">
        <f t="shared" si="76"/>
        <v>0</v>
      </c>
      <c r="AE286" s="3">
        <f t="shared" si="77"/>
        <v>0</v>
      </c>
      <c r="AF286" s="3">
        <f t="shared" si="78"/>
        <v>0</v>
      </c>
      <c r="AM286" s="3" t="str">
        <f t="shared" si="79"/>
        <v/>
      </c>
      <c r="AN286" s="3" t="str">
        <f t="shared" si="80"/>
        <v/>
      </c>
      <c r="AO286" s="3" t="str">
        <f t="shared" si="81"/>
        <v/>
      </c>
      <c r="AP286" s="3">
        <f t="shared" si="82"/>
        <v>0</v>
      </c>
      <c r="AQ286" s="3">
        <f t="shared" si="83"/>
        <v>0</v>
      </c>
      <c r="AR286" s="3">
        <f t="shared" si="89"/>
        <v>0</v>
      </c>
      <c r="AS286" s="3" t="e">
        <f t="shared" si="90"/>
        <v>#REF!</v>
      </c>
      <c r="AT286" s="3" t="str">
        <f t="shared" si="84"/>
        <v/>
      </c>
      <c r="AU286" s="3">
        <f t="shared" si="85"/>
        <v>0</v>
      </c>
      <c r="AV286" s="3">
        <f t="shared" si="86"/>
        <v>0</v>
      </c>
      <c r="AW286" s="3">
        <v>564</v>
      </c>
      <c r="AX286" s="3" t="e">
        <f>IF(AND(#REF!="N",OR(AW286=$AX$1,AW286=$AX$2,AW286=$AX$3,AW286=$AX$4,AW286=$AY$1,AW286=$AY$2,AW286=$AY$3,AW286=$AY$4)),0,1)</f>
        <v>#REF!</v>
      </c>
    </row>
    <row r="287" spans="2:50" x14ac:dyDescent="0.2">
      <c r="B287" s="4">
        <v>566</v>
      </c>
      <c r="C287" s="208">
        <v>4.4194173824159217E-8</v>
      </c>
      <c r="D287" s="208">
        <v>4.4194173824159217E-8</v>
      </c>
      <c r="E287" s="208">
        <v>4.4194173824159217E-8</v>
      </c>
      <c r="F287" s="209" t="s">
        <v>714</v>
      </c>
      <c r="G287" s="208">
        <v>1.4063873409387811E-16</v>
      </c>
      <c r="H287" s="210">
        <v>1.9223445701508408E-15</v>
      </c>
      <c r="I287" s="208">
        <v>8.4956430083174897E-25</v>
      </c>
      <c r="J287" s="208">
        <v>8.4956430083174897E-25</v>
      </c>
      <c r="K287" s="208">
        <v>8.4956430083174897E-25</v>
      </c>
      <c r="L287" s="208">
        <v>0</v>
      </c>
      <c r="M287" s="208">
        <v>0</v>
      </c>
      <c r="N287" s="208">
        <v>0</v>
      </c>
      <c r="O287" s="3">
        <v>360</v>
      </c>
      <c r="P287" s="3">
        <v>360</v>
      </c>
      <c r="Q287" s="3">
        <v>360</v>
      </c>
      <c r="S287" s="4">
        <v>0</v>
      </c>
      <c r="T287" s="4">
        <v>141.5</v>
      </c>
      <c r="U287" s="210"/>
      <c r="V287" s="210">
        <v>1.9223445701508408E-15</v>
      </c>
      <c r="W287" s="3">
        <v>0</v>
      </c>
      <c r="X287" s="3">
        <v>0</v>
      </c>
      <c r="Y287" s="3">
        <f t="shared" si="87"/>
        <v>1</v>
      </c>
      <c r="Z287" s="3">
        <f t="shared" si="88"/>
        <v>1</v>
      </c>
      <c r="AA287" s="3" t="str">
        <f t="shared" si="73"/>
        <v/>
      </c>
      <c r="AB287" s="3" t="str">
        <f t="shared" si="74"/>
        <v/>
      </c>
      <c r="AC287" s="3" t="str">
        <f t="shared" si="75"/>
        <v/>
      </c>
      <c r="AD287" s="3" t="str">
        <f t="shared" si="76"/>
        <v>0</v>
      </c>
      <c r="AE287" s="3">
        <f t="shared" si="77"/>
        <v>0</v>
      </c>
      <c r="AF287" s="3">
        <f t="shared" si="78"/>
        <v>0</v>
      </c>
      <c r="AM287" s="3" t="str">
        <f t="shared" si="79"/>
        <v/>
      </c>
      <c r="AN287" s="3" t="str">
        <f t="shared" si="80"/>
        <v/>
      </c>
      <c r="AO287" s="3" t="str">
        <f t="shared" si="81"/>
        <v/>
      </c>
      <c r="AP287" s="3">
        <f t="shared" si="82"/>
        <v>0</v>
      </c>
      <c r="AQ287" s="3">
        <f t="shared" si="83"/>
        <v>0</v>
      </c>
      <c r="AR287" s="3">
        <f t="shared" si="89"/>
        <v>0</v>
      </c>
      <c r="AS287" s="3" t="e">
        <f t="shared" si="90"/>
        <v>#REF!</v>
      </c>
      <c r="AT287" s="3" t="str">
        <f t="shared" si="84"/>
        <v/>
      </c>
      <c r="AU287" s="3">
        <f t="shared" si="85"/>
        <v>0</v>
      </c>
      <c r="AV287" s="3">
        <f t="shared" si="86"/>
        <v>0</v>
      </c>
      <c r="AW287" s="3">
        <v>566</v>
      </c>
      <c r="AX287" s="3" t="e">
        <f>IF(AND(#REF!="N",OR(AW287=$AX$1,AW287=$AX$2,AW287=$AX$3,AW287=$AX$4,AW287=$AY$1,AW287=$AY$2,AW287=$AY$3,AW287=$AY$4)),0,1)</f>
        <v>#REF!</v>
      </c>
    </row>
    <row r="288" spans="2:50" x14ac:dyDescent="0.2">
      <c r="B288" s="4">
        <v>568</v>
      </c>
      <c r="C288" s="208">
        <v>4.4194173824159217E-8</v>
      </c>
      <c r="D288" s="208">
        <v>4.4194173824159217E-8</v>
      </c>
      <c r="E288" s="208">
        <v>4.4194173824159217E-8</v>
      </c>
      <c r="F288" s="209" t="s">
        <v>714</v>
      </c>
      <c r="G288" s="208">
        <v>7.9403895935670599E-16</v>
      </c>
      <c r="H288" s="210">
        <v>1.0853457206097191E-14</v>
      </c>
      <c r="I288" s="208">
        <v>4.7965957435933272E-24</v>
      </c>
      <c r="J288" s="208">
        <v>4.7965957435933272E-24</v>
      </c>
      <c r="K288" s="208">
        <v>4.7965957435933272E-24</v>
      </c>
      <c r="L288" s="208">
        <v>0</v>
      </c>
      <c r="M288" s="208">
        <v>0</v>
      </c>
      <c r="N288" s="208">
        <v>0</v>
      </c>
      <c r="O288" s="3">
        <v>360</v>
      </c>
      <c r="P288" s="3">
        <v>360</v>
      </c>
      <c r="Q288" s="3">
        <v>360</v>
      </c>
      <c r="S288" s="4">
        <v>0</v>
      </c>
      <c r="T288" s="4">
        <v>142</v>
      </c>
      <c r="U288" s="210"/>
      <c r="V288" s="210">
        <v>1.0853457206097191E-14</v>
      </c>
      <c r="W288" s="3">
        <v>0</v>
      </c>
      <c r="X288" s="3">
        <v>0</v>
      </c>
      <c r="Y288" s="3">
        <f t="shared" si="87"/>
        <v>1</v>
      </c>
      <c r="Z288" s="3">
        <f t="shared" si="88"/>
        <v>1</v>
      </c>
      <c r="AA288" s="3" t="str">
        <f t="shared" si="73"/>
        <v/>
      </c>
      <c r="AB288" s="3" t="str">
        <f t="shared" si="74"/>
        <v/>
      </c>
      <c r="AC288" s="3" t="str">
        <f t="shared" si="75"/>
        <v/>
      </c>
      <c r="AD288" s="3" t="str">
        <f t="shared" si="76"/>
        <v>0</v>
      </c>
      <c r="AE288" s="3">
        <f t="shared" si="77"/>
        <v>0</v>
      </c>
      <c r="AF288" s="3">
        <f t="shared" si="78"/>
        <v>0</v>
      </c>
      <c r="AM288" s="3" t="str">
        <f t="shared" si="79"/>
        <v/>
      </c>
      <c r="AN288" s="3" t="str">
        <f t="shared" si="80"/>
        <v/>
      </c>
      <c r="AO288" s="3" t="str">
        <f t="shared" si="81"/>
        <v/>
      </c>
      <c r="AP288" s="3">
        <f t="shared" si="82"/>
        <v>0</v>
      </c>
      <c r="AQ288" s="3">
        <f t="shared" si="83"/>
        <v>0</v>
      </c>
      <c r="AR288" s="3">
        <f t="shared" si="89"/>
        <v>0</v>
      </c>
      <c r="AS288" s="3" t="e">
        <f t="shared" si="90"/>
        <v>#REF!</v>
      </c>
      <c r="AT288" s="3" t="str">
        <f t="shared" si="84"/>
        <v/>
      </c>
      <c r="AU288" s="3">
        <f t="shared" si="85"/>
        <v>0</v>
      </c>
      <c r="AV288" s="3">
        <f t="shared" si="86"/>
        <v>0</v>
      </c>
      <c r="AW288" s="3">
        <v>568</v>
      </c>
      <c r="AX288" s="3" t="e">
        <f>IF(AND(#REF!="N",OR(AW288=$AX$1,AW288=$AX$2,AW288=$AX$3,AW288=$AX$4,AW288=$AY$1,AW288=$AY$2,AW288=$AY$3,AW288=$AY$4)),0,1)</f>
        <v>#REF!</v>
      </c>
    </row>
    <row r="289" spans="2:50" x14ac:dyDescent="0.2">
      <c r="B289" s="4">
        <v>570</v>
      </c>
      <c r="C289" s="208">
        <v>4.4194173824159217E-8</v>
      </c>
      <c r="D289" s="208">
        <v>4.4194173824159217E-8</v>
      </c>
      <c r="E289" s="208">
        <v>4.4194173824159217E-8</v>
      </c>
      <c r="F289" s="209" t="s">
        <v>714</v>
      </c>
      <c r="G289" s="208">
        <v>5.796025474320654E-16</v>
      </c>
      <c r="H289" s="210">
        <v>7.9223964655276732E-15</v>
      </c>
      <c r="I289" s="208">
        <v>3.501237665014346E-24</v>
      </c>
      <c r="J289" s="208">
        <v>3.501237665014346E-24</v>
      </c>
      <c r="K289" s="208">
        <v>3.501237665014346E-24</v>
      </c>
      <c r="L289" s="208">
        <v>0</v>
      </c>
      <c r="M289" s="208">
        <v>0</v>
      </c>
      <c r="N289" s="208">
        <v>0</v>
      </c>
      <c r="O289" s="3">
        <v>360</v>
      </c>
      <c r="P289" s="3">
        <v>360</v>
      </c>
      <c r="Q289" s="3">
        <v>360</v>
      </c>
      <c r="S289" s="4">
        <v>0</v>
      </c>
      <c r="T289" s="4">
        <v>142.5</v>
      </c>
      <c r="U289" s="210"/>
      <c r="V289" s="210">
        <v>7.9223964655276732E-15</v>
      </c>
      <c r="W289" s="3">
        <v>0</v>
      </c>
      <c r="X289" s="3">
        <v>0</v>
      </c>
      <c r="Y289" s="3">
        <f t="shared" si="87"/>
        <v>1</v>
      </c>
      <c r="Z289" s="3">
        <f t="shared" si="88"/>
        <v>1</v>
      </c>
      <c r="AA289" s="3" t="str">
        <f t="shared" si="73"/>
        <v/>
      </c>
      <c r="AB289" s="3" t="str">
        <f t="shared" si="74"/>
        <v/>
      </c>
      <c r="AC289" s="3" t="str">
        <f t="shared" si="75"/>
        <v/>
      </c>
      <c r="AD289" s="3" t="str">
        <f t="shared" si="76"/>
        <v>0</v>
      </c>
      <c r="AE289" s="3">
        <f t="shared" si="77"/>
        <v>0</v>
      </c>
      <c r="AF289" s="3">
        <f t="shared" si="78"/>
        <v>0</v>
      </c>
      <c r="AM289" s="3" t="str">
        <f t="shared" si="79"/>
        <v/>
      </c>
      <c r="AN289" s="3" t="str">
        <f t="shared" si="80"/>
        <v/>
      </c>
      <c r="AO289" s="3" t="str">
        <f t="shared" si="81"/>
        <v/>
      </c>
      <c r="AP289" s="3">
        <f t="shared" si="82"/>
        <v>0</v>
      </c>
      <c r="AQ289" s="3">
        <f t="shared" si="83"/>
        <v>0</v>
      </c>
      <c r="AR289" s="3">
        <f t="shared" si="89"/>
        <v>0</v>
      </c>
      <c r="AS289" s="3" t="e">
        <f t="shared" si="90"/>
        <v>#REF!</v>
      </c>
      <c r="AT289" s="3" t="str">
        <f t="shared" si="84"/>
        <v/>
      </c>
      <c r="AU289" s="3">
        <f t="shared" si="85"/>
        <v>0</v>
      </c>
      <c r="AV289" s="3">
        <f t="shared" si="86"/>
        <v>0</v>
      </c>
      <c r="AW289" s="3">
        <v>570</v>
      </c>
      <c r="AX289" s="3" t="e">
        <f>IF(AND(#REF!="N",OR(AW289=$AX$1,AW289=$AX$2,AW289=$AX$3,AW289=$AX$4,AW289=$AY$1,AW289=$AY$2,AW289=$AY$3,AW289=$AY$4)),0,1)</f>
        <v>#REF!</v>
      </c>
    </row>
    <row r="290" spans="2:50" x14ac:dyDescent="0.2">
      <c r="B290" s="4">
        <v>572</v>
      </c>
      <c r="C290" s="208">
        <v>0.9576621969425495</v>
      </c>
      <c r="D290" s="208">
        <v>0.95766219694254995</v>
      </c>
      <c r="E290" s="208">
        <v>0.95766219694254562</v>
      </c>
      <c r="F290" s="209" t="s">
        <v>714</v>
      </c>
      <c r="G290" s="208">
        <v>5.1160841103995082E-2</v>
      </c>
      <c r="H290" s="210">
        <v>0.69930069930070526</v>
      </c>
      <c r="I290" s="208">
        <v>6.6969384401577466E-3</v>
      </c>
      <c r="J290" s="208">
        <v>6.6969384401577492E-3</v>
      </c>
      <c r="K290" s="208">
        <v>6.6969384401577188E-3</v>
      </c>
      <c r="L290" s="208">
        <v>1.1599437633514264E-2</v>
      </c>
      <c r="M290" s="208">
        <v>1.1599437633514367E-2</v>
      </c>
      <c r="N290" s="208">
        <v>1.1599437633514171E-2</v>
      </c>
      <c r="O290" s="3">
        <v>120</v>
      </c>
      <c r="P290" s="3">
        <v>120</v>
      </c>
      <c r="Q290" s="3">
        <v>120</v>
      </c>
      <c r="R290" s="4" t="s">
        <v>172</v>
      </c>
      <c r="S290" s="4" t="s">
        <v>172</v>
      </c>
      <c r="T290" s="4">
        <v>143</v>
      </c>
      <c r="U290" s="210"/>
      <c r="V290" s="210">
        <v>0.69930069930070526</v>
      </c>
      <c r="W290" s="3">
        <v>0.69930069930069938</v>
      </c>
      <c r="X290" s="3">
        <v>0</v>
      </c>
      <c r="Y290" s="3">
        <f t="shared" si="87"/>
        <v>1</v>
      </c>
      <c r="Z290" s="3">
        <f t="shared" si="88"/>
        <v>1</v>
      </c>
      <c r="AA290" s="3">
        <f t="shared" si="73"/>
        <v>3.0000000000000067</v>
      </c>
      <c r="AB290" s="3">
        <f t="shared" si="74"/>
        <v>1.5000000000000033</v>
      </c>
      <c r="AC290" s="3">
        <f t="shared" si="75"/>
        <v>7.3353220206367217E-4</v>
      </c>
      <c r="AD290" s="3" t="str">
        <f t="shared" si="76"/>
        <v>1.43457129416351E-07+0.000733460438422155i</v>
      </c>
      <c r="AE290" s="3">
        <f t="shared" si="77"/>
        <v>1.43457129416351E-7</v>
      </c>
      <c r="AF290" s="3">
        <f t="shared" si="78"/>
        <v>7.3346043842215504E-4</v>
      </c>
      <c r="AM290" s="3" t="str">
        <f t="shared" si="79"/>
        <v>-0.00110029830309551+0.00220059660619102i</v>
      </c>
      <c r="AN290" s="3" t="str">
        <f t="shared" si="80"/>
        <v>3.00000000000001+1.50073353220207i</v>
      </c>
      <c r="AO290" s="3" t="str">
        <f t="shared" si="81"/>
        <v>1.43457129416351E-07+0.000733460438422155i</v>
      </c>
      <c r="AP290" s="3">
        <f t="shared" si="82"/>
        <v>1.43457129416351E-7</v>
      </c>
      <c r="AQ290" s="3">
        <f t="shared" si="83"/>
        <v>7.3346043842215504E-4</v>
      </c>
      <c r="AR290" s="3">
        <f t="shared" si="89"/>
        <v>-1.0984589697866409</v>
      </c>
      <c r="AS290" s="3" t="e">
        <f t="shared" si="90"/>
        <v>#REF!</v>
      </c>
      <c r="AT290" s="3" t="e">
        <f t="shared" si="84"/>
        <v>#REF!</v>
      </c>
      <c r="AU290" s="3" t="e">
        <f t="shared" si="85"/>
        <v>#REF!</v>
      </c>
      <c r="AV290" s="3" t="e">
        <f t="shared" si="86"/>
        <v>#REF!</v>
      </c>
      <c r="AW290" s="3">
        <v>572</v>
      </c>
      <c r="AX290" s="3" t="e">
        <f>IF(AND(#REF!="N",OR(AW290=$AX$1,AW290=$AX$2,AW290=$AX$3,AW290=$AX$4,AW290=$AY$1,AW290=$AY$2,AW290=$AY$3,AW290=$AY$4)),0,1)</f>
        <v>#REF!</v>
      </c>
    </row>
    <row r="291" spans="2:50" x14ac:dyDescent="0.2">
      <c r="B291" s="4">
        <v>574</v>
      </c>
      <c r="C291" s="208">
        <v>4.4194173824159217E-8</v>
      </c>
      <c r="D291" s="208">
        <v>4.4194173824159217E-8</v>
      </c>
      <c r="E291" s="208">
        <v>4.4194173824159217E-8</v>
      </c>
      <c r="F291" s="209" t="s">
        <v>714</v>
      </c>
      <c r="G291" s="208">
        <v>1.5354384377035928E-15</v>
      </c>
      <c r="H291" s="210">
        <v>2.0987402670662084E-14</v>
      </c>
      <c r="I291" s="208">
        <v>9.2752092174486352E-24</v>
      </c>
      <c r="J291" s="208">
        <v>9.2752092174486352E-24</v>
      </c>
      <c r="K291" s="208">
        <v>9.2752092174486352E-24</v>
      </c>
      <c r="L291" s="208">
        <v>0</v>
      </c>
      <c r="M291" s="208">
        <v>0</v>
      </c>
      <c r="N291" s="208">
        <v>0</v>
      </c>
      <c r="O291" s="3">
        <v>360</v>
      </c>
      <c r="P291" s="3">
        <v>360</v>
      </c>
      <c r="Q291" s="3">
        <v>360</v>
      </c>
      <c r="S291" s="4">
        <v>0</v>
      </c>
      <c r="T291" s="4">
        <v>143.5</v>
      </c>
      <c r="U291" s="210"/>
      <c r="V291" s="210">
        <v>2.0987402670662081E-14</v>
      </c>
      <c r="W291" s="3">
        <v>0</v>
      </c>
      <c r="X291" s="3">
        <v>0</v>
      </c>
      <c r="Y291" s="3">
        <f t="shared" si="87"/>
        <v>1</v>
      </c>
      <c r="Z291" s="3">
        <f t="shared" si="88"/>
        <v>1</v>
      </c>
      <c r="AA291" s="3" t="str">
        <f t="shared" si="73"/>
        <v/>
      </c>
      <c r="AB291" s="3" t="str">
        <f t="shared" si="74"/>
        <v/>
      </c>
      <c r="AC291" s="3" t="str">
        <f t="shared" si="75"/>
        <v/>
      </c>
      <c r="AD291" s="3" t="str">
        <f t="shared" si="76"/>
        <v>0</v>
      </c>
      <c r="AE291" s="3">
        <f t="shared" si="77"/>
        <v>0</v>
      </c>
      <c r="AF291" s="3">
        <f t="shared" si="78"/>
        <v>0</v>
      </c>
      <c r="AM291" s="3" t="str">
        <f t="shared" si="79"/>
        <v/>
      </c>
      <c r="AN291" s="3" t="str">
        <f t="shared" si="80"/>
        <v/>
      </c>
      <c r="AO291" s="3" t="str">
        <f t="shared" si="81"/>
        <v/>
      </c>
      <c r="AP291" s="3">
        <f t="shared" si="82"/>
        <v>0</v>
      </c>
      <c r="AQ291" s="3">
        <f t="shared" si="83"/>
        <v>0</v>
      </c>
      <c r="AR291" s="3">
        <f t="shared" si="89"/>
        <v>0</v>
      </c>
      <c r="AS291" s="3" t="e">
        <f t="shared" si="90"/>
        <v>#REF!</v>
      </c>
      <c r="AT291" s="3" t="str">
        <f t="shared" si="84"/>
        <v/>
      </c>
      <c r="AU291" s="3">
        <f t="shared" si="85"/>
        <v>0</v>
      </c>
      <c r="AV291" s="3">
        <f t="shared" si="86"/>
        <v>0</v>
      </c>
      <c r="AW291" s="3">
        <v>574</v>
      </c>
      <c r="AX291" s="3" t="e">
        <f>IF(AND(#REF!="N",OR(AW291=$AX$1,AW291=$AX$2,AW291=$AX$3,AW291=$AX$4,AW291=$AY$1,AW291=$AY$2,AW291=$AY$3,AW291=$AY$4)),0,1)</f>
        <v>#REF!</v>
      </c>
    </row>
    <row r="292" spans="2:50" x14ac:dyDescent="0.2">
      <c r="B292" s="4">
        <v>576</v>
      </c>
      <c r="C292" s="208">
        <v>4.4194173824159217E-8</v>
      </c>
      <c r="D292" s="208">
        <v>4.4194173824159217E-8</v>
      </c>
      <c r="E292" s="208">
        <v>4.4194173824159217E-8</v>
      </c>
      <c r="F292" s="209" t="s">
        <v>714</v>
      </c>
      <c r="G292" s="208">
        <v>1.5494276898225535E-16</v>
      </c>
      <c r="H292" s="210">
        <v>2.1178617153817232E-15</v>
      </c>
      <c r="I292" s="208">
        <v>9.3597148785111886E-25</v>
      </c>
      <c r="J292" s="208">
        <v>9.3597148785111886E-25</v>
      </c>
      <c r="K292" s="208">
        <v>9.3597148785111886E-25</v>
      </c>
      <c r="L292" s="208">
        <v>0</v>
      </c>
      <c r="M292" s="208">
        <v>0</v>
      </c>
      <c r="N292" s="208">
        <v>0</v>
      </c>
      <c r="O292" s="3">
        <v>360</v>
      </c>
      <c r="P292" s="3">
        <v>360</v>
      </c>
      <c r="Q292" s="3">
        <v>360</v>
      </c>
      <c r="S292" s="4">
        <v>0</v>
      </c>
      <c r="T292" s="4">
        <v>144</v>
      </c>
      <c r="U292" s="210"/>
      <c r="V292" s="210">
        <v>2.1178617153817228E-15</v>
      </c>
      <c r="W292" s="3">
        <v>0</v>
      </c>
      <c r="X292" s="3">
        <v>0</v>
      </c>
      <c r="Y292" s="3">
        <f t="shared" si="87"/>
        <v>1</v>
      </c>
      <c r="Z292" s="3">
        <f t="shared" si="88"/>
        <v>1</v>
      </c>
      <c r="AA292" s="3" t="str">
        <f t="shared" si="73"/>
        <v/>
      </c>
      <c r="AB292" s="3" t="str">
        <f t="shared" si="74"/>
        <v/>
      </c>
      <c r="AC292" s="3" t="str">
        <f t="shared" si="75"/>
        <v/>
      </c>
      <c r="AD292" s="3" t="str">
        <f t="shared" si="76"/>
        <v>0</v>
      </c>
      <c r="AE292" s="3">
        <f t="shared" si="77"/>
        <v>0</v>
      </c>
      <c r="AF292" s="3">
        <f t="shared" si="78"/>
        <v>0</v>
      </c>
      <c r="AM292" s="3" t="str">
        <f t="shared" si="79"/>
        <v/>
      </c>
      <c r="AN292" s="3" t="str">
        <f t="shared" si="80"/>
        <v/>
      </c>
      <c r="AO292" s="3" t="str">
        <f t="shared" si="81"/>
        <v/>
      </c>
      <c r="AP292" s="3">
        <f t="shared" si="82"/>
        <v>0</v>
      </c>
      <c r="AQ292" s="3">
        <f t="shared" si="83"/>
        <v>0</v>
      </c>
      <c r="AR292" s="3">
        <f t="shared" si="89"/>
        <v>0</v>
      </c>
      <c r="AS292" s="3" t="e">
        <f t="shared" si="90"/>
        <v>#REF!</v>
      </c>
      <c r="AT292" s="3" t="str">
        <f t="shared" si="84"/>
        <v/>
      </c>
      <c r="AU292" s="3">
        <f t="shared" si="85"/>
        <v>0</v>
      </c>
      <c r="AV292" s="3">
        <f t="shared" si="86"/>
        <v>0</v>
      </c>
      <c r="AW292" s="3">
        <v>576</v>
      </c>
      <c r="AX292" s="3" t="e">
        <f>IF(AND(#REF!="N",OR(AW292=$AX$1,AW292=$AX$2,AW292=$AX$3,AW292=$AX$4,AW292=$AY$1,AW292=$AY$2,AW292=$AY$3,AW292=$AY$4)),0,1)</f>
        <v>#REF!</v>
      </c>
    </row>
    <row r="293" spans="2:50" x14ac:dyDescent="0.2">
      <c r="B293" s="4">
        <v>578</v>
      </c>
      <c r="C293" s="208">
        <v>4.4194173824159217E-8</v>
      </c>
      <c r="D293" s="208">
        <v>4.4194173824159217E-8</v>
      </c>
      <c r="E293" s="208">
        <v>4.4194173824159217E-8</v>
      </c>
      <c r="F293" s="209" t="s">
        <v>714</v>
      </c>
      <c r="G293" s="208">
        <v>1.142912426671871E-15</v>
      </c>
      <c r="H293" s="210">
        <v>1.5622093811680782E-14</v>
      </c>
      <c r="I293" s="208">
        <v>6.904055294107425E-24</v>
      </c>
      <c r="J293" s="208">
        <v>6.904055294107425E-24</v>
      </c>
      <c r="K293" s="208">
        <v>6.904055294107425E-24</v>
      </c>
      <c r="L293" s="208">
        <v>0</v>
      </c>
      <c r="M293" s="208">
        <v>0</v>
      </c>
      <c r="N293" s="208">
        <v>0</v>
      </c>
      <c r="O293" s="3">
        <v>360</v>
      </c>
      <c r="P293" s="3">
        <v>360</v>
      </c>
      <c r="Q293" s="3">
        <v>360</v>
      </c>
      <c r="S293" s="4">
        <v>0</v>
      </c>
      <c r="T293" s="4">
        <v>144.5</v>
      </c>
      <c r="U293" s="210"/>
      <c r="V293" s="210">
        <v>1.5622093811680782E-14</v>
      </c>
      <c r="W293" s="3">
        <v>0</v>
      </c>
      <c r="X293" s="3">
        <v>0</v>
      </c>
      <c r="Y293" s="3">
        <f t="shared" si="87"/>
        <v>1</v>
      </c>
      <c r="Z293" s="3">
        <f t="shared" si="88"/>
        <v>1</v>
      </c>
      <c r="AA293" s="3" t="str">
        <f t="shared" si="73"/>
        <v/>
      </c>
      <c r="AB293" s="3" t="str">
        <f t="shared" si="74"/>
        <v/>
      </c>
      <c r="AC293" s="3" t="str">
        <f t="shared" si="75"/>
        <v/>
      </c>
      <c r="AD293" s="3" t="str">
        <f t="shared" si="76"/>
        <v>0</v>
      </c>
      <c r="AE293" s="3">
        <f t="shared" si="77"/>
        <v>0</v>
      </c>
      <c r="AF293" s="3">
        <f t="shared" si="78"/>
        <v>0</v>
      </c>
      <c r="AM293" s="3" t="str">
        <f t="shared" si="79"/>
        <v/>
      </c>
      <c r="AN293" s="3" t="str">
        <f t="shared" si="80"/>
        <v/>
      </c>
      <c r="AO293" s="3" t="str">
        <f t="shared" si="81"/>
        <v/>
      </c>
      <c r="AP293" s="3">
        <f t="shared" si="82"/>
        <v>0</v>
      </c>
      <c r="AQ293" s="3">
        <f t="shared" si="83"/>
        <v>0</v>
      </c>
      <c r="AR293" s="3">
        <f t="shared" si="89"/>
        <v>0</v>
      </c>
      <c r="AS293" s="3" t="e">
        <f t="shared" si="90"/>
        <v>#REF!</v>
      </c>
      <c r="AT293" s="3" t="str">
        <f t="shared" si="84"/>
        <v/>
      </c>
      <c r="AU293" s="3">
        <f t="shared" si="85"/>
        <v>0</v>
      </c>
      <c r="AV293" s="3">
        <f t="shared" si="86"/>
        <v>0</v>
      </c>
      <c r="AW293" s="3">
        <v>578</v>
      </c>
      <c r="AX293" s="3" t="e">
        <f>IF(AND(#REF!="N",OR(AW293=$AX$1,AW293=$AX$2,AW293=$AX$3,AW293=$AX$4,AW293=$AY$1,AW293=$AY$2,AW293=$AY$3,AW293=$AY$4)),0,1)</f>
        <v>#REF!</v>
      </c>
    </row>
    <row r="294" spans="2:50" x14ac:dyDescent="0.2">
      <c r="B294" s="4">
        <v>580</v>
      </c>
      <c r="C294" s="208">
        <v>0.95766219694255317</v>
      </c>
      <c r="D294" s="208">
        <v>0.95766219694254628</v>
      </c>
      <c r="E294" s="208">
        <v>0.95766219694254728</v>
      </c>
      <c r="F294" s="209" t="s">
        <v>714</v>
      </c>
      <c r="G294" s="208">
        <v>5.0455174330146457E-2</v>
      </c>
      <c r="H294" s="210">
        <v>0.68965517241379326</v>
      </c>
      <c r="I294" s="208">
        <v>6.6045668754658856E-3</v>
      </c>
      <c r="J294" s="208">
        <v>6.6045668754658379E-3</v>
      </c>
      <c r="K294" s="208">
        <v>6.6045668754658449E-3</v>
      </c>
      <c r="L294" s="208">
        <v>1.1439445390293299E-2</v>
      </c>
      <c r="M294" s="208">
        <v>1.143944539029328E-2</v>
      </c>
      <c r="N294" s="208">
        <v>1.1439445390293302E-2</v>
      </c>
      <c r="O294" s="3">
        <v>240</v>
      </c>
      <c r="P294" s="3">
        <v>240</v>
      </c>
      <c r="Q294" s="3">
        <v>240</v>
      </c>
      <c r="R294" s="4" t="s">
        <v>168</v>
      </c>
      <c r="S294" s="4" t="s">
        <v>168</v>
      </c>
      <c r="T294" s="4">
        <v>145</v>
      </c>
      <c r="U294" s="210"/>
      <c r="V294" s="210">
        <v>0.68965517241379326</v>
      </c>
      <c r="W294" s="3">
        <v>0</v>
      </c>
      <c r="X294" s="3">
        <v>0.68965517241379359</v>
      </c>
      <c r="Y294" s="3">
        <f t="shared" si="87"/>
        <v>1</v>
      </c>
      <c r="Z294" s="3">
        <f t="shared" si="88"/>
        <v>1</v>
      </c>
      <c r="AA294" s="3">
        <f t="shared" si="73"/>
        <v>3.0000000000000293</v>
      </c>
      <c r="AB294" s="3">
        <f t="shared" si="74"/>
        <v>1.5000000000000147</v>
      </c>
      <c r="AC294" s="3">
        <f t="shared" si="75"/>
        <v>7.1343638525565509E-4</v>
      </c>
      <c r="AD294" s="3" t="str">
        <f t="shared" si="76"/>
        <v>1.35705236195654E-07+0.000713368500365207i</v>
      </c>
      <c r="AE294" s="3">
        <f t="shared" si="77"/>
        <v>1.3570523619565399E-7</v>
      </c>
      <c r="AF294" s="3">
        <f t="shared" si="78"/>
        <v>7.1336850036520698E-4</v>
      </c>
      <c r="AM294" s="3" t="str">
        <f t="shared" si="79"/>
        <v>-0.00107015457788349+0.00214030915576699i</v>
      </c>
      <c r="AN294" s="3" t="str">
        <f t="shared" si="80"/>
        <v>3.00000000000003+1.50071343638527i</v>
      </c>
      <c r="AO294" s="3" t="str">
        <f t="shared" si="81"/>
        <v>1.35705236195654E-07+0.000713368500365207i</v>
      </c>
      <c r="AP294" s="3">
        <f t="shared" si="82"/>
        <v>1.3570523619565399E-7</v>
      </c>
      <c r="AQ294" s="3">
        <f t="shared" si="83"/>
        <v>7.1336850036520698E-4</v>
      </c>
      <c r="AR294" s="3">
        <f t="shared" si="89"/>
        <v>1.0833078115826873</v>
      </c>
      <c r="AS294" s="3" t="e">
        <f t="shared" si="90"/>
        <v>#REF!</v>
      </c>
      <c r="AT294" s="3" t="e">
        <f t="shared" si="84"/>
        <v>#REF!</v>
      </c>
      <c r="AU294" s="3" t="e">
        <f t="shared" si="85"/>
        <v>#REF!</v>
      </c>
      <c r="AV294" s="3" t="e">
        <f t="shared" si="86"/>
        <v>#REF!</v>
      </c>
      <c r="AW294" s="3">
        <v>580</v>
      </c>
      <c r="AX294" s="3" t="e">
        <f>IF(AND(#REF!="N",OR(AW294=$AX$1,AW294=$AX$2,AW294=$AX$3,AW294=$AX$4,AW294=$AY$1,AW294=$AY$2,AW294=$AY$3,AW294=$AY$4)),0,1)</f>
        <v>#REF!</v>
      </c>
    </row>
    <row r="295" spans="2:50" x14ac:dyDescent="0.2">
      <c r="B295" s="4">
        <v>582</v>
      </c>
      <c r="C295" s="208">
        <v>4.4194173824159217E-8</v>
      </c>
      <c r="D295" s="208">
        <v>4.4194173824159217E-8</v>
      </c>
      <c r="E295" s="208">
        <v>4.4194173824159217E-8</v>
      </c>
      <c r="F295" s="209" t="s">
        <v>714</v>
      </c>
      <c r="G295" s="208">
        <v>9.2308852477925349E-16</v>
      </c>
      <c r="H295" s="210">
        <v>1.2617393243837441E-14</v>
      </c>
      <c r="I295" s="208">
        <v>5.5761527022592393E-24</v>
      </c>
      <c r="J295" s="208">
        <v>5.5761527022592393E-24</v>
      </c>
      <c r="K295" s="208">
        <v>5.5761527022592393E-24</v>
      </c>
      <c r="L295" s="208">
        <v>0</v>
      </c>
      <c r="M295" s="208">
        <v>0</v>
      </c>
      <c r="N295" s="208">
        <v>0</v>
      </c>
      <c r="O295" s="3">
        <v>360</v>
      </c>
      <c r="P295" s="3">
        <v>360</v>
      </c>
      <c r="Q295" s="3">
        <v>360</v>
      </c>
      <c r="S295" s="4">
        <v>0</v>
      </c>
      <c r="T295" s="4">
        <v>145.5</v>
      </c>
      <c r="U295" s="210"/>
      <c r="V295" s="210">
        <v>1.2617393243837441E-14</v>
      </c>
      <c r="W295" s="3">
        <v>0</v>
      </c>
      <c r="X295" s="3">
        <v>0</v>
      </c>
      <c r="Y295" s="3">
        <f t="shared" si="87"/>
        <v>1</v>
      </c>
      <c r="Z295" s="3">
        <f t="shared" si="88"/>
        <v>1</v>
      </c>
      <c r="AA295" s="3" t="str">
        <f t="shared" si="73"/>
        <v/>
      </c>
      <c r="AB295" s="3" t="str">
        <f t="shared" si="74"/>
        <v/>
      </c>
      <c r="AC295" s="3" t="str">
        <f t="shared" si="75"/>
        <v/>
      </c>
      <c r="AD295" s="3" t="str">
        <f t="shared" si="76"/>
        <v>0</v>
      </c>
      <c r="AE295" s="3">
        <f t="shared" si="77"/>
        <v>0</v>
      </c>
      <c r="AF295" s="3">
        <f t="shared" si="78"/>
        <v>0</v>
      </c>
      <c r="AM295" s="3" t="str">
        <f t="shared" si="79"/>
        <v/>
      </c>
      <c r="AN295" s="3" t="str">
        <f t="shared" si="80"/>
        <v/>
      </c>
      <c r="AO295" s="3" t="str">
        <f t="shared" si="81"/>
        <v/>
      </c>
      <c r="AP295" s="3">
        <f t="shared" si="82"/>
        <v>0</v>
      </c>
      <c r="AQ295" s="3">
        <f t="shared" si="83"/>
        <v>0</v>
      </c>
      <c r="AR295" s="3">
        <f t="shared" si="89"/>
        <v>0</v>
      </c>
      <c r="AS295" s="3" t="e">
        <f t="shared" si="90"/>
        <v>#REF!</v>
      </c>
      <c r="AT295" s="3" t="str">
        <f t="shared" si="84"/>
        <v/>
      </c>
      <c r="AU295" s="3">
        <f t="shared" si="85"/>
        <v>0</v>
      </c>
      <c r="AV295" s="3">
        <f t="shared" si="86"/>
        <v>0</v>
      </c>
      <c r="AW295" s="3">
        <v>582</v>
      </c>
      <c r="AX295" s="3" t="e">
        <f>IF(AND(#REF!="N",OR(AW295=$AX$1,AW295=$AX$2,AW295=$AX$3,AW295=$AX$4,AW295=$AY$1,AW295=$AY$2,AW295=$AY$3,AW295=$AY$4)),0,1)</f>
        <v>#REF!</v>
      </c>
    </row>
    <row r="296" spans="2:50" x14ac:dyDescent="0.2">
      <c r="B296" s="4">
        <v>584</v>
      </c>
      <c r="C296" s="208">
        <v>4.4194173824159217E-8</v>
      </c>
      <c r="D296" s="208">
        <v>4.4194173824159217E-8</v>
      </c>
      <c r="E296" s="208">
        <v>4.4194173824159217E-8</v>
      </c>
      <c r="F296" s="209" t="s">
        <v>714</v>
      </c>
      <c r="G296" s="208">
        <v>3.4082097824166218E-16</v>
      </c>
      <c r="H296" s="210">
        <v>4.6585697826248884E-15</v>
      </c>
      <c r="I296" s="208">
        <v>2.0588164274529995E-24</v>
      </c>
      <c r="J296" s="208">
        <v>2.0588164274529995E-24</v>
      </c>
      <c r="K296" s="208">
        <v>2.0588164274529995E-24</v>
      </c>
      <c r="L296" s="208">
        <v>0</v>
      </c>
      <c r="M296" s="208">
        <v>0</v>
      </c>
      <c r="N296" s="208">
        <v>0</v>
      </c>
      <c r="O296" s="3">
        <v>360</v>
      </c>
      <c r="P296" s="3">
        <v>360</v>
      </c>
      <c r="Q296" s="3">
        <v>360</v>
      </c>
      <c r="S296" s="4">
        <v>0</v>
      </c>
      <c r="T296" s="4">
        <v>146</v>
      </c>
      <c r="U296" s="210"/>
      <c r="V296" s="210">
        <v>4.6585697826248884E-15</v>
      </c>
      <c r="W296" s="3">
        <v>0</v>
      </c>
      <c r="X296" s="3">
        <v>0</v>
      </c>
      <c r="Y296" s="3">
        <f t="shared" si="87"/>
        <v>1</v>
      </c>
      <c r="Z296" s="3">
        <f t="shared" si="88"/>
        <v>1</v>
      </c>
      <c r="AA296" s="3" t="str">
        <f t="shared" si="73"/>
        <v/>
      </c>
      <c r="AB296" s="3" t="str">
        <f t="shared" si="74"/>
        <v/>
      </c>
      <c r="AC296" s="3" t="str">
        <f t="shared" si="75"/>
        <v/>
      </c>
      <c r="AD296" s="3" t="str">
        <f t="shared" si="76"/>
        <v>0</v>
      </c>
      <c r="AE296" s="3">
        <f t="shared" si="77"/>
        <v>0</v>
      </c>
      <c r="AF296" s="3">
        <f t="shared" si="78"/>
        <v>0</v>
      </c>
      <c r="AM296" s="3" t="str">
        <f t="shared" si="79"/>
        <v/>
      </c>
      <c r="AN296" s="3" t="str">
        <f t="shared" si="80"/>
        <v/>
      </c>
      <c r="AO296" s="3" t="str">
        <f t="shared" si="81"/>
        <v/>
      </c>
      <c r="AP296" s="3">
        <f t="shared" si="82"/>
        <v>0</v>
      </c>
      <c r="AQ296" s="3">
        <f t="shared" si="83"/>
        <v>0</v>
      </c>
      <c r="AR296" s="3">
        <f t="shared" si="89"/>
        <v>0</v>
      </c>
      <c r="AS296" s="3" t="e">
        <f t="shared" si="90"/>
        <v>#REF!</v>
      </c>
      <c r="AT296" s="3" t="str">
        <f t="shared" si="84"/>
        <v/>
      </c>
      <c r="AU296" s="3">
        <f t="shared" si="85"/>
        <v>0</v>
      </c>
      <c r="AV296" s="3">
        <f t="shared" si="86"/>
        <v>0</v>
      </c>
      <c r="AW296" s="3">
        <v>584</v>
      </c>
      <c r="AX296" s="3" t="e">
        <f>IF(AND(#REF!="N",OR(AW296=$AX$1,AW296=$AX$2,AW296=$AX$3,AW296=$AX$4,AW296=$AY$1,AW296=$AY$2,AW296=$AY$3,AW296=$AY$4)),0,1)</f>
        <v>#REF!</v>
      </c>
    </row>
    <row r="297" spans="2:50" x14ac:dyDescent="0.2">
      <c r="B297" s="4">
        <v>586</v>
      </c>
      <c r="C297" s="208">
        <v>4.4194173824159217E-8</v>
      </c>
      <c r="D297" s="208">
        <v>4.4194173824159217E-8</v>
      </c>
      <c r="E297" s="208">
        <v>4.4194173824159217E-8</v>
      </c>
      <c r="F297" s="209" t="s">
        <v>714</v>
      </c>
      <c r="G297" s="208">
        <v>3.814296508689884E-16</v>
      </c>
      <c r="H297" s="210">
        <v>5.2136363638845364E-15</v>
      </c>
      <c r="I297" s="208">
        <v>2.3041235172147064E-24</v>
      </c>
      <c r="J297" s="208">
        <v>2.3041235172147064E-24</v>
      </c>
      <c r="K297" s="208">
        <v>2.3041235172147064E-24</v>
      </c>
      <c r="L297" s="208">
        <v>0</v>
      </c>
      <c r="M297" s="208">
        <v>0</v>
      </c>
      <c r="N297" s="208">
        <v>0</v>
      </c>
      <c r="O297" s="3">
        <v>360</v>
      </c>
      <c r="P297" s="3">
        <v>360</v>
      </c>
      <c r="Q297" s="3">
        <v>360</v>
      </c>
      <c r="S297" s="4">
        <v>0</v>
      </c>
      <c r="T297" s="4">
        <v>146.5</v>
      </c>
      <c r="U297" s="210"/>
      <c r="V297" s="210">
        <v>5.2136363638845364E-15</v>
      </c>
      <c r="W297" s="3">
        <v>0</v>
      </c>
      <c r="X297" s="3">
        <v>0</v>
      </c>
      <c r="Y297" s="3">
        <f t="shared" si="87"/>
        <v>1</v>
      </c>
      <c r="Z297" s="3">
        <f t="shared" si="88"/>
        <v>1</v>
      </c>
      <c r="AA297" s="3" t="str">
        <f t="shared" si="73"/>
        <v/>
      </c>
      <c r="AB297" s="3" t="str">
        <f t="shared" si="74"/>
        <v/>
      </c>
      <c r="AC297" s="3" t="str">
        <f t="shared" si="75"/>
        <v/>
      </c>
      <c r="AD297" s="3" t="str">
        <f t="shared" si="76"/>
        <v>0</v>
      </c>
      <c r="AE297" s="3">
        <f t="shared" si="77"/>
        <v>0</v>
      </c>
      <c r="AF297" s="3">
        <f t="shared" si="78"/>
        <v>0</v>
      </c>
      <c r="AM297" s="3" t="str">
        <f t="shared" si="79"/>
        <v/>
      </c>
      <c r="AN297" s="3" t="str">
        <f t="shared" si="80"/>
        <v/>
      </c>
      <c r="AO297" s="3" t="str">
        <f t="shared" si="81"/>
        <v/>
      </c>
      <c r="AP297" s="3">
        <f t="shared" si="82"/>
        <v>0</v>
      </c>
      <c r="AQ297" s="3">
        <f t="shared" si="83"/>
        <v>0</v>
      </c>
      <c r="AR297" s="3">
        <f t="shared" si="89"/>
        <v>0</v>
      </c>
      <c r="AS297" s="3" t="e">
        <f t="shared" si="90"/>
        <v>#REF!</v>
      </c>
      <c r="AT297" s="3" t="str">
        <f t="shared" si="84"/>
        <v/>
      </c>
      <c r="AU297" s="3">
        <f t="shared" si="85"/>
        <v>0</v>
      </c>
      <c r="AV297" s="3">
        <f t="shared" si="86"/>
        <v>0</v>
      </c>
      <c r="AW297" s="3">
        <v>586</v>
      </c>
      <c r="AX297" s="3" t="e">
        <f>IF(AND(#REF!="N",OR(AW297=$AX$1,AW297=$AX$2,AW297=$AX$3,AW297=$AX$4,AW297=$AY$1,AW297=$AY$2,AW297=$AY$3,AW297=$AY$4)),0,1)</f>
        <v>#REF!</v>
      </c>
    </row>
    <row r="298" spans="2:50" x14ac:dyDescent="0.2">
      <c r="B298" s="4">
        <v>588</v>
      </c>
      <c r="C298" s="208">
        <v>0.65328148243817497</v>
      </c>
      <c r="D298" s="208">
        <v>0.6532814824381914</v>
      </c>
      <c r="E298" s="208">
        <v>0.6532814824381884</v>
      </c>
      <c r="F298" s="209" t="s">
        <v>714</v>
      </c>
      <c r="G298" s="208">
        <v>7.2721301692425686E-16</v>
      </c>
      <c r="H298" s="210">
        <v>9.9400353923422335E-15</v>
      </c>
      <c r="I298" s="208">
        <v>6.4936410565972602E-17</v>
      </c>
      <c r="J298" s="208">
        <v>6.4936410565974241E-17</v>
      </c>
      <c r="K298" s="208">
        <v>6.4936410565973945E-17</v>
      </c>
      <c r="L298" s="208">
        <v>1.6564996785084759E-30</v>
      </c>
      <c r="M298" s="208">
        <v>2.6152829531638659E-30</v>
      </c>
      <c r="N298" s="208">
        <v>1.1073523070749358E-30</v>
      </c>
      <c r="O298" s="3">
        <v>0</v>
      </c>
      <c r="P298" s="3">
        <v>360</v>
      </c>
      <c r="Q298" s="3">
        <v>0</v>
      </c>
      <c r="S298" s="4">
        <v>0</v>
      </c>
      <c r="T298" s="4">
        <v>147</v>
      </c>
      <c r="U298" s="210"/>
      <c r="V298" s="210">
        <v>9.9400353923422335E-15</v>
      </c>
      <c r="W298" s="3">
        <v>0</v>
      </c>
      <c r="X298" s="3">
        <v>0</v>
      </c>
      <c r="Y298" s="3">
        <f t="shared" si="87"/>
        <v>1</v>
      </c>
      <c r="Z298" s="3">
        <f t="shared" si="88"/>
        <v>1</v>
      </c>
      <c r="AA298" s="3" t="str">
        <f t="shared" si="73"/>
        <v/>
      </c>
      <c r="AB298" s="3" t="str">
        <f t="shared" si="74"/>
        <v/>
      </c>
      <c r="AC298" s="3" t="str">
        <f t="shared" si="75"/>
        <v/>
      </c>
      <c r="AD298" s="3" t="str">
        <f t="shared" si="76"/>
        <v>0</v>
      </c>
      <c r="AE298" s="3">
        <f t="shared" si="77"/>
        <v>0</v>
      </c>
      <c r="AF298" s="3">
        <f t="shared" si="78"/>
        <v>0</v>
      </c>
      <c r="AM298" s="3" t="str">
        <f t="shared" si="79"/>
        <v/>
      </c>
      <c r="AN298" s="3" t="str">
        <f t="shared" si="80"/>
        <v/>
      </c>
      <c r="AO298" s="3" t="str">
        <f t="shared" si="81"/>
        <v/>
      </c>
      <c r="AP298" s="3">
        <f t="shared" si="82"/>
        <v>0</v>
      </c>
      <c r="AQ298" s="3">
        <f t="shared" si="83"/>
        <v>0</v>
      </c>
      <c r="AR298" s="3">
        <f t="shared" si="89"/>
        <v>0</v>
      </c>
      <c r="AS298" s="3" t="e">
        <f t="shared" si="90"/>
        <v>#REF!</v>
      </c>
      <c r="AT298" s="3" t="str">
        <f t="shared" si="84"/>
        <v/>
      </c>
      <c r="AU298" s="3">
        <f t="shared" si="85"/>
        <v>0</v>
      </c>
      <c r="AV298" s="3">
        <f t="shared" si="86"/>
        <v>0</v>
      </c>
      <c r="AW298" s="3">
        <v>588</v>
      </c>
      <c r="AX298" s="3" t="e">
        <f>IF(AND(#REF!="N",OR(AW298=$AX$1,AW298=$AX$2,AW298=$AX$3,AW298=$AX$4,AW298=$AY$1,AW298=$AY$2,AW298=$AY$3,AW298=$AY$4)),0,1)</f>
        <v>#REF!</v>
      </c>
    </row>
    <row r="299" spans="2:50" x14ac:dyDescent="0.2">
      <c r="B299" s="4">
        <v>590</v>
      </c>
      <c r="C299" s="208">
        <v>4.4194173824159217E-8</v>
      </c>
      <c r="D299" s="208">
        <v>4.4194173824159217E-8</v>
      </c>
      <c r="E299" s="208">
        <v>4.4194173824159217E-8</v>
      </c>
      <c r="F299" s="209" t="s">
        <v>714</v>
      </c>
      <c r="G299" s="208">
        <v>6.1030089274052666E-16</v>
      </c>
      <c r="H299" s="210">
        <v>8.3420020442933659E-15</v>
      </c>
      <c r="I299" s="208">
        <v>3.6866788838699251E-24</v>
      </c>
      <c r="J299" s="208">
        <v>3.6866788838699251E-24</v>
      </c>
      <c r="K299" s="208">
        <v>3.6866788838699251E-24</v>
      </c>
      <c r="L299" s="208">
        <v>0</v>
      </c>
      <c r="M299" s="208">
        <v>0</v>
      </c>
      <c r="N299" s="208">
        <v>0</v>
      </c>
      <c r="O299" s="3">
        <v>360</v>
      </c>
      <c r="P299" s="3">
        <v>360</v>
      </c>
      <c r="Q299" s="3">
        <v>360</v>
      </c>
      <c r="S299" s="4">
        <v>0</v>
      </c>
      <c r="T299" s="4">
        <v>147.5</v>
      </c>
      <c r="U299" s="210"/>
      <c r="V299" s="210">
        <v>8.3420020442933659E-15</v>
      </c>
      <c r="W299" s="3">
        <v>0</v>
      </c>
      <c r="X299" s="3">
        <v>0</v>
      </c>
      <c r="Y299" s="3">
        <f t="shared" si="87"/>
        <v>1</v>
      </c>
      <c r="Z299" s="3">
        <f t="shared" si="88"/>
        <v>1</v>
      </c>
      <c r="AA299" s="3" t="str">
        <f t="shared" si="73"/>
        <v/>
      </c>
      <c r="AB299" s="3" t="str">
        <f t="shared" si="74"/>
        <v/>
      </c>
      <c r="AC299" s="3" t="str">
        <f t="shared" si="75"/>
        <v/>
      </c>
      <c r="AD299" s="3" t="str">
        <f t="shared" si="76"/>
        <v>0</v>
      </c>
      <c r="AE299" s="3">
        <f t="shared" si="77"/>
        <v>0</v>
      </c>
      <c r="AF299" s="3">
        <f t="shared" si="78"/>
        <v>0</v>
      </c>
      <c r="AM299" s="3" t="str">
        <f t="shared" si="79"/>
        <v/>
      </c>
      <c r="AN299" s="3" t="str">
        <f t="shared" si="80"/>
        <v/>
      </c>
      <c r="AO299" s="3" t="str">
        <f t="shared" si="81"/>
        <v/>
      </c>
      <c r="AP299" s="3">
        <f t="shared" si="82"/>
        <v>0</v>
      </c>
      <c r="AQ299" s="3">
        <f t="shared" si="83"/>
        <v>0</v>
      </c>
      <c r="AR299" s="3">
        <f t="shared" si="89"/>
        <v>0</v>
      </c>
      <c r="AS299" s="3" t="e">
        <f t="shared" si="90"/>
        <v>#REF!</v>
      </c>
      <c r="AT299" s="3" t="str">
        <f t="shared" si="84"/>
        <v/>
      </c>
      <c r="AU299" s="3">
        <f t="shared" si="85"/>
        <v>0</v>
      </c>
      <c r="AV299" s="3">
        <f t="shared" si="86"/>
        <v>0</v>
      </c>
      <c r="AW299" s="3">
        <v>590</v>
      </c>
      <c r="AX299" s="3" t="e">
        <f>IF(AND(#REF!="N",OR(AW299=$AX$1,AW299=$AX$2,AW299=$AX$3,AW299=$AX$4,AW299=$AY$1,AW299=$AY$2,AW299=$AY$3,AW299=$AY$4)),0,1)</f>
        <v>#REF!</v>
      </c>
    </row>
    <row r="300" spans="2:50" x14ac:dyDescent="0.2">
      <c r="B300" s="4">
        <v>592</v>
      </c>
      <c r="C300" s="208">
        <v>4.4194173824159217E-8</v>
      </c>
      <c r="D300" s="208">
        <v>4.4194173824159217E-8</v>
      </c>
      <c r="E300" s="208">
        <v>4.4194173824159217E-8</v>
      </c>
      <c r="F300" s="209" t="s">
        <v>714</v>
      </c>
      <c r="G300" s="208">
        <v>6.2604952291320098E-16</v>
      </c>
      <c r="H300" s="210">
        <v>8.5572648870287511E-15</v>
      </c>
      <c r="I300" s="208">
        <v>3.7818125187672284E-24</v>
      </c>
      <c r="J300" s="208">
        <v>3.7818125187672284E-24</v>
      </c>
      <c r="K300" s="208">
        <v>3.7818125187672284E-24</v>
      </c>
      <c r="L300" s="208">
        <v>0</v>
      </c>
      <c r="M300" s="208">
        <v>0</v>
      </c>
      <c r="N300" s="208">
        <v>0</v>
      </c>
      <c r="O300" s="3">
        <v>360</v>
      </c>
      <c r="P300" s="3">
        <v>360</v>
      </c>
      <c r="Q300" s="3">
        <v>360</v>
      </c>
      <c r="S300" s="4">
        <v>0</v>
      </c>
      <c r="T300" s="4">
        <v>148</v>
      </c>
      <c r="U300" s="210"/>
      <c r="V300" s="210">
        <v>8.5572648870287511E-15</v>
      </c>
      <c r="W300" s="3">
        <v>0</v>
      </c>
      <c r="X300" s="3">
        <v>0</v>
      </c>
      <c r="Y300" s="3">
        <f t="shared" si="87"/>
        <v>1</v>
      </c>
      <c r="Z300" s="3">
        <f t="shared" si="88"/>
        <v>1</v>
      </c>
      <c r="AA300" s="3" t="str">
        <f t="shared" si="73"/>
        <v/>
      </c>
      <c r="AB300" s="3" t="str">
        <f t="shared" si="74"/>
        <v/>
      </c>
      <c r="AC300" s="3" t="str">
        <f t="shared" si="75"/>
        <v/>
      </c>
      <c r="AD300" s="3" t="str">
        <f t="shared" si="76"/>
        <v>0</v>
      </c>
      <c r="AE300" s="3">
        <f t="shared" si="77"/>
        <v>0</v>
      </c>
      <c r="AF300" s="3">
        <f t="shared" si="78"/>
        <v>0</v>
      </c>
      <c r="AM300" s="3" t="str">
        <f t="shared" si="79"/>
        <v/>
      </c>
      <c r="AN300" s="3" t="str">
        <f t="shared" si="80"/>
        <v/>
      </c>
      <c r="AO300" s="3" t="str">
        <f t="shared" si="81"/>
        <v/>
      </c>
      <c r="AP300" s="3">
        <f t="shared" si="82"/>
        <v>0</v>
      </c>
      <c r="AQ300" s="3">
        <f t="shared" si="83"/>
        <v>0</v>
      </c>
      <c r="AR300" s="3">
        <f t="shared" si="89"/>
        <v>0</v>
      </c>
      <c r="AS300" s="3" t="e">
        <f t="shared" si="90"/>
        <v>#REF!</v>
      </c>
      <c r="AT300" s="3" t="str">
        <f t="shared" si="84"/>
        <v/>
      </c>
      <c r="AU300" s="3">
        <f t="shared" si="85"/>
        <v>0</v>
      </c>
      <c r="AV300" s="3">
        <f t="shared" si="86"/>
        <v>0</v>
      </c>
      <c r="AW300" s="3">
        <v>592</v>
      </c>
      <c r="AX300" s="3" t="e">
        <f>IF(AND(#REF!="N",OR(AW300=$AX$1,AW300=$AX$2,AW300=$AX$3,AW300=$AX$4,AW300=$AY$1,AW300=$AY$2,AW300=$AY$3,AW300=$AY$4)),0,1)</f>
        <v>#REF!</v>
      </c>
    </row>
    <row r="301" spans="2:50" x14ac:dyDescent="0.2">
      <c r="B301" s="4">
        <v>594</v>
      </c>
      <c r="C301" s="208">
        <v>4.4194173824159217E-8</v>
      </c>
      <c r="D301" s="208">
        <v>4.4194173824159217E-8</v>
      </c>
      <c r="E301" s="208">
        <v>4.4194173824159217E-8</v>
      </c>
      <c r="F301" s="209" t="s">
        <v>714</v>
      </c>
      <c r="G301" s="208">
        <v>8.0675794941360162E-16</v>
      </c>
      <c r="H301" s="210">
        <v>1.1027308895187019E-14</v>
      </c>
      <c r="I301" s="208">
        <v>4.873428061265922E-24</v>
      </c>
      <c r="J301" s="208">
        <v>4.873428061265922E-24</v>
      </c>
      <c r="K301" s="208">
        <v>4.873428061265922E-24</v>
      </c>
      <c r="L301" s="208">
        <v>0</v>
      </c>
      <c r="M301" s="208">
        <v>0</v>
      </c>
      <c r="N301" s="208">
        <v>0</v>
      </c>
      <c r="O301" s="3">
        <v>360</v>
      </c>
      <c r="P301" s="3">
        <v>360</v>
      </c>
      <c r="Q301" s="3">
        <v>360</v>
      </c>
      <c r="S301" s="4">
        <v>0</v>
      </c>
      <c r="T301" s="4">
        <v>148.5</v>
      </c>
      <c r="U301" s="210"/>
      <c r="V301" s="210">
        <v>1.1027308895187019E-14</v>
      </c>
      <c r="W301" s="3">
        <v>0</v>
      </c>
      <c r="X301" s="3">
        <v>0</v>
      </c>
      <c r="Y301" s="3">
        <f t="shared" si="87"/>
        <v>1</v>
      </c>
      <c r="Z301" s="3">
        <f t="shared" si="88"/>
        <v>1</v>
      </c>
      <c r="AA301" s="3" t="str">
        <f t="shared" si="73"/>
        <v/>
      </c>
      <c r="AB301" s="3" t="str">
        <f t="shared" si="74"/>
        <v/>
      </c>
      <c r="AC301" s="3" t="str">
        <f t="shared" si="75"/>
        <v/>
      </c>
      <c r="AD301" s="3" t="str">
        <f t="shared" si="76"/>
        <v>0</v>
      </c>
      <c r="AE301" s="3">
        <f t="shared" si="77"/>
        <v>0</v>
      </c>
      <c r="AF301" s="3">
        <f t="shared" si="78"/>
        <v>0</v>
      </c>
      <c r="AM301" s="3" t="str">
        <f t="shared" si="79"/>
        <v/>
      </c>
      <c r="AN301" s="3" t="str">
        <f t="shared" si="80"/>
        <v/>
      </c>
      <c r="AO301" s="3" t="str">
        <f t="shared" si="81"/>
        <v/>
      </c>
      <c r="AP301" s="3">
        <f t="shared" si="82"/>
        <v>0</v>
      </c>
      <c r="AQ301" s="3">
        <f t="shared" si="83"/>
        <v>0</v>
      </c>
      <c r="AR301" s="3">
        <f t="shared" si="89"/>
        <v>0</v>
      </c>
      <c r="AS301" s="3" t="e">
        <f t="shared" si="90"/>
        <v>#REF!</v>
      </c>
      <c r="AT301" s="3" t="str">
        <f t="shared" si="84"/>
        <v/>
      </c>
      <c r="AU301" s="3">
        <f t="shared" si="85"/>
        <v>0</v>
      </c>
      <c r="AV301" s="3">
        <f t="shared" si="86"/>
        <v>0</v>
      </c>
      <c r="AW301" s="3">
        <v>594</v>
      </c>
      <c r="AX301" s="3" t="e">
        <f>IF(AND(#REF!="N",OR(AW301=$AX$1,AW301=$AX$2,AW301=$AX$3,AW301=$AX$4,AW301=$AY$1,AW301=$AY$2,AW301=$AY$3,AW301=$AY$4)),0,1)</f>
        <v>#REF!</v>
      </c>
    </row>
    <row r="302" spans="2:50" x14ac:dyDescent="0.2">
      <c r="B302" s="4">
        <v>596</v>
      </c>
      <c r="C302" s="208">
        <v>0.20533495396306342</v>
      </c>
      <c r="D302" s="208">
        <v>0.20533495396307813</v>
      </c>
      <c r="E302" s="208">
        <v>0.20533495396308354</v>
      </c>
      <c r="F302" s="209" t="s">
        <v>714</v>
      </c>
      <c r="G302" s="208">
        <v>1.0527808723576617E-2</v>
      </c>
      <c r="H302" s="210">
        <v>0.14390115259317535</v>
      </c>
      <c r="I302" s="208">
        <v>2.9547936542951425E-4</v>
      </c>
      <c r="J302" s="208">
        <v>2.9547936542953539E-4</v>
      </c>
      <c r="K302" s="208">
        <v>2.954793654295432E-4</v>
      </c>
      <c r="L302" s="208">
        <v>5.1178527351214941E-4</v>
      </c>
      <c r="M302" s="208">
        <v>5.117852735121506E-4</v>
      </c>
      <c r="N302" s="208">
        <v>5.1178527351217532E-4</v>
      </c>
      <c r="O302" s="3">
        <v>120</v>
      </c>
      <c r="P302" s="3">
        <v>120</v>
      </c>
      <c r="Q302" s="3">
        <v>120</v>
      </c>
      <c r="R302" s="4" t="s">
        <v>172</v>
      </c>
      <c r="S302" s="4" t="s">
        <v>172</v>
      </c>
      <c r="T302" s="4">
        <v>149</v>
      </c>
      <c r="U302" s="210"/>
      <c r="V302" s="210">
        <v>0.14390115259317535</v>
      </c>
      <c r="W302" s="3">
        <v>0.14390115259318007</v>
      </c>
      <c r="X302" s="3">
        <v>0</v>
      </c>
      <c r="Y302" s="3">
        <f t="shared" si="87"/>
        <v>1</v>
      </c>
      <c r="Z302" s="3">
        <f t="shared" si="88"/>
        <v>1</v>
      </c>
      <c r="AA302" s="3">
        <f t="shared" si="73"/>
        <v>0.13791844010201992</v>
      </c>
      <c r="AB302" s="3">
        <f t="shared" si="74"/>
        <v>6.8959220051009962E-2</v>
      </c>
      <c r="AC302" s="3">
        <f t="shared" si="75"/>
        <v>3.1061312576465009E-5</v>
      </c>
      <c r="AD302" s="3" t="str">
        <f t="shared" si="76"/>
        <v>5.59537245060109E-09+0.0000310585136300775i</v>
      </c>
      <c r="AE302" s="3">
        <f t="shared" si="77"/>
        <v>5.5953724506010901E-9</v>
      </c>
      <c r="AF302" s="3">
        <f t="shared" si="78"/>
        <v>3.1058513630077502E-5</v>
      </c>
      <c r="AM302" s="3" t="str">
        <f t="shared" si="79"/>
        <v>-2.14196388903365E-06+4.28392777806731E-06i</v>
      </c>
      <c r="AN302" s="3" t="str">
        <f t="shared" si="80"/>
        <v>0.13791844010202+0.0689902813635864i</v>
      </c>
      <c r="AO302" s="3" t="str">
        <f t="shared" si="81"/>
        <v>5.59537245060109E-09+0.0000310585136300775i</v>
      </c>
      <c r="AP302" s="3">
        <f t="shared" si="82"/>
        <v>5.5953724506010901E-9</v>
      </c>
      <c r="AQ302" s="3">
        <f t="shared" si="83"/>
        <v>3.1058513630077502E-5</v>
      </c>
      <c r="AR302" s="3">
        <f t="shared" si="89"/>
        <v>-1.0542257226811387</v>
      </c>
      <c r="AS302" s="3" t="e">
        <f t="shared" si="90"/>
        <v>#REF!</v>
      </c>
      <c r="AT302" s="3" t="e">
        <f t="shared" si="84"/>
        <v>#REF!</v>
      </c>
      <c r="AU302" s="3" t="e">
        <f t="shared" si="85"/>
        <v>#REF!</v>
      </c>
      <c r="AV302" s="3" t="e">
        <f t="shared" si="86"/>
        <v>#REF!</v>
      </c>
      <c r="AW302" s="3">
        <v>596</v>
      </c>
      <c r="AX302" s="3" t="e">
        <f>IF(AND(#REF!="N",OR(AW302=$AX$1,AW302=$AX$2,AW302=$AX$3,AW302=$AX$4,AW302=$AY$1,AW302=$AY$2,AW302=$AY$3,AW302=$AY$4)),0,1)</f>
        <v>#REF!</v>
      </c>
    </row>
    <row r="303" spans="2:50" x14ac:dyDescent="0.2">
      <c r="B303" s="4">
        <v>598</v>
      </c>
      <c r="C303" s="208">
        <v>4.4194173824159217E-8</v>
      </c>
      <c r="D303" s="208">
        <v>4.4194173824159217E-8</v>
      </c>
      <c r="E303" s="208">
        <v>4.4194173824159217E-8</v>
      </c>
      <c r="F303" s="209" t="s">
        <v>714</v>
      </c>
      <c r="G303" s="208">
        <v>2.7981470178707529E-16</v>
      </c>
      <c r="H303" s="210">
        <v>3.8246950677876973E-15</v>
      </c>
      <c r="I303" s="208">
        <v>1.6902923865021391E-24</v>
      </c>
      <c r="J303" s="208">
        <v>1.6902923865021391E-24</v>
      </c>
      <c r="K303" s="208">
        <v>1.6902923865021391E-24</v>
      </c>
      <c r="L303" s="208">
        <v>0</v>
      </c>
      <c r="M303" s="208">
        <v>0</v>
      </c>
      <c r="N303" s="208">
        <v>0</v>
      </c>
      <c r="O303" s="3">
        <v>360</v>
      </c>
      <c r="P303" s="3">
        <v>360</v>
      </c>
      <c r="Q303" s="3">
        <v>360</v>
      </c>
      <c r="S303" s="4">
        <v>0</v>
      </c>
      <c r="T303" s="4">
        <v>149.5</v>
      </c>
      <c r="U303" s="210"/>
      <c r="V303" s="210">
        <v>3.8246950677876965E-15</v>
      </c>
      <c r="W303" s="3">
        <v>0</v>
      </c>
      <c r="X303" s="3">
        <v>0</v>
      </c>
      <c r="Y303" s="3">
        <f t="shared" si="87"/>
        <v>1</v>
      </c>
      <c r="Z303" s="3">
        <f t="shared" si="88"/>
        <v>1</v>
      </c>
      <c r="AA303" s="3" t="str">
        <f t="shared" si="73"/>
        <v/>
      </c>
      <c r="AB303" s="3" t="str">
        <f t="shared" si="74"/>
        <v/>
      </c>
      <c r="AC303" s="3" t="str">
        <f t="shared" si="75"/>
        <v/>
      </c>
      <c r="AD303" s="3" t="str">
        <f t="shared" si="76"/>
        <v>0</v>
      </c>
      <c r="AE303" s="3">
        <f t="shared" si="77"/>
        <v>0</v>
      </c>
      <c r="AF303" s="3">
        <f t="shared" si="78"/>
        <v>0</v>
      </c>
      <c r="AM303" s="3" t="str">
        <f t="shared" si="79"/>
        <v/>
      </c>
      <c r="AN303" s="3" t="str">
        <f t="shared" si="80"/>
        <v/>
      </c>
      <c r="AO303" s="3" t="str">
        <f t="shared" si="81"/>
        <v/>
      </c>
      <c r="AP303" s="3">
        <f t="shared" si="82"/>
        <v>0</v>
      </c>
      <c r="AQ303" s="3">
        <f t="shared" si="83"/>
        <v>0</v>
      </c>
      <c r="AR303" s="3">
        <f t="shared" si="89"/>
        <v>0</v>
      </c>
      <c r="AS303" s="3" t="e">
        <f t="shared" si="90"/>
        <v>#REF!</v>
      </c>
      <c r="AT303" s="3" t="str">
        <f t="shared" si="84"/>
        <v/>
      </c>
      <c r="AU303" s="3">
        <f t="shared" si="85"/>
        <v>0</v>
      </c>
      <c r="AV303" s="3">
        <f t="shared" si="86"/>
        <v>0</v>
      </c>
      <c r="AW303" s="3">
        <v>598</v>
      </c>
      <c r="AX303" s="3" t="e">
        <f>IF(AND(#REF!="N",OR(AW303=$AX$1,AW303=$AX$2,AW303=$AX$3,AW303=$AX$4,AW303=$AY$1,AW303=$AY$2,AW303=$AY$3,AW303=$AY$4)),0,1)</f>
        <v>#REF!</v>
      </c>
    </row>
    <row r="304" spans="2:50" x14ac:dyDescent="0.2">
      <c r="B304" s="4">
        <v>600</v>
      </c>
      <c r="C304" s="208">
        <v>4.4194173824159217E-8</v>
      </c>
      <c r="D304" s="208">
        <v>4.4194173824159217E-8</v>
      </c>
      <c r="E304" s="208">
        <v>4.4194173824159217E-8</v>
      </c>
      <c r="F304" s="209" t="s">
        <v>714</v>
      </c>
      <c r="G304" s="208">
        <v>4.7321656028217106E-16</v>
      </c>
      <c r="H304" s="210">
        <v>6.4682414202950901E-15</v>
      </c>
      <c r="I304" s="208">
        <v>2.8585858566514771E-24</v>
      </c>
      <c r="J304" s="208">
        <v>2.8585858566514771E-24</v>
      </c>
      <c r="K304" s="208">
        <v>2.8585858566514771E-24</v>
      </c>
      <c r="L304" s="208">
        <v>0</v>
      </c>
      <c r="M304" s="208">
        <v>0</v>
      </c>
      <c r="N304" s="208">
        <v>0</v>
      </c>
      <c r="O304" s="3">
        <v>360</v>
      </c>
      <c r="P304" s="3">
        <v>360</v>
      </c>
      <c r="Q304" s="3">
        <v>360</v>
      </c>
      <c r="S304" s="4">
        <v>0</v>
      </c>
      <c r="T304" s="4">
        <v>150</v>
      </c>
      <c r="U304" s="210"/>
      <c r="V304" s="210">
        <v>6.4682414202950901E-15</v>
      </c>
      <c r="W304" s="3">
        <v>0</v>
      </c>
      <c r="X304" s="3">
        <v>0</v>
      </c>
      <c r="Y304" s="3">
        <f t="shared" si="87"/>
        <v>1</v>
      </c>
      <c r="Z304" s="3">
        <f t="shared" si="88"/>
        <v>1</v>
      </c>
      <c r="AA304" s="3" t="str">
        <f t="shared" si="73"/>
        <v/>
      </c>
      <c r="AB304" s="3" t="str">
        <f t="shared" si="74"/>
        <v/>
      </c>
      <c r="AC304" s="3" t="str">
        <f t="shared" si="75"/>
        <v/>
      </c>
      <c r="AD304" s="3" t="str">
        <f t="shared" si="76"/>
        <v>0</v>
      </c>
      <c r="AE304" s="3">
        <f t="shared" si="77"/>
        <v>0</v>
      </c>
      <c r="AF304" s="3">
        <f t="shared" si="78"/>
        <v>0</v>
      </c>
      <c r="AM304" s="3" t="str">
        <f t="shared" si="79"/>
        <v/>
      </c>
      <c r="AN304" s="3" t="str">
        <f t="shared" si="80"/>
        <v/>
      </c>
      <c r="AO304" s="3" t="str">
        <f t="shared" si="81"/>
        <v/>
      </c>
      <c r="AP304" s="3">
        <f t="shared" si="82"/>
        <v>0</v>
      </c>
      <c r="AQ304" s="3">
        <f t="shared" si="83"/>
        <v>0</v>
      </c>
      <c r="AR304" s="3">
        <f t="shared" si="89"/>
        <v>0</v>
      </c>
      <c r="AS304" s="3" t="e">
        <f t="shared" si="90"/>
        <v>#REF!</v>
      </c>
      <c r="AT304" s="3" t="str">
        <f t="shared" si="84"/>
        <v/>
      </c>
      <c r="AU304" s="3">
        <f t="shared" si="85"/>
        <v>0</v>
      </c>
      <c r="AV304" s="3">
        <f t="shared" si="86"/>
        <v>0</v>
      </c>
      <c r="AW304" s="3">
        <v>600</v>
      </c>
      <c r="AX304" s="3" t="e">
        <f>IF(AND(#REF!="N",OR(AW304=$AX$1,AW304=$AX$2,AW304=$AX$3,AW304=$AX$4,AW304=$AY$1,AW304=$AY$2,AW304=$AY$3,AW304=$AY$4)),0,1)</f>
        <v>#REF!</v>
      </c>
    </row>
    <row r="305" spans="2:50" x14ac:dyDescent="0.2">
      <c r="B305" s="4">
        <v>602</v>
      </c>
      <c r="C305" s="208">
        <v>4.4194173824159217E-8</v>
      </c>
      <c r="D305" s="208">
        <v>4.4194173824159217E-8</v>
      </c>
      <c r="E305" s="208">
        <v>4.4194173824159217E-8</v>
      </c>
      <c r="F305" s="209" t="s">
        <v>714</v>
      </c>
      <c r="G305" s="208">
        <v>3.4072635161097282E-16</v>
      </c>
      <c r="H305" s="210">
        <v>4.6572763623529454E-15</v>
      </c>
      <c r="I305" s="208">
        <v>2.0582448110497399E-24</v>
      </c>
      <c r="J305" s="208">
        <v>2.0582448110497399E-24</v>
      </c>
      <c r="K305" s="208">
        <v>2.0582448110497399E-24</v>
      </c>
      <c r="L305" s="208">
        <v>0</v>
      </c>
      <c r="M305" s="208">
        <v>0</v>
      </c>
      <c r="N305" s="208">
        <v>0</v>
      </c>
      <c r="O305" s="3">
        <v>360</v>
      </c>
      <c r="P305" s="3">
        <v>360</v>
      </c>
      <c r="Q305" s="3">
        <v>360</v>
      </c>
      <c r="S305" s="4">
        <v>0</v>
      </c>
      <c r="T305" s="4">
        <v>150.5</v>
      </c>
      <c r="U305" s="210"/>
      <c r="V305" s="210">
        <v>4.6572763623529454E-15</v>
      </c>
      <c r="W305" s="3">
        <v>0</v>
      </c>
      <c r="X305" s="3">
        <v>0</v>
      </c>
      <c r="Y305" s="3">
        <f t="shared" si="87"/>
        <v>1</v>
      </c>
      <c r="Z305" s="3">
        <f t="shared" si="88"/>
        <v>1</v>
      </c>
      <c r="AA305" s="3" t="str">
        <f t="shared" si="73"/>
        <v/>
      </c>
      <c r="AB305" s="3" t="str">
        <f t="shared" si="74"/>
        <v/>
      </c>
      <c r="AC305" s="3" t="str">
        <f t="shared" si="75"/>
        <v/>
      </c>
      <c r="AD305" s="3" t="str">
        <f t="shared" si="76"/>
        <v>0</v>
      </c>
      <c r="AE305" s="3">
        <f t="shared" si="77"/>
        <v>0</v>
      </c>
      <c r="AF305" s="3">
        <f t="shared" si="78"/>
        <v>0</v>
      </c>
      <c r="AM305" s="3" t="str">
        <f t="shared" si="79"/>
        <v/>
      </c>
      <c r="AN305" s="3" t="str">
        <f t="shared" si="80"/>
        <v/>
      </c>
      <c r="AO305" s="3" t="str">
        <f t="shared" si="81"/>
        <v/>
      </c>
      <c r="AP305" s="3">
        <f t="shared" si="82"/>
        <v>0</v>
      </c>
      <c r="AQ305" s="3">
        <f t="shared" si="83"/>
        <v>0</v>
      </c>
      <c r="AR305" s="3">
        <f t="shared" si="89"/>
        <v>0</v>
      </c>
      <c r="AS305" s="3" t="e">
        <f t="shared" si="90"/>
        <v>#REF!</v>
      </c>
      <c r="AT305" s="3" t="str">
        <f t="shared" si="84"/>
        <v/>
      </c>
      <c r="AU305" s="3">
        <f t="shared" si="85"/>
        <v>0</v>
      </c>
      <c r="AV305" s="3">
        <f t="shared" si="86"/>
        <v>0</v>
      </c>
      <c r="AW305" s="3">
        <v>602</v>
      </c>
      <c r="AX305" s="3" t="e">
        <f>IF(AND(#REF!="N",OR(AW305=$AX$1,AW305=$AX$2,AW305=$AX$3,AW305=$AX$4,AW305=$AY$1,AW305=$AY$2,AW305=$AY$3,AW305=$AY$4)),0,1)</f>
        <v>#REF!</v>
      </c>
    </row>
    <row r="306" spans="2:50" x14ac:dyDescent="0.2">
      <c r="B306" s="4">
        <v>604</v>
      </c>
      <c r="C306" s="208">
        <v>0.15755905175127802</v>
      </c>
      <c r="D306" s="208">
        <v>0.15755905175127699</v>
      </c>
      <c r="E306" s="208">
        <v>0.1575590517512791</v>
      </c>
      <c r="F306" s="209" t="s">
        <v>714</v>
      </c>
      <c r="G306" s="208">
        <v>7.9712747809549036E-3</v>
      </c>
      <c r="H306" s="210">
        <v>0.10895673152262833</v>
      </c>
      <c r="I306" s="208">
        <v>1.7167119300623901E-4</v>
      </c>
      <c r="J306" s="208">
        <v>1.7167119300623789E-4</v>
      </c>
      <c r="K306" s="208">
        <v>1.716711930062402E-4</v>
      </c>
      <c r="L306" s="208">
        <v>2.9734322848277365E-4</v>
      </c>
      <c r="M306" s="208">
        <v>2.973432284827601E-4</v>
      </c>
      <c r="N306" s="208">
        <v>2.97343228482773E-4</v>
      </c>
      <c r="O306" s="3">
        <v>240</v>
      </c>
      <c r="P306" s="3">
        <v>240</v>
      </c>
      <c r="Q306" s="3">
        <v>240</v>
      </c>
      <c r="R306" s="4" t="s">
        <v>168</v>
      </c>
      <c r="S306" s="4" t="s">
        <v>168</v>
      </c>
      <c r="T306" s="4">
        <v>151</v>
      </c>
      <c r="U306" s="210"/>
      <c r="V306" s="210">
        <v>0.10895673152262833</v>
      </c>
      <c r="W306" s="3">
        <v>0</v>
      </c>
      <c r="X306" s="3">
        <v>0.10895673152262984</v>
      </c>
      <c r="Y306" s="3">
        <f t="shared" si="87"/>
        <v>1</v>
      </c>
      <c r="Z306" s="3">
        <f t="shared" si="88"/>
        <v>1</v>
      </c>
      <c r="AA306" s="3">
        <f t="shared" si="73"/>
        <v>8.1205095784409112E-2</v>
      </c>
      <c r="AB306" s="3">
        <f t="shared" si="74"/>
        <v>4.0602547892204556E-2</v>
      </c>
      <c r="AC306" s="3">
        <f t="shared" si="75"/>
        <v>1.7807354016141642E-5</v>
      </c>
      <c r="AD306" s="3" t="str">
        <f t="shared" si="76"/>
        <v>3.12341211684673E-09+0.0000178057916251544i</v>
      </c>
      <c r="AE306" s="3">
        <f t="shared" si="77"/>
        <v>3.12341211684673E-9</v>
      </c>
      <c r="AF306" s="3">
        <f t="shared" si="78"/>
        <v>1.7805791625154402E-5</v>
      </c>
      <c r="AM306" s="3" t="str">
        <f t="shared" si="79"/>
        <v>-7.23023944273831E-07+1.44604788854766E-06i</v>
      </c>
      <c r="AN306" s="3" t="str">
        <f t="shared" si="80"/>
        <v>0.0812050957844091+0.0406203552462207i</v>
      </c>
      <c r="AO306" s="3" t="str">
        <f t="shared" si="81"/>
        <v>3.12341211684673E-09+0.0000178057916251544i</v>
      </c>
      <c r="AP306" s="3">
        <f t="shared" si="82"/>
        <v>3.12341211684673E-9</v>
      </c>
      <c r="AQ306" s="3">
        <f t="shared" si="83"/>
        <v>1.7805791625154402E-5</v>
      </c>
      <c r="AR306" s="3">
        <f t="shared" si="89"/>
        <v>1.0402624680760906</v>
      </c>
      <c r="AS306" s="3" t="e">
        <f t="shared" si="90"/>
        <v>#REF!</v>
      </c>
      <c r="AT306" s="3" t="e">
        <f t="shared" si="84"/>
        <v>#REF!</v>
      </c>
      <c r="AU306" s="3" t="e">
        <f t="shared" si="85"/>
        <v>#REF!</v>
      </c>
      <c r="AV306" s="3" t="e">
        <f t="shared" si="86"/>
        <v>#REF!</v>
      </c>
      <c r="AW306" s="3">
        <v>604</v>
      </c>
      <c r="AX306" s="3" t="e">
        <f>IF(AND(#REF!="N",OR(AW306=$AX$1,AW306=$AX$2,AW306=$AX$3,AW306=$AX$4,AW306=$AY$1,AW306=$AY$2,AW306=$AY$3,AW306=$AY$4)),0,1)</f>
        <v>#REF!</v>
      </c>
    </row>
    <row r="307" spans="2:50" x14ac:dyDescent="0.2">
      <c r="B307" s="4">
        <v>606</v>
      </c>
      <c r="C307" s="208">
        <v>4.4194173824159217E-8</v>
      </c>
      <c r="D307" s="208">
        <v>4.4194173824159217E-8</v>
      </c>
      <c r="E307" s="208">
        <v>4.4194173824159217E-8</v>
      </c>
      <c r="F307" s="209" t="s">
        <v>714</v>
      </c>
      <c r="G307" s="208">
        <v>5.6962253124681873E-16</v>
      </c>
      <c r="H307" s="210">
        <v>7.7859829088547284E-15</v>
      </c>
      <c r="I307" s="208">
        <v>3.4409508206585866E-24</v>
      </c>
      <c r="J307" s="208">
        <v>3.4409508206585866E-24</v>
      </c>
      <c r="K307" s="208">
        <v>3.4409508206585866E-24</v>
      </c>
      <c r="L307" s="208">
        <v>0</v>
      </c>
      <c r="M307" s="208">
        <v>0</v>
      </c>
      <c r="N307" s="208">
        <v>0</v>
      </c>
      <c r="O307" s="3">
        <v>360</v>
      </c>
      <c r="P307" s="3">
        <v>360</v>
      </c>
      <c r="Q307" s="3">
        <v>360</v>
      </c>
      <c r="S307" s="4">
        <v>0</v>
      </c>
      <c r="T307" s="4">
        <v>151.5</v>
      </c>
      <c r="U307" s="210"/>
      <c r="V307" s="210">
        <v>7.7859829088547284E-15</v>
      </c>
      <c r="W307" s="3">
        <v>0</v>
      </c>
      <c r="X307" s="3">
        <v>0</v>
      </c>
      <c r="Y307" s="3">
        <f t="shared" si="87"/>
        <v>1</v>
      </c>
      <c r="Z307" s="3">
        <f t="shared" si="88"/>
        <v>1</v>
      </c>
      <c r="AA307" s="3" t="str">
        <f t="shared" si="73"/>
        <v/>
      </c>
      <c r="AB307" s="3" t="str">
        <f t="shared" si="74"/>
        <v/>
      </c>
      <c r="AC307" s="3" t="str">
        <f t="shared" si="75"/>
        <v/>
      </c>
      <c r="AD307" s="3" t="str">
        <f t="shared" si="76"/>
        <v>0</v>
      </c>
      <c r="AE307" s="3">
        <f t="shared" si="77"/>
        <v>0</v>
      </c>
      <c r="AF307" s="3">
        <f t="shared" si="78"/>
        <v>0</v>
      </c>
      <c r="AM307" s="3" t="str">
        <f t="shared" si="79"/>
        <v/>
      </c>
      <c r="AN307" s="3" t="str">
        <f t="shared" si="80"/>
        <v/>
      </c>
      <c r="AO307" s="3" t="str">
        <f t="shared" si="81"/>
        <v/>
      </c>
      <c r="AP307" s="3">
        <f t="shared" si="82"/>
        <v>0</v>
      </c>
      <c r="AQ307" s="3">
        <f t="shared" si="83"/>
        <v>0</v>
      </c>
      <c r="AR307" s="3">
        <f t="shared" si="89"/>
        <v>0</v>
      </c>
      <c r="AS307" s="3" t="e">
        <f t="shared" si="90"/>
        <v>#REF!</v>
      </c>
      <c r="AT307" s="3" t="str">
        <f t="shared" si="84"/>
        <v/>
      </c>
      <c r="AU307" s="3">
        <f t="shared" si="85"/>
        <v>0</v>
      </c>
      <c r="AV307" s="3">
        <f t="shared" si="86"/>
        <v>0</v>
      </c>
      <c r="AW307" s="3">
        <v>606</v>
      </c>
      <c r="AX307" s="3" t="e">
        <f>IF(AND(#REF!="N",OR(AW307=$AX$1,AW307=$AX$2,AW307=$AX$3,AW307=$AX$4,AW307=$AY$1,AW307=$AY$2,AW307=$AY$3,AW307=$AY$4)),0,1)</f>
        <v>#REF!</v>
      </c>
    </row>
    <row r="308" spans="2:50" x14ac:dyDescent="0.2">
      <c r="B308" s="4">
        <v>608</v>
      </c>
      <c r="C308" s="208">
        <v>4.4194173824159217E-8</v>
      </c>
      <c r="D308" s="208">
        <v>4.4194173824159217E-8</v>
      </c>
      <c r="E308" s="208">
        <v>4.4194173824159217E-8</v>
      </c>
      <c r="F308" s="209" t="s">
        <v>714</v>
      </c>
      <c r="G308" s="208">
        <v>8.9896702152022966E-16</v>
      </c>
      <c r="H308" s="210">
        <v>1.2287684354514617E-14</v>
      </c>
      <c r="I308" s="208">
        <v>5.4304405825982065E-24</v>
      </c>
      <c r="J308" s="208">
        <v>5.4304405825982065E-24</v>
      </c>
      <c r="K308" s="208">
        <v>5.4304405825982065E-24</v>
      </c>
      <c r="L308" s="208">
        <v>0</v>
      </c>
      <c r="M308" s="208">
        <v>0</v>
      </c>
      <c r="N308" s="208">
        <v>0</v>
      </c>
      <c r="O308" s="3">
        <v>360</v>
      </c>
      <c r="P308" s="3">
        <v>360</v>
      </c>
      <c r="Q308" s="3">
        <v>360</v>
      </c>
      <c r="S308" s="4">
        <v>0</v>
      </c>
      <c r="T308" s="4">
        <v>152</v>
      </c>
      <c r="U308" s="210"/>
      <c r="V308" s="210">
        <v>1.2287684354514619E-14</v>
      </c>
      <c r="W308" s="3">
        <v>0</v>
      </c>
      <c r="X308" s="3">
        <v>0</v>
      </c>
      <c r="Y308" s="3">
        <f t="shared" si="87"/>
        <v>1</v>
      </c>
      <c r="Z308" s="3">
        <f t="shared" si="88"/>
        <v>1</v>
      </c>
      <c r="AA308" s="3" t="str">
        <f t="shared" si="73"/>
        <v/>
      </c>
      <c r="AB308" s="3" t="str">
        <f t="shared" si="74"/>
        <v/>
      </c>
      <c r="AC308" s="3" t="str">
        <f t="shared" si="75"/>
        <v/>
      </c>
      <c r="AD308" s="3" t="str">
        <f t="shared" si="76"/>
        <v>0</v>
      </c>
      <c r="AE308" s="3">
        <f t="shared" si="77"/>
        <v>0</v>
      </c>
      <c r="AF308" s="3">
        <f t="shared" si="78"/>
        <v>0</v>
      </c>
      <c r="AM308" s="3" t="str">
        <f t="shared" si="79"/>
        <v/>
      </c>
      <c r="AN308" s="3" t="str">
        <f t="shared" si="80"/>
        <v/>
      </c>
      <c r="AO308" s="3" t="str">
        <f t="shared" si="81"/>
        <v/>
      </c>
      <c r="AP308" s="3">
        <f t="shared" si="82"/>
        <v>0</v>
      </c>
      <c r="AQ308" s="3">
        <f t="shared" si="83"/>
        <v>0</v>
      </c>
      <c r="AR308" s="3">
        <f t="shared" si="89"/>
        <v>0</v>
      </c>
      <c r="AS308" s="3" t="e">
        <f t="shared" si="90"/>
        <v>#REF!</v>
      </c>
      <c r="AT308" s="3" t="str">
        <f t="shared" si="84"/>
        <v/>
      </c>
      <c r="AU308" s="3">
        <f t="shared" si="85"/>
        <v>0</v>
      </c>
      <c r="AV308" s="3">
        <f t="shared" si="86"/>
        <v>0</v>
      </c>
      <c r="AW308" s="3">
        <v>608</v>
      </c>
      <c r="AX308" s="3" t="e">
        <f>IF(AND(#REF!="N",OR(AW308=$AX$1,AW308=$AX$2,AW308=$AX$3,AW308=$AX$4,AW308=$AY$1,AW308=$AY$2,AW308=$AY$3,AW308=$AY$4)),0,1)</f>
        <v>#REF!</v>
      </c>
    </row>
    <row r="309" spans="2:50" x14ac:dyDescent="0.2">
      <c r="B309" s="4">
        <v>610</v>
      </c>
      <c r="C309" s="208">
        <v>4.4194173824159217E-8</v>
      </c>
      <c r="D309" s="208">
        <v>4.4194173824159217E-8</v>
      </c>
      <c r="E309" s="208">
        <v>4.4194173824159217E-8</v>
      </c>
      <c r="F309" s="209" t="s">
        <v>714</v>
      </c>
      <c r="G309" s="208">
        <v>5.4689565821170485E-16</v>
      </c>
      <c r="H309" s="210">
        <v>7.4753367610701785E-15</v>
      </c>
      <c r="I309" s="208">
        <v>3.3036633221286285E-24</v>
      </c>
      <c r="J309" s="208">
        <v>3.3036633221286285E-24</v>
      </c>
      <c r="K309" s="208">
        <v>3.3036633221286285E-24</v>
      </c>
      <c r="L309" s="208">
        <v>0</v>
      </c>
      <c r="M309" s="208">
        <v>0</v>
      </c>
      <c r="N309" s="208">
        <v>0</v>
      </c>
      <c r="O309" s="3">
        <v>360</v>
      </c>
      <c r="P309" s="3">
        <v>360</v>
      </c>
      <c r="Q309" s="3">
        <v>360</v>
      </c>
      <c r="S309" s="4">
        <v>0</v>
      </c>
      <c r="T309" s="4">
        <v>152.5</v>
      </c>
      <c r="U309" s="210"/>
      <c r="V309" s="210">
        <v>7.47533676107018E-15</v>
      </c>
      <c r="W309" s="3">
        <v>0</v>
      </c>
      <c r="X309" s="3">
        <v>0</v>
      </c>
      <c r="Y309" s="3">
        <f t="shared" si="87"/>
        <v>1</v>
      </c>
      <c r="Z309" s="3">
        <f t="shared" si="88"/>
        <v>1</v>
      </c>
      <c r="AA309" s="3" t="str">
        <f t="shared" si="73"/>
        <v/>
      </c>
      <c r="AB309" s="3" t="str">
        <f t="shared" si="74"/>
        <v/>
      </c>
      <c r="AC309" s="3" t="str">
        <f t="shared" si="75"/>
        <v/>
      </c>
      <c r="AD309" s="3" t="str">
        <f t="shared" si="76"/>
        <v>0</v>
      </c>
      <c r="AE309" s="3">
        <f t="shared" si="77"/>
        <v>0</v>
      </c>
      <c r="AF309" s="3">
        <f t="shared" si="78"/>
        <v>0</v>
      </c>
      <c r="AM309" s="3" t="str">
        <f t="shared" si="79"/>
        <v/>
      </c>
      <c r="AN309" s="3" t="str">
        <f t="shared" si="80"/>
        <v/>
      </c>
      <c r="AO309" s="3" t="str">
        <f t="shared" si="81"/>
        <v/>
      </c>
      <c r="AP309" s="3">
        <f t="shared" si="82"/>
        <v>0</v>
      </c>
      <c r="AQ309" s="3">
        <f t="shared" si="83"/>
        <v>0</v>
      </c>
      <c r="AR309" s="3">
        <f t="shared" si="89"/>
        <v>0</v>
      </c>
      <c r="AS309" s="3" t="e">
        <f t="shared" si="90"/>
        <v>#REF!</v>
      </c>
      <c r="AT309" s="3" t="str">
        <f t="shared" si="84"/>
        <v/>
      </c>
      <c r="AU309" s="3">
        <f t="shared" si="85"/>
        <v>0</v>
      </c>
      <c r="AV309" s="3">
        <f t="shared" si="86"/>
        <v>0</v>
      </c>
      <c r="AW309" s="3">
        <v>610</v>
      </c>
      <c r="AX309" s="3" t="e">
        <f>IF(AND(#REF!="N",OR(AW309=$AX$1,AW309=$AX$2,AW309=$AX$3,AW309=$AX$4,AW309=$AY$1,AW309=$AY$2,AW309=$AY$3,AW309=$AY$4)),0,1)</f>
        <v>#REF!</v>
      </c>
    </row>
    <row r="310" spans="2:50" x14ac:dyDescent="0.2">
      <c r="B310" s="4">
        <v>612</v>
      </c>
      <c r="C310" s="208">
        <v>0.27059805007310511</v>
      </c>
      <c r="D310" s="208">
        <v>0.27059805007311677</v>
      </c>
      <c r="E310" s="208">
        <v>0.27059805007309728</v>
      </c>
      <c r="F310" s="209" t="s">
        <v>714</v>
      </c>
      <c r="G310" s="208">
        <v>7.2910236985995766E-17</v>
      </c>
      <c r="H310" s="210">
        <v>9.9658603358077988E-16</v>
      </c>
      <c r="I310" s="208">
        <v>2.6967423741704908E-18</v>
      </c>
      <c r="J310" s="208">
        <v>2.6967423741706067E-18</v>
      </c>
      <c r="K310" s="208">
        <v>2.6967423741704126E-18</v>
      </c>
      <c r="L310" s="208">
        <v>7.8756406832974633E-32</v>
      </c>
      <c r="M310" s="208">
        <v>1.1968875995135427E-31</v>
      </c>
      <c r="N310" s="208">
        <v>1.9766469335959454E-31</v>
      </c>
      <c r="O310" s="3">
        <v>0</v>
      </c>
      <c r="P310" s="3">
        <v>0</v>
      </c>
      <c r="Q310" s="3">
        <v>360</v>
      </c>
      <c r="S310" s="4">
        <v>0</v>
      </c>
      <c r="T310" s="4">
        <v>153</v>
      </c>
      <c r="U310" s="210"/>
      <c r="V310" s="210">
        <v>9.9658603358077988E-16</v>
      </c>
      <c r="W310" s="3">
        <v>0</v>
      </c>
      <c r="X310" s="3">
        <v>0</v>
      </c>
      <c r="Y310" s="3">
        <f t="shared" si="87"/>
        <v>1</v>
      </c>
      <c r="Z310" s="3">
        <f t="shared" si="88"/>
        <v>1</v>
      </c>
      <c r="AA310" s="3" t="str">
        <f t="shared" si="73"/>
        <v/>
      </c>
      <c r="AB310" s="3" t="str">
        <f t="shared" si="74"/>
        <v/>
      </c>
      <c r="AC310" s="3" t="str">
        <f t="shared" si="75"/>
        <v/>
      </c>
      <c r="AD310" s="3" t="str">
        <f t="shared" si="76"/>
        <v>0</v>
      </c>
      <c r="AE310" s="3">
        <f t="shared" si="77"/>
        <v>0</v>
      </c>
      <c r="AF310" s="3">
        <f t="shared" si="78"/>
        <v>0</v>
      </c>
      <c r="AM310" s="3" t="str">
        <f t="shared" si="79"/>
        <v/>
      </c>
      <c r="AN310" s="3" t="str">
        <f t="shared" si="80"/>
        <v/>
      </c>
      <c r="AO310" s="3" t="str">
        <f t="shared" si="81"/>
        <v/>
      </c>
      <c r="AP310" s="3">
        <f t="shared" si="82"/>
        <v>0</v>
      </c>
      <c r="AQ310" s="3">
        <f t="shared" si="83"/>
        <v>0</v>
      </c>
      <c r="AR310" s="3">
        <f t="shared" si="89"/>
        <v>0</v>
      </c>
      <c r="AS310" s="3" t="e">
        <f t="shared" si="90"/>
        <v>#REF!</v>
      </c>
      <c r="AT310" s="3" t="str">
        <f t="shared" si="84"/>
        <v/>
      </c>
      <c r="AU310" s="3">
        <f t="shared" si="85"/>
        <v>0</v>
      </c>
      <c r="AV310" s="3">
        <f t="shared" si="86"/>
        <v>0</v>
      </c>
      <c r="AW310" s="3">
        <v>612</v>
      </c>
      <c r="AX310" s="3" t="e">
        <f>IF(AND(#REF!="N",OR(AW310=$AX$1,AW310=$AX$2,AW310=$AX$3,AW310=$AX$4,AW310=$AY$1,AW310=$AY$2,AW310=$AY$3,AW310=$AY$4)),0,1)</f>
        <v>#REF!</v>
      </c>
    </row>
    <row r="311" spans="2:50" x14ac:dyDescent="0.2">
      <c r="B311" s="4">
        <v>614</v>
      </c>
      <c r="C311" s="208">
        <v>4.4194173824159217E-8</v>
      </c>
      <c r="D311" s="208">
        <v>4.4194173824159217E-8</v>
      </c>
      <c r="E311" s="208">
        <v>4.4194173824159217E-8</v>
      </c>
      <c r="F311" s="209" t="s">
        <v>714</v>
      </c>
      <c r="G311" s="208">
        <v>5.2682869412583292E-16</v>
      </c>
      <c r="H311" s="210">
        <v>7.2010480332995063E-15</v>
      </c>
      <c r="I311" s="208">
        <v>3.1824436849975825E-24</v>
      </c>
      <c r="J311" s="208">
        <v>3.1824436849975825E-24</v>
      </c>
      <c r="K311" s="208">
        <v>3.1824436849975825E-24</v>
      </c>
      <c r="L311" s="208">
        <v>0</v>
      </c>
      <c r="M311" s="208">
        <v>0</v>
      </c>
      <c r="N311" s="208">
        <v>0</v>
      </c>
      <c r="O311" s="3">
        <v>360</v>
      </c>
      <c r="P311" s="3">
        <v>360</v>
      </c>
      <c r="Q311" s="3">
        <v>360</v>
      </c>
      <c r="S311" s="4">
        <v>0</v>
      </c>
      <c r="T311" s="4">
        <v>153.5</v>
      </c>
      <c r="U311" s="210"/>
      <c r="V311" s="210">
        <v>7.2010480332995063E-15</v>
      </c>
      <c r="W311" s="3">
        <v>0</v>
      </c>
      <c r="X311" s="3">
        <v>0</v>
      </c>
      <c r="Y311" s="3">
        <f t="shared" si="87"/>
        <v>1</v>
      </c>
      <c r="Z311" s="3">
        <f t="shared" si="88"/>
        <v>1</v>
      </c>
      <c r="AA311" s="3" t="str">
        <f t="shared" si="73"/>
        <v/>
      </c>
      <c r="AB311" s="3" t="str">
        <f t="shared" si="74"/>
        <v/>
      </c>
      <c r="AC311" s="3" t="str">
        <f t="shared" si="75"/>
        <v/>
      </c>
      <c r="AD311" s="3" t="str">
        <f t="shared" si="76"/>
        <v>0</v>
      </c>
      <c r="AE311" s="3">
        <f t="shared" si="77"/>
        <v>0</v>
      </c>
      <c r="AF311" s="3">
        <f t="shared" si="78"/>
        <v>0</v>
      </c>
      <c r="AM311" s="3" t="str">
        <f t="shared" si="79"/>
        <v/>
      </c>
      <c r="AN311" s="3" t="str">
        <f t="shared" si="80"/>
        <v/>
      </c>
      <c r="AO311" s="3" t="str">
        <f t="shared" si="81"/>
        <v/>
      </c>
      <c r="AP311" s="3">
        <f t="shared" si="82"/>
        <v>0</v>
      </c>
      <c r="AQ311" s="3">
        <f t="shared" si="83"/>
        <v>0</v>
      </c>
      <c r="AR311" s="3">
        <f t="shared" si="89"/>
        <v>0</v>
      </c>
      <c r="AS311" s="3" t="e">
        <f t="shared" si="90"/>
        <v>#REF!</v>
      </c>
      <c r="AT311" s="3" t="str">
        <f t="shared" si="84"/>
        <v/>
      </c>
      <c r="AU311" s="3">
        <f t="shared" si="85"/>
        <v>0</v>
      </c>
      <c r="AV311" s="3">
        <f t="shared" si="86"/>
        <v>0</v>
      </c>
      <c r="AW311" s="3">
        <v>614</v>
      </c>
      <c r="AX311" s="3" t="e">
        <f>IF(AND(#REF!="N",OR(AW311=$AX$1,AW311=$AX$2,AW311=$AX$3,AW311=$AX$4,AW311=$AY$1,AW311=$AY$2,AW311=$AY$3,AW311=$AY$4)),0,1)</f>
        <v>#REF!</v>
      </c>
    </row>
    <row r="312" spans="2:50" x14ac:dyDescent="0.2">
      <c r="B312" s="4">
        <v>616</v>
      </c>
      <c r="C312" s="208">
        <v>4.4194173824159217E-8</v>
      </c>
      <c r="D312" s="208">
        <v>4.4194173824159217E-8</v>
      </c>
      <c r="E312" s="208">
        <v>4.4194173824159217E-8</v>
      </c>
      <c r="F312" s="209" t="s">
        <v>714</v>
      </c>
      <c r="G312" s="208">
        <v>3.8608976129545507E-16</v>
      </c>
      <c r="H312" s="210">
        <v>5.2773338795962588E-15</v>
      </c>
      <c r="I312" s="208">
        <v>2.332274108030016E-24</v>
      </c>
      <c r="J312" s="208">
        <v>2.332274108030016E-24</v>
      </c>
      <c r="K312" s="208">
        <v>2.332274108030016E-24</v>
      </c>
      <c r="L312" s="208">
        <v>0</v>
      </c>
      <c r="M312" s="208">
        <v>0</v>
      </c>
      <c r="N312" s="208">
        <v>0</v>
      </c>
      <c r="O312" s="3">
        <v>360</v>
      </c>
      <c r="P312" s="3">
        <v>360</v>
      </c>
      <c r="Q312" s="3">
        <v>360</v>
      </c>
      <c r="S312" s="4">
        <v>0</v>
      </c>
      <c r="T312" s="4">
        <v>154</v>
      </c>
      <c r="U312" s="210"/>
      <c r="V312" s="210">
        <v>5.2773338795962588E-15</v>
      </c>
      <c r="W312" s="3">
        <v>0</v>
      </c>
      <c r="X312" s="3">
        <v>0</v>
      </c>
      <c r="Y312" s="3">
        <f t="shared" si="87"/>
        <v>1</v>
      </c>
      <c r="Z312" s="3">
        <f t="shared" si="88"/>
        <v>1</v>
      </c>
      <c r="AA312" s="3" t="str">
        <f t="shared" si="73"/>
        <v/>
      </c>
      <c r="AB312" s="3" t="str">
        <f t="shared" si="74"/>
        <v/>
      </c>
      <c r="AC312" s="3" t="str">
        <f t="shared" si="75"/>
        <v/>
      </c>
      <c r="AD312" s="3" t="str">
        <f t="shared" si="76"/>
        <v>0</v>
      </c>
      <c r="AE312" s="3">
        <f t="shared" si="77"/>
        <v>0</v>
      </c>
      <c r="AF312" s="3">
        <f t="shared" si="78"/>
        <v>0</v>
      </c>
      <c r="AM312" s="3" t="str">
        <f t="shared" si="79"/>
        <v/>
      </c>
      <c r="AN312" s="3" t="str">
        <f t="shared" si="80"/>
        <v/>
      </c>
      <c r="AO312" s="3" t="str">
        <f t="shared" si="81"/>
        <v/>
      </c>
      <c r="AP312" s="3">
        <f t="shared" si="82"/>
        <v>0</v>
      </c>
      <c r="AQ312" s="3">
        <f t="shared" si="83"/>
        <v>0</v>
      </c>
      <c r="AR312" s="3">
        <f t="shared" si="89"/>
        <v>0</v>
      </c>
      <c r="AS312" s="3" t="e">
        <f t="shared" si="90"/>
        <v>#REF!</v>
      </c>
      <c r="AT312" s="3" t="str">
        <f t="shared" si="84"/>
        <v/>
      </c>
      <c r="AU312" s="3">
        <f t="shared" si="85"/>
        <v>0</v>
      </c>
      <c r="AV312" s="3">
        <f t="shared" si="86"/>
        <v>0</v>
      </c>
      <c r="AW312" s="3">
        <v>616</v>
      </c>
      <c r="AX312" s="3" t="e">
        <f>IF(AND(#REF!="N",OR(AW312=$AX$1,AW312=$AX$2,AW312=$AX$3,AW312=$AX$4,AW312=$AY$1,AW312=$AY$2,AW312=$AY$3,AW312=$AY$4)),0,1)</f>
        <v>#REF!</v>
      </c>
    </row>
    <row r="313" spans="2:50" x14ac:dyDescent="0.2">
      <c r="B313" s="4">
        <v>618</v>
      </c>
      <c r="C313" s="208">
        <v>4.4194173824159217E-8</v>
      </c>
      <c r="D313" s="208">
        <v>4.4194173824159217E-8</v>
      </c>
      <c r="E313" s="208">
        <v>4.4194173824159217E-8</v>
      </c>
      <c r="F313" s="209" t="s">
        <v>714</v>
      </c>
      <c r="G313" s="208">
        <v>8.5378105191269044E-16</v>
      </c>
      <c r="H313" s="210">
        <v>1.1670052207285024E-14</v>
      </c>
      <c r="I313" s="208">
        <v>5.1574831578576728E-24</v>
      </c>
      <c r="J313" s="208">
        <v>5.1574831578576728E-24</v>
      </c>
      <c r="K313" s="208">
        <v>5.1574831578576728E-24</v>
      </c>
      <c r="L313" s="208">
        <v>0</v>
      </c>
      <c r="M313" s="208">
        <v>0</v>
      </c>
      <c r="N313" s="208">
        <v>0</v>
      </c>
      <c r="O313" s="3">
        <v>360</v>
      </c>
      <c r="P313" s="3">
        <v>360</v>
      </c>
      <c r="Q313" s="3">
        <v>360</v>
      </c>
      <c r="S313" s="4">
        <v>0</v>
      </c>
      <c r="T313" s="4">
        <v>154.5</v>
      </c>
      <c r="U313" s="210"/>
      <c r="V313" s="210">
        <v>1.1670052207285024E-14</v>
      </c>
      <c r="W313" s="3">
        <v>0</v>
      </c>
      <c r="X313" s="3">
        <v>0</v>
      </c>
      <c r="Y313" s="3">
        <f t="shared" si="87"/>
        <v>1</v>
      </c>
      <c r="Z313" s="3">
        <f t="shared" si="88"/>
        <v>1</v>
      </c>
      <c r="AA313" s="3" t="str">
        <f t="shared" si="73"/>
        <v/>
      </c>
      <c r="AB313" s="3" t="str">
        <f t="shared" si="74"/>
        <v/>
      </c>
      <c r="AC313" s="3" t="str">
        <f t="shared" si="75"/>
        <v/>
      </c>
      <c r="AD313" s="3" t="str">
        <f t="shared" si="76"/>
        <v>0</v>
      </c>
      <c r="AE313" s="3">
        <f t="shared" si="77"/>
        <v>0</v>
      </c>
      <c r="AF313" s="3">
        <f t="shared" si="78"/>
        <v>0</v>
      </c>
      <c r="AM313" s="3" t="str">
        <f t="shared" si="79"/>
        <v/>
      </c>
      <c r="AN313" s="3" t="str">
        <f t="shared" si="80"/>
        <v/>
      </c>
      <c r="AO313" s="3" t="str">
        <f t="shared" si="81"/>
        <v/>
      </c>
      <c r="AP313" s="3">
        <f t="shared" si="82"/>
        <v>0</v>
      </c>
      <c r="AQ313" s="3">
        <f t="shared" si="83"/>
        <v>0</v>
      </c>
      <c r="AR313" s="3">
        <f t="shared" si="89"/>
        <v>0</v>
      </c>
      <c r="AS313" s="3" t="e">
        <f t="shared" si="90"/>
        <v>#REF!</v>
      </c>
      <c r="AT313" s="3" t="str">
        <f t="shared" si="84"/>
        <v/>
      </c>
      <c r="AU313" s="3">
        <f t="shared" si="85"/>
        <v>0</v>
      </c>
      <c r="AV313" s="3">
        <f t="shared" si="86"/>
        <v>0</v>
      </c>
      <c r="AW313" s="3">
        <v>618</v>
      </c>
      <c r="AX313" s="3" t="e">
        <f>IF(AND(#REF!="N",OR(AW313=$AX$1,AW313=$AX$2,AW313=$AX$3,AW313=$AX$4,AW313=$AY$1,AW313=$AY$2,AW313=$AY$3,AW313=$AY$4)),0,1)</f>
        <v>#REF!</v>
      </c>
    </row>
    <row r="314" spans="2:50" x14ac:dyDescent="0.2">
      <c r="B314" s="4">
        <v>620</v>
      </c>
      <c r="C314" s="208">
        <v>0.12607862007252521</v>
      </c>
      <c r="D314" s="208">
        <v>0.12607862007251197</v>
      </c>
      <c r="E314" s="208">
        <v>0.12607862007252077</v>
      </c>
      <c r="F314" s="209" t="s">
        <v>714</v>
      </c>
      <c r="G314" s="208">
        <v>6.2139981221410344E-3</v>
      </c>
      <c r="H314" s="210">
        <v>8.4937095217677422E-2</v>
      </c>
      <c r="I314" s="208">
        <v>1.0708751758013449E-4</v>
      </c>
      <c r="J314" s="208">
        <v>1.0708751758012325E-4</v>
      </c>
      <c r="K314" s="208">
        <v>1.0708751758013072E-4</v>
      </c>
      <c r="L314" s="208">
        <v>1.8548102130521062E-4</v>
      </c>
      <c r="M314" s="208">
        <v>1.8548102130521408E-4</v>
      </c>
      <c r="N314" s="208">
        <v>1.8548102130520419E-4</v>
      </c>
      <c r="O314" s="3">
        <v>120</v>
      </c>
      <c r="P314" s="3">
        <v>120</v>
      </c>
      <c r="Q314" s="3">
        <v>120</v>
      </c>
      <c r="R314" s="4" t="s">
        <v>172</v>
      </c>
      <c r="S314" s="4" t="s">
        <v>172</v>
      </c>
      <c r="T314" s="4">
        <v>155</v>
      </c>
      <c r="U314" s="210"/>
      <c r="V314" s="210">
        <v>8.4937095217677408E-2</v>
      </c>
      <c r="W314" s="3">
        <v>8.4937095217674896E-2</v>
      </c>
      <c r="X314" s="3">
        <v>0</v>
      </c>
      <c r="Y314" s="3">
        <f t="shared" si="87"/>
        <v>1</v>
      </c>
      <c r="Z314" s="3">
        <f t="shared" si="88"/>
        <v>1</v>
      </c>
      <c r="AA314" s="3">
        <f t="shared" si="73"/>
        <v>5.1997140363002861E-2</v>
      </c>
      <c r="AB314" s="3">
        <f t="shared" si="74"/>
        <v>2.5998570181501431E-2</v>
      </c>
      <c r="AC314" s="3">
        <f t="shared" si="75"/>
        <v>1.0821465216025571E-5</v>
      </c>
      <c r="AD314" s="3" t="str">
        <f t="shared" si="76"/>
        <v>1.80140078092231E-09+0.0000108205641407338i</v>
      </c>
      <c r="AE314" s="3">
        <f t="shared" si="77"/>
        <v>1.8014007809223101E-9</v>
      </c>
      <c r="AF314" s="3">
        <f t="shared" si="78"/>
        <v>1.08205641407338E-5</v>
      </c>
      <c r="AM314" s="3" t="str">
        <f t="shared" si="79"/>
        <v>-2.81342622885518E-07+5.62685245771037E-07i</v>
      </c>
      <c r="AN314" s="3" t="str">
        <f t="shared" si="80"/>
        <v>0.0519971403630029+0.0260093916467175i</v>
      </c>
      <c r="AO314" s="3" t="str">
        <f t="shared" si="81"/>
        <v>1.80140078092231E-09+0.0000108205641407338i</v>
      </c>
      <c r="AP314" s="3">
        <f t="shared" si="82"/>
        <v>1.8014007809223101E-9</v>
      </c>
      <c r="AQ314" s="3">
        <f t="shared" si="83"/>
        <v>1.08205641407338E-5</v>
      </c>
      <c r="AR314" s="3">
        <f t="shared" si="89"/>
        <v>-1.0134169850289656</v>
      </c>
      <c r="AS314" s="3" t="e">
        <f t="shared" si="90"/>
        <v>#REF!</v>
      </c>
      <c r="AT314" s="3" t="e">
        <f t="shared" si="84"/>
        <v>#REF!</v>
      </c>
      <c r="AU314" s="3" t="e">
        <f t="shared" si="85"/>
        <v>#REF!</v>
      </c>
      <c r="AV314" s="3" t="e">
        <f t="shared" si="86"/>
        <v>#REF!</v>
      </c>
      <c r="AW314" s="3">
        <v>620</v>
      </c>
      <c r="AX314" s="3" t="e">
        <f>IF(AND(#REF!="N",OR(AW314=$AX$1,AW314=$AX$2,AW314=$AX$3,AW314=$AX$4,AW314=$AY$1,AW314=$AY$2,AW314=$AY$3,AW314=$AY$4)),0,1)</f>
        <v>#REF!</v>
      </c>
    </row>
    <row r="315" spans="2:50" x14ac:dyDescent="0.2">
      <c r="B315" s="4">
        <v>622</v>
      </c>
      <c r="C315" s="208">
        <v>4.4194173824159217E-8</v>
      </c>
      <c r="D315" s="208">
        <v>4.4194173824159217E-8</v>
      </c>
      <c r="E315" s="208">
        <v>4.4194173824159217E-8</v>
      </c>
      <c r="F315" s="209" t="s">
        <v>714</v>
      </c>
      <c r="G315" s="208">
        <v>3.6140879476366635E-16</v>
      </c>
      <c r="H315" s="210">
        <v>4.9399778709252169E-15</v>
      </c>
      <c r="I315" s="208">
        <v>2.1831824071516899E-24</v>
      </c>
      <c r="J315" s="208">
        <v>2.1831824071516899E-24</v>
      </c>
      <c r="K315" s="208">
        <v>2.1831824071516899E-24</v>
      </c>
      <c r="L315" s="208">
        <v>0</v>
      </c>
      <c r="M315" s="208">
        <v>0</v>
      </c>
      <c r="N315" s="208">
        <v>0</v>
      </c>
      <c r="O315" s="3">
        <v>360</v>
      </c>
      <c r="P315" s="3">
        <v>360</v>
      </c>
      <c r="Q315" s="3">
        <v>360</v>
      </c>
      <c r="S315" s="4">
        <v>0</v>
      </c>
      <c r="T315" s="4">
        <v>155.5</v>
      </c>
      <c r="U315" s="210"/>
      <c r="V315" s="210">
        <v>4.9399778709252169E-15</v>
      </c>
      <c r="W315" s="3">
        <v>0</v>
      </c>
      <c r="X315" s="3">
        <v>0</v>
      </c>
      <c r="Y315" s="3">
        <f t="shared" si="87"/>
        <v>1</v>
      </c>
      <c r="Z315" s="3">
        <f t="shared" si="88"/>
        <v>1</v>
      </c>
      <c r="AA315" s="3" t="str">
        <f t="shared" si="73"/>
        <v/>
      </c>
      <c r="AB315" s="3" t="str">
        <f t="shared" si="74"/>
        <v/>
      </c>
      <c r="AC315" s="3" t="str">
        <f t="shared" si="75"/>
        <v/>
      </c>
      <c r="AD315" s="3" t="str">
        <f t="shared" si="76"/>
        <v>0</v>
      </c>
      <c r="AE315" s="3">
        <f t="shared" si="77"/>
        <v>0</v>
      </c>
      <c r="AF315" s="3">
        <f t="shared" si="78"/>
        <v>0</v>
      </c>
      <c r="AM315" s="3" t="str">
        <f t="shared" si="79"/>
        <v/>
      </c>
      <c r="AN315" s="3" t="str">
        <f t="shared" si="80"/>
        <v/>
      </c>
      <c r="AO315" s="3" t="str">
        <f t="shared" si="81"/>
        <v/>
      </c>
      <c r="AP315" s="3">
        <f t="shared" si="82"/>
        <v>0</v>
      </c>
      <c r="AQ315" s="3">
        <f t="shared" si="83"/>
        <v>0</v>
      </c>
      <c r="AR315" s="3">
        <f t="shared" si="89"/>
        <v>0</v>
      </c>
      <c r="AS315" s="3" t="e">
        <f t="shared" si="90"/>
        <v>#REF!</v>
      </c>
      <c r="AT315" s="3" t="str">
        <f t="shared" si="84"/>
        <v/>
      </c>
      <c r="AU315" s="3">
        <f t="shared" si="85"/>
        <v>0</v>
      </c>
      <c r="AV315" s="3">
        <f t="shared" si="86"/>
        <v>0</v>
      </c>
      <c r="AW315" s="3">
        <v>622</v>
      </c>
      <c r="AX315" s="3" t="e">
        <f>IF(AND(#REF!="N",OR(AW315=$AX$1,AW315=$AX$2,AW315=$AX$3,AW315=$AX$4,AW315=$AY$1,AW315=$AY$2,AW315=$AY$3,AW315=$AY$4)),0,1)</f>
        <v>#REF!</v>
      </c>
    </row>
    <row r="316" spans="2:50" x14ac:dyDescent="0.2">
      <c r="B316" s="4">
        <v>624</v>
      </c>
      <c r="C316" s="208">
        <v>4.4194173824159217E-8</v>
      </c>
      <c r="D316" s="208">
        <v>4.4194173824159217E-8</v>
      </c>
      <c r="E316" s="208">
        <v>4.4194173824159217E-8</v>
      </c>
      <c r="F316" s="209" t="s">
        <v>714</v>
      </c>
      <c r="G316" s="208">
        <v>7.3941100287015093E-16</v>
      </c>
      <c r="H316" s="210">
        <v>1.0106765647708537E-14</v>
      </c>
      <c r="I316" s="208">
        <v>4.4666015783487214E-24</v>
      </c>
      <c r="J316" s="208">
        <v>4.4666015783487214E-24</v>
      </c>
      <c r="K316" s="208">
        <v>4.4666015783487214E-24</v>
      </c>
      <c r="L316" s="208">
        <v>0</v>
      </c>
      <c r="M316" s="208">
        <v>0</v>
      </c>
      <c r="N316" s="208">
        <v>0</v>
      </c>
      <c r="O316" s="3">
        <v>360</v>
      </c>
      <c r="P316" s="3">
        <v>360</v>
      </c>
      <c r="Q316" s="3">
        <v>360</v>
      </c>
      <c r="S316" s="4">
        <v>0</v>
      </c>
      <c r="T316" s="4">
        <v>156</v>
      </c>
      <c r="U316" s="210"/>
      <c r="V316" s="210">
        <v>1.0106765647708537E-14</v>
      </c>
      <c r="W316" s="3">
        <v>0</v>
      </c>
      <c r="X316" s="3">
        <v>0</v>
      </c>
      <c r="Y316" s="3">
        <f t="shared" si="87"/>
        <v>1</v>
      </c>
      <c r="Z316" s="3">
        <f t="shared" si="88"/>
        <v>1</v>
      </c>
      <c r="AA316" s="3" t="str">
        <f t="shared" si="73"/>
        <v/>
      </c>
      <c r="AB316" s="3" t="str">
        <f t="shared" si="74"/>
        <v/>
      </c>
      <c r="AC316" s="3" t="str">
        <f t="shared" si="75"/>
        <v/>
      </c>
      <c r="AD316" s="3" t="str">
        <f t="shared" si="76"/>
        <v>0</v>
      </c>
      <c r="AE316" s="3">
        <f t="shared" si="77"/>
        <v>0</v>
      </c>
      <c r="AF316" s="3">
        <f t="shared" si="78"/>
        <v>0</v>
      </c>
      <c r="AM316" s="3" t="str">
        <f t="shared" si="79"/>
        <v/>
      </c>
      <c r="AN316" s="3" t="str">
        <f t="shared" si="80"/>
        <v/>
      </c>
      <c r="AO316" s="3" t="str">
        <f t="shared" si="81"/>
        <v/>
      </c>
      <c r="AP316" s="3">
        <f t="shared" si="82"/>
        <v>0</v>
      </c>
      <c r="AQ316" s="3">
        <f t="shared" si="83"/>
        <v>0</v>
      </c>
      <c r="AR316" s="3">
        <f t="shared" si="89"/>
        <v>0</v>
      </c>
      <c r="AS316" s="3" t="e">
        <f t="shared" si="90"/>
        <v>#REF!</v>
      </c>
      <c r="AT316" s="3" t="str">
        <f t="shared" si="84"/>
        <v/>
      </c>
      <c r="AU316" s="3">
        <f t="shared" si="85"/>
        <v>0</v>
      </c>
      <c r="AV316" s="3">
        <f t="shared" si="86"/>
        <v>0</v>
      </c>
      <c r="AW316" s="3">
        <v>624</v>
      </c>
      <c r="AX316" s="3" t="e">
        <f>IF(AND(#REF!="N",OR(AW316=$AX$1,AW316=$AX$2,AW316=$AX$3,AW316=$AX$4,AW316=$AY$1,AW316=$AY$2,AW316=$AY$3,AW316=$AY$4)),0,1)</f>
        <v>#REF!</v>
      </c>
    </row>
    <row r="317" spans="2:50" x14ac:dyDescent="0.2">
      <c r="B317" s="4">
        <v>626</v>
      </c>
      <c r="C317" s="208">
        <v>4.4194173824159217E-8</v>
      </c>
      <c r="D317" s="208">
        <v>4.4194173824159217E-8</v>
      </c>
      <c r="E317" s="208">
        <v>4.4194173824159217E-8</v>
      </c>
      <c r="F317" s="209" t="s">
        <v>714</v>
      </c>
      <c r="G317" s="208">
        <v>4.3462523275677407E-16</v>
      </c>
      <c r="H317" s="210">
        <v>5.9407492652971673E-15</v>
      </c>
      <c r="I317" s="208">
        <v>2.6254650567628918E-24</v>
      </c>
      <c r="J317" s="208">
        <v>2.6254650567628918E-24</v>
      </c>
      <c r="K317" s="208">
        <v>2.6254650567628918E-24</v>
      </c>
      <c r="L317" s="208">
        <v>0</v>
      </c>
      <c r="M317" s="208">
        <v>0</v>
      </c>
      <c r="N317" s="208">
        <v>0</v>
      </c>
      <c r="O317" s="3">
        <v>360</v>
      </c>
      <c r="P317" s="3">
        <v>360</v>
      </c>
      <c r="Q317" s="3">
        <v>360</v>
      </c>
      <c r="S317" s="4">
        <v>0</v>
      </c>
      <c r="T317" s="4">
        <v>156.5</v>
      </c>
      <c r="U317" s="210"/>
      <c r="V317" s="210">
        <v>5.9407492652971673E-15</v>
      </c>
      <c r="W317" s="3">
        <v>0</v>
      </c>
      <c r="X317" s="3">
        <v>0</v>
      </c>
      <c r="Y317" s="3">
        <f t="shared" si="87"/>
        <v>1</v>
      </c>
      <c r="Z317" s="3">
        <f t="shared" si="88"/>
        <v>1</v>
      </c>
      <c r="AA317" s="3" t="str">
        <f t="shared" si="73"/>
        <v/>
      </c>
      <c r="AB317" s="3" t="str">
        <f t="shared" si="74"/>
        <v/>
      </c>
      <c r="AC317" s="3" t="str">
        <f t="shared" si="75"/>
        <v/>
      </c>
      <c r="AD317" s="3" t="str">
        <f t="shared" si="76"/>
        <v>0</v>
      </c>
      <c r="AE317" s="3">
        <f t="shared" si="77"/>
        <v>0</v>
      </c>
      <c r="AF317" s="3">
        <f t="shared" si="78"/>
        <v>0</v>
      </c>
      <c r="AM317" s="3" t="str">
        <f t="shared" si="79"/>
        <v/>
      </c>
      <c r="AN317" s="3" t="str">
        <f t="shared" si="80"/>
        <v/>
      </c>
      <c r="AO317" s="3" t="str">
        <f t="shared" si="81"/>
        <v/>
      </c>
      <c r="AP317" s="3">
        <f t="shared" si="82"/>
        <v>0</v>
      </c>
      <c r="AQ317" s="3">
        <f t="shared" si="83"/>
        <v>0</v>
      </c>
      <c r="AR317" s="3">
        <f t="shared" si="89"/>
        <v>0</v>
      </c>
      <c r="AS317" s="3" t="e">
        <f t="shared" si="90"/>
        <v>#REF!</v>
      </c>
      <c r="AT317" s="3" t="str">
        <f t="shared" si="84"/>
        <v/>
      </c>
      <c r="AU317" s="3">
        <f t="shared" si="85"/>
        <v>0</v>
      </c>
      <c r="AV317" s="3">
        <f t="shared" si="86"/>
        <v>0</v>
      </c>
      <c r="AW317" s="3">
        <v>626</v>
      </c>
      <c r="AX317" s="3" t="e">
        <f>IF(AND(#REF!="N",OR(AW317=$AX$1,AW317=$AX$2,AW317=$AX$3,AW317=$AX$4,AW317=$AY$1,AW317=$AY$2,AW317=$AY$3,AW317=$AY$4)),0,1)</f>
        <v>#REF!</v>
      </c>
    </row>
    <row r="318" spans="2:50" x14ac:dyDescent="0.2">
      <c r="B318" s="4">
        <v>628</v>
      </c>
      <c r="C318" s="208">
        <v>0.12607862007252646</v>
      </c>
      <c r="D318" s="208">
        <v>0.12607862007249607</v>
      </c>
      <c r="E318" s="208">
        <v>0.12607862007253651</v>
      </c>
      <c r="F318" s="209" t="s">
        <v>714</v>
      </c>
      <c r="G318" s="208">
        <v>6.1348389103939305E-3</v>
      </c>
      <c r="H318" s="210">
        <v>8.3855094004712222E-2</v>
      </c>
      <c r="I318" s="208">
        <v>1.0572334538166103E-4</v>
      </c>
      <c r="J318" s="208">
        <v>1.0572334538163554E-4</v>
      </c>
      <c r="K318" s="208">
        <v>1.0572334538166945E-4</v>
      </c>
      <c r="L318" s="208">
        <v>1.8311820574718794E-4</v>
      </c>
      <c r="M318" s="208">
        <v>1.831182057471733E-4</v>
      </c>
      <c r="N318" s="208">
        <v>1.8311820574717713E-4</v>
      </c>
      <c r="O318" s="3">
        <v>240</v>
      </c>
      <c r="P318" s="3">
        <v>240</v>
      </c>
      <c r="Q318" s="3">
        <v>240</v>
      </c>
      <c r="R318" s="4" t="s">
        <v>168</v>
      </c>
      <c r="S318" s="4" t="s">
        <v>168</v>
      </c>
      <c r="T318" s="4">
        <v>157</v>
      </c>
      <c r="U318" s="210"/>
      <c r="V318" s="210">
        <v>8.3855094004712222E-2</v>
      </c>
      <c r="W318" s="3">
        <v>0</v>
      </c>
      <c r="X318" s="3">
        <v>8.3855094004711167E-2</v>
      </c>
      <c r="Y318" s="3">
        <f t="shared" si="87"/>
        <v>1</v>
      </c>
      <c r="Z318" s="3">
        <f t="shared" si="88"/>
        <v>1</v>
      </c>
      <c r="AA318" s="3">
        <f t="shared" si="73"/>
        <v>5.1997140363003888E-2</v>
      </c>
      <c r="AB318" s="3">
        <f t="shared" si="74"/>
        <v>2.5998570181501944E-2</v>
      </c>
      <c r="AC318" s="3">
        <f t="shared" si="75"/>
        <v>1.0547515185809546E-5</v>
      </c>
      <c r="AD318" s="3" t="str">
        <f t="shared" si="76"/>
        <v>1.71135599542414E-09+0.0000105466591606667i</v>
      </c>
      <c r="AE318" s="3">
        <f t="shared" si="77"/>
        <v>1.71135599542414E-9</v>
      </c>
      <c r="AF318" s="3">
        <f t="shared" si="78"/>
        <v>1.05466591606667E-5</v>
      </c>
      <c r="AM318" s="3" t="str">
        <f t="shared" si="79"/>
        <v>-2.74220313798725E-07+5.48440627597452E-07i</v>
      </c>
      <c r="AN318" s="3" t="str">
        <f t="shared" si="80"/>
        <v>0.0519971403630039+0.0260091176966878i</v>
      </c>
      <c r="AO318" s="3" t="str">
        <f t="shared" si="81"/>
        <v>1.71135599542414E-09+0.0000105466591606667i</v>
      </c>
      <c r="AP318" s="3">
        <f t="shared" si="82"/>
        <v>1.71135599542414E-9</v>
      </c>
      <c r="AQ318" s="3">
        <f t="shared" si="83"/>
        <v>1.05466591606667E-5</v>
      </c>
      <c r="AR318" s="3">
        <f t="shared" si="89"/>
        <v>1.0005072145190423</v>
      </c>
      <c r="AS318" s="3" t="e">
        <f t="shared" si="90"/>
        <v>#REF!</v>
      </c>
      <c r="AT318" s="3" t="e">
        <f t="shared" si="84"/>
        <v>#REF!</v>
      </c>
      <c r="AU318" s="3" t="e">
        <f t="shared" si="85"/>
        <v>#REF!</v>
      </c>
      <c r="AV318" s="3" t="e">
        <f t="shared" si="86"/>
        <v>#REF!</v>
      </c>
      <c r="AW318" s="3">
        <v>628</v>
      </c>
      <c r="AX318" s="3" t="e">
        <f>IF(AND(#REF!="N",OR(AW318=$AX$1,AW318=$AX$2,AW318=$AX$3,AW318=$AX$4,AW318=$AY$1,AW318=$AY$2,AW318=$AY$3,AW318=$AY$4)),0,1)</f>
        <v>#REF!</v>
      </c>
    </row>
    <row r="319" spans="2:50" x14ac:dyDescent="0.2">
      <c r="B319" s="4">
        <v>630</v>
      </c>
      <c r="C319" s="208">
        <v>4.4194173824159217E-8</v>
      </c>
      <c r="D319" s="208">
        <v>4.4194173824159217E-8</v>
      </c>
      <c r="E319" s="208">
        <v>4.4194173824159217E-8</v>
      </c>
      <c r="F319" s="209" t="s">
        <v>714</v>
      </c>
      <c r="G319" s="208">
        <v>2.562093152561954E-16</v>
      </c>
      <c r="H319" s="210">
        <v>3.5020408081606259E-15</v>
      </c>
      <c r="I319" s="208">
        <v>1.5476980021514972E-24</v>
      </c>
      <c r="J319" s="208">
        <v>1.5476980021514972E-24</v>
      </c>
      <c r="K319" s="208">
        <v>1.5476980021514972E-24</v>
      </c>
      <c r="L319" s="208">
        <v>0</v>
      </c>
      <c r="M319" s="208">
        <v>0</v>
      </c>
      <c r="N319" s="208">
        <v>0</v>
      </c>
      <c r="O319" s="3">
        <v>360</v>
      </c>
      <c r="P319" s="3">
        <v>360</v>
      </c>
      <c r="Q319" s="3">
        <v>360</v>
      </c>
      <c r="S319" s="4">
        <v>0</v>
      </c>
      <c r="T319" s="4">
        <v>157.5</v>
      </c>
      <c r="U319" s="210"/>
      <c r="V319" s="210">
        <v>3.5020408081606259E-15</v>
      </c>
      <c r="W319" s="3">
        <v>0</v>
      </c>
      <c r="X319" s="3">
        <v>0</v>
      </c>
      <c r="Y319" s="3">
        <f t="shared" si="87"/>
        <v>1</v>
      </c>
      <c r="Z319" s="3">
        <f t="shared" si="88"/>
        <v>1</v>
      </c>
      <c r="AA319" s="3" t="str">
        <f t="shared" si="73"/>
        <v/>
      </c>
      <c r="AB319" s="3" t="str">
        <f t="shared" si="74"/>
        <v/>
      </c>
      <c r="AC319" s="3" t="str">
        <f t="shared" si="75"/>
        <v/>
      </c>
      <c r="AD319" s="3" t="str">
        <f t="shared" si="76"/>
        <v>0</v>
      </c>
      <c r="AE319" s="3">
        <f t="shared" si="77"/>
        <v>0</v>
      </c>
      <c r="AF319" s="3">
        <f t="shared" si="78"/>
        <v>0</v>
      </c>
      <c r="AM319" s="3" t="str">
        <f t="shared" si="79"/>
        <v/>
      </c>
      <c r="AN319" s="3" t="str">
        <f t="shared" si="80"/>
        <v/>
      </c>
      <c r="AO319" s="3" t="str">
        <f t="shared" si="81"/>
        <v/>
      </c>
      <c r="AP319" s="3">
        <f t="shared" si="82"/>
        <v>0</v>
      </c>
      <c r="AQ319" s="3">
        <f t="shared" si="83"/>
        <v>0</v>
      </c>
      <c r="AR319" s="3">
        <f t="shared" si="89"/>
        <v>0</v>
      </c>
      <c r="AS319" s="3" t="e">
        <f t="shared" si="90"/>
        <v>#REF!</v>
      </c>
      <c r="AT319" s="3" t="str">
        <f t="shared" si="84"/>
        <v/>
      </c>
      <c r="AU319" s="3">
        <f t="shared" si="85"/>
        <v>0</v>
      </c>
      <c r="AV319" s="3">
        <f t="shared" si="86"/>
        <v>0</v>
      </c>
      <c r="AW319" s="3">
        <v>630</v>
      </c>
      <c r="AX319" s="3" t="e">
        <f>IF(AND(#REF!="N",OR(AW319=$AX$1,AW319=$AX$2,AW319=$AX$3,AW319=$AX$4,AW319=$AY$1,AW319=$AY$2,AW319=$AY$3,AW319=$AY$4)),0,1)</f>
        <v>#REF!</v>
      </c>
    </row>
    <row r="320" spans="2:50" x14ac:dyDescent="0.2">
      <c r="B320" s="4">
        <v>632</v>
      </c>
      <c r="C320" s="208">
        <v>4.4194173824159217E-8</v>
      </c>
      <c r="D320" s="208">
        <v>4.4194173824159217E-8</v>
      </c>
      <c r="E320" s="208">
        <v>4.4194173824159217E-8</v>
      </c>
      <c r="F320" s="209" t="s">
        <v>714</v>
      </c>
      <c r="G320" s="208">
        <v>7.511210256955695E-16</v>
      </c>
      <c r="H320" s="210">
        <v>1.0266826095776559E-14</v>
      </c>
      <c r="I320" s="208">
        <v>4.5373389709916316E-24</v>
      </c>
      <c r="J320" s="208">
        <v>4.5373389709916316E-24</v>
      </c>
      <c r="K320" s="208">
        <v>4.5373389709916316E-24</v>
      </c>
      <c r="L320" s="208">
        <v>0</v>
      </c>
      <c r="M320" s="208">
        <v>0</v>
      </c>
      <c r="N320" s="208">
        <v>0</v>
      </c>
      <c r="O320" s="3">
        <v>360</v>
      </c>
      <c r="P320" s="3">
        <v>360</v>
      </c>
      <c r="Q320" s="3">
        <v>360</v>
      </c>
      <c r="S320" s="4">
        <v>0</v>
      </c>
      <c r="T320" s="4">
        <v>158</v>
      </c>
      <c r="U320" s="210"/>
      <c r="V320" s="210">
        <v>1.0266826095776559E-14</v>
      </c>
      <c r="W320" s="3">
        <v>0</v>
      </c>
      <c r="X320" s="3">
        <v>0</v>
      </c>
      <c r="Y320" s="3">
        <f t="shared" si="87"/>
        <v>1</v>
      </c>
      <c r="Z320" s="3">
        <f t="shared" si="88"/>
        <v>1</v>
      </c>
      <c r="AA320" s="3" t="str">
        <f t="shared" si="73"/>
        <v/>
      </c>
      <c r="AB320" s="3" t="str">
        <f t="shared" si="74"/>
        <v/>
      </c>
      <c r="AC320" s="3" t="str">
        <f t="shared" si="75"/>
        <v/>
      </c>
      <c r="AD320" s="3" t="str">
        <f t="shared" si="76"/>
        <v>0</v>
      </c>
      <c r="AE320" s="3">
        <f t="shared" si="77"/>
        <v>0</v>
      </c>
      <c r="AF320" s="3">
        <f t="shared" si="78"/>
        <v>0</v>
      </c>
      <c r="AM320" s="3" t="str">
        <f t="shared" si="79"/>
        <v/>
      </c>
      <c r="AN320" s="3" t="str">
        <f t="shared" si="80"/>
        <v/>
      </c>
      <c r="AO320" s="3" t="str">
        <f t="shared" si="81"/>
        <v/>
      </c>
      <c r="AP320" s="3">
        <f t="shared" si="82"/>
        <v>0</v>
      </c>
      <c r="AQ320" s="3">
        <f t="shared" si="83"/>
        <v>0</v>
      </c>
      <c r="AR320" s="3">
        <f t="shared" si="89"/>
        <v>0</v>
      </c>
      <c r="AS320" s="3" t="e">
        <f t="shared" si="90"/>
        <v>#REF!</v>
      </c>
      <c r="AT320" s="3" t="str">
        <f t="shared" si="84"/>
        <v/>
      </c>
      <c r="AU320" s="3">
        <f t="shared" si="85"/>
        <v>0</v>
      </c>
      <c r="AV320" s="3">
        <f t="shared" si="86"/>
        <v>0</v>
      </c>
      <c r="AW320" s="3">
        <v>632</v>
      </c>
      <c r="AX320" s="3" t="e">
        <f>IF(AND(#REF!="N",OR(AW320=$AX$1,AW320=$AX$2,AW320=$AX$3,AW320=$AX$4,AW320=$AY$1,AW320=$AY$2,AW320=$AY$3,AW320=$AY$4)),0,1)</f>
        <v>#REF!</v>
      </c>
    </row>
    <row r="321" spans="2:50" x14ac:dyDescent="0.2">
      <c r="B321" s="4">
        <v>634</v>
      </c>
      <c r="C321" s="208">
        <v>4.4194173824159217E-8</v>
      </c>
      <c r="D321" s="208">
        <v>4.4194173824159217E-8</v>
      </c>
      <c r="E321" s="208">
        <v>4.4194173824159217E-8</v>
      </c>
      <c r="F321" s="209" t="s">
        <v>714</v>
      </c>
      <c r="G321" s="208">
        <v>7.4110813618496647E-16</v>
      </c>
      <c r="H321" s="210">
        <v>1.0129963204438391E-14</v>
      </c>
      <c r="I321" s="208">
        <v>4.4768535468928718E-24</v>
      </c>
      <c r="J321" s="208">
        <v>4.4768535468928718E-24</v>
      </c>
      <c r="K321" s="208">
        <v>4.4768535468928718E-24</v>
      </c>
      <c r="L321" s="208">
        <v>0</v>
      </c>
      <c r="M321" s="208">
        <v>0</v>
      </c>
      <c r="N321" s="208">
        <v>0</v>
      </c>
      <c r="O321" s="3">
        <v>360</v>
      </c>
      <c r="P321" s="3">
        <v>360</v>
      </c>
      <c r="Q321" s="3">
        <v>360</v>
      </c>
      <c r="S321" s="4">
        <v>0</v>
      </c>
      <c r="T321" s="4">
        <v>158.5</v>
      </c>
      <c r="U321" s="210"/>
      <c r="V321" s="210">
        <v>1.0129963204438391E-14</v>
      </c>
      <c r="W321" s="3">
        <v>0</v>
      </c>
      <c r="X321" s="3">
        <v>0</v>
      </c>
      <c r="Y321" s="3">
        <f t="shared" si="87"/>
        <v>1</v>
      </c>
      <c r="Z321" s="3">
        <f t="shared" si="88"/>
        <v>1</v>
      </c>
      <c r="AA321" s="3" t="str">
        <f t="shared" si="73"/>
        <v/>
      </c>
      <c r="AB321" s="3" t="str">
        <f t="shared" si="74"/>
        <v/>
      </c>
      <c r="AC321" s="3" t="str">
        <f t="shared" si="75"/>
        <v/>
      </c>
      <c r="AD321" s="3" t="str">
        <f t="shared" si="76"/>
        <v>0</v>
      </c>
      <c r="AE321" s="3">
        <f t="shared" si="77"/>
        <v>0</v>
      </c>
      <c r="AF321" s="3">
        <f t="shared" si="78"/>
        <v>0</v>
      </c>
      <c r="AM321" s="3" t="str">
        <f t="shared" si="79"/>
        <v/>
      </c>
      <c r="AN321" s="3" t="str">
        <f t="shared" si="80"/>
        <v/>
      </c>
      <c r="AO321" s="3" t="str">
        <f t="shared" si="81"/>
        <v/>
      </c>
      <c r="AP321" s="3">
        <f t="shared" si="82"/>
        <v>0</v>
      </c>
      <c r="AQ321" s="3">
        <f t="shared" si="83"/>
        <v>0</v>
      </c>
      <c r="AR321" s="3">
        <f t="shared" si="89"/>
        <v>0</v>
      </c>
      <c r="AS321" s="3" t="e">
        <f t="shared" si="90"/>
        <v>#REF!</v>
      </c>
      <c r="AT321" s="3" t="str">
        <f t="shared" si="84"/>
        <v/>
      </c>
      <c r="AU321" s="3">
        <f t="shared" si="85"/>
        <v>0</v>
      </c>
      <c r="AV321" s="3">
        <f t="shared" si="86"/>
        <v>0</v>
      </c>
      <c r="AW321" s="3">
        <v>634</v>
      </c>
      <c r="AX321" s="3" t="e">
        <f>IF(AND(#REF!="N",OR(AW321=$AX$1,AW321=$AX$2,AW321=$AX$3,AW321=$AX$4,AW321=$AY$1,AW321=$AY$2,AW321=$AY$3,AW321=$AY$4)),0,1)</f>
        <v>#REF!</v>
      </c>
    </row>
    <row r="322" spans="2:50" x14ac:dyDescent="0.2">
      <c r="B322" s="4">
        <v>636</v>
      </c>
      <c r="C322" s="208">
        <v>0.27059805007310422</v>
      </c>
      <c r="D322" s="208">
        <v>0.27059805007310422</v>
      </c>
      <c r="E322" s="208">
        <v>0.27059805007310428</v>
      </c>
      <c r="F322" s="209" t="s">
        <v>714</v>
      </c>
      <c r="G322" s="208">
        <v>3.8557156216096033E-17</v>
      </c>
      <c r="H322" s="210">
        <v>5.2702507861734476E-16</v>
      </c>
      <c r="I322" s="208">
        <v>1.4261195861347795E-18</v>
      </c>
      <c r="J322" s="208">
        <v>1.4261195861347795E-18</v>
      </c>
      <c r="K322" s="208">
        <v>1.4261195861347797E-18</v>
      </c>
      <c r="L322" s="208">
        <v>3.9481563859938335E-33</v>
      </c>
      <c r="M322" s="208">
        <v>8.5481788217457294E-33</v>
      </c>
      <c r="N322" s="208">
        <v>4.3928515794357667E-33</v>
      </c>
      <c r="O322" s="3">
        <v>360</v>
      </c>
      <c r="P322" s="3">
        <v>0</v>
      </c>
      <c r="Q322" s="3">
        <v>360</v>
      </c>
      <c r="S322" s="4">
        <v>0</v>
      </c>
      <c r="T322" s="4">
        <v>159</v>
      </c>
      <c r="U322" s="210"/>
      <c r="V322" s="210">
        <v>5.2702507861734476E-16</v>
      </c>
      <c r="W322" s="3">
        <v>0</v>
      </c>
      <c r="X322" s="3">
        <v>0</v>
      </c>
      <c r="Y322" s="3">
        <f t="shared" si="87"/>
        <v>1</v>
      </c>
      <c r="Z322" s="3">
        <f t="shared" si="88"/>
        <v>1</v>
      </c>
      <c r="AA322" s="3" t="str">
        <f t="shared" si="73"/>
        <v/>
      </c>
      <c r="AB322" s="3" t="str">
        <f t="shared" si="74"/>
        <v/>
      </c>
      <c r="AC322" s="3" t="str">
        <f t="shared" si="75"/>
        <v/>
      </c>
      <c r="AD322" s="3" t="str">
        <f t="shared" si="76"/>
        <v>0</v>
      </c>
      <c r="AE322" s="3">
        <f t="shared" si="77"/>
        <v>0</v>
      </c>
      <c r="AF322" s="3">
        <f t="shared" si="78"/>
        <v>0</v>
      </c>
      <c r="AM322" s="3" t="str">
        <f t="shared" si="79"/>
        <v/>
      </c>
      <c r="AN322" s="3" t="str">
        <f t="shared" si="80"/>
        <v/>
      </c>
      <c r="AO322" s="3" t="str">
        <f t="shared" si="81"/>
        <v/>
      </c>
      <c r="AP322" s="3">
        <f t="shared" si="82"/>
        <v>0</v>
      </c>
      <c r="AQ322" s="3">
        <f t="shared" si="83"/>
        <v>0</v>
      </c>
      <c r="AR322" s="3">
        <f t="shared" si="89"/>
        <v>0</v>
      </c>
      <c r="AS322" s="3" t="e">
        <f t="shared" si="90"/>
        <v>#REF!</v>
      </c>
      <c r="AT322" s="3" t="str">
        <f t="shared" si="84"/>
        <v/>
      </c>
      <c r="AU322" s="3">
        <f t="shared" si="85"/>
        <v>0</v>
      </c>
      <c r="AV322" s="3">
        <f t="shared" si="86"/>
        <v>0</v>
      </c>
      <c r="AW322" s="3">
        <v>636</v>
      </c>
      <c r="AX322" s="3" t="e">
        <f>IF(AND(#REF!="N",OR(AW322=$AX$1,AW322=$AX$2,AW322=$AX$3,AW322=$AX$4,AW322=$AY$1,AW322=$AY$2,AW322=$AY$3,AW322=$AY$4)),0,1)</f>
        <v>#REF!</v>
      </c>
    </row>
    <row r="323" spans="2:50" x14ac:dyDescent="0.2">
      <c r="B323" s="4">
        <v>638</v>
      </c>
      <c r="C323" s="208">
        <v>4.4194173824159217E-8</v>
      </c>
      <c r="D323" s="208">
        <v>4.4194173824159217E-8</v>
      </c>
      <c r="E323" s="208">
        <v>4.4194173824159217E-8</v>
      </c>
      <c r="F323" s="209" t="s">
        <v>714</v>
      </c>
      <c r="G323" s="208">
        <v>5.119108016802136E-16</v>
      </c>
      <c r="H323" s="210">
        <v>6.9971402711478067E-15</v>
      </c>
      <c r="I323" s="208">
        <v>3.0923283341513071E-24</v>
      </c>
      <c r="J323" s="208">
        <v>3.0923283341513071E-24</v>
      </c>
      <c r="K323" s="208">
        <v>3.0923283341513071E-24</v>
      </c>
      <c r="L323" s="208">
        <v>0</v>
      </c>
      <c r="M323" s="208">
        <v>0</v>
      </c>
      <c r="N323" s="208">
        <v>0</v>
      </c>
      <c r="O323" s="3">
        <v>360</v>
      </c>
      <c r="P323" s="3">
        <v>360</v>
      </c>
      <c r="Q323" s="3">
        <v>360</v>
      </c>
      <c r="S323" s="4">
        <v>0</v>
      </c>
      <c r="T323" s="4">
        <v>159.5</v>
      </c>
      <c r="U323" s="210"/>
      <c r="V323" s="210">
        <v>6.9971402711478067E-15</v>
      </c>
      <c r="W323" s="3">
        <v>0</v>
      </c>
      <c r="X323" s="3">
        <v>0</v>
      </c>
      <c r="Y323" s="3">
        <f t="shared" si="87"/>
        <v>1</v>
      </c>
      <c r="Z323" s="3">
        <f t="shared" si="88"/>
        <v>1</v>
      </c>
      <c r="AA323" s="3" t="str">
        <f t="shared" si="73"/>
        <v/>
      </c>
      <c r="AB323" s="3" t="str">
        <f t="shared" si="74"/>
        <v/>
      </c>
      <c r="AC323" s="3" t="str">
        <f t="shared" si="75"/>
        <v/>
      </c>
      <c r="AD323" s="3" t="str">
        <f t="shared" si="76"/>
        <v>0</v>
      </c>
      <c r="AE323" s="3">
        <f t="shared" si="77"/>
        <v>0</v>
      </c>
      <c r="AF323" s="3">
        <f t="shared" si="78"/>
        <v>0</v>
      </c>
      <c r="AM323" s="3" t="str">
        <f t="shared" si="79"/>
        <v/>
      </c>
      <c r="AN323" s="3" t="str">
        <f t="shared" si="80"/>
        <v/>
      </c>
      <c r="AO323" s="3" t="str">
        <f t="shared" si="81"/>
        <v/>
      </c>
      <c r="AP323" s="3">
        <f t="shared" si="82"/>
        <v>0</v>
      </c>
      <c r="AQ323" s="3">
        <f t="shared" si="83"/>
        <v>0</v>
      </c>
      <c r="AR323" s="3">
        <f t="shared" si="89"/>
        <v>0</v>
      </c>
      <c r="AS323" s="3" t="e">
        <f t="shared" si="90"/>
        <v>#REF!</v>
      </c>
      <c r="AT323" s="3" t="str">
        <f t="shared" si="84"/>
        <v/>
      </c>
      <c r="AU323" s="3">
        <f t="shared" si="85"/>
        <v>0</v>
      </c>
      <c r="AV323" s="3">
        <f t="shared" si="86"/>
        <v>0</v>
      </c>
      <c r="AW323" s="3">
        <v>638</v>
      </c>
      <c r="AX323" s="3" t="e">
        <f>IF(AND(#REF!="N",OR(AW323=$AX$1,AW323=$AX$2,AW323=$AX$3,AW323=$AX$4,AW323=$AY$1,AW323=$AY$2,AW323=$AY$3,AW323=$AY$4)),0,1)</f>
        <v>#REF!</v>
      </c>
    </row>
    <row r="324" spans="2:50" x14ac:dyDescent="0.2">
      <c r="B324" s="4">
        <v>640</v>
      </c>
      <c r="C324" s="208">
        <v>4.4194173824159217E-8</v>
      </c>
      <c r="D324" s="208">
        <v>4.4194173824159217E-8</v>
      </c>
      <c r="E324" s="208">
        <v>4.4194173824159217E-8</v>
      </c>
      <c r="F324" s="209" t="s">
        <v>714</v>
      </c>
      <c r="G324" s="208">
        <v>3.0103863267543611E-16</v>
      </c>
      <c r="H324" s="210">
        <v>4.114797994007602E-15</v>
      </c>
      <c r="I324" s="208">
        <v>1.818500977984736E-24</v>
      </c>
      <c r="J324" s="208">
        <v>1.818500977984736E-24</v>
      </c>
      <c r="K324" s="208">
        <v>1.818500977984736E-24</v>
      </c>
      <c r="L324" s="208">
        <v>0</v>
      </c>
      <c r="M324" s="208">
        <v>0</v>
      </c>
      <c r="N324" s="208">
        <v>0</v>
      </c>
      <c r="O324" s="3">
        <v>360</v>
      </c>
      <c r="P324" s="3">
        <v>360</v>
      </c>
      <c r="Q324" s="3">
        <v>360</v>
      </c>
      <c r="S324" s="4">
        <v>0</v>
      </c>
      <c r="T324" s="4">
        <v>160</v>
      </c>
      <c r="U324" s="210"/>
      <c r="V324" s="210">
        <v>4.114797994007602E-15</v>
      </c>
      <c r="W324" s="3">
        <v>0</v>
      </c>
      <c r="X324" s="3">
        <v>0</v>
      </c>
      <c r="Y324" s="3">
        <f t="shared" si="87"/>
        <v>1</v>
      </c>
      <c r="Z324" s="3">
        <f t="shared" si="88"/>
        <v>1</v>
      </c>
      <c r="AA324" s="3" t="str">
        <f t="shared" si="73"/>
        <v/>
      </c>
      <c r="AB324" s="3" t="str">
        <f t="shared" si="74"/>
        <v/>
      </c>
      <c r="AC324" s="3" t="str">
        <f t="shared" si="75"/>
        <v/>
      </c>
      <c r="AD324" s="3" t="str">
        <f t="shared" si="76"/>
        <v>0</v>
      </c>
      <c r="AE324" s="3">
        <f t="shared" si="77"/>
        <v>0</v>
      </c>
      <c r="AF324" s="3">
        <f t="shared" si="78"/>
        <v>0</v>
      </c>
      <c r="AM324" s="3" t="str">
        <f t="shared" si="79"/>
        <v/>
      </c>
      <c r="AN324" s="3" t="str">
        <f t="shared" si="80"/>
        <v/>
      </c>
      <c r="AO324" s="3" t="str">
        <f t="shared" si="81"/>
        <v/>
      </c>
      <c r="AP324" s="3">
        <f t="shared" si="82"/>
        <v>0</v>
      </c>
      <c r="AQ324" s="3">
        <f t="shared" si="83"/>
        <v>0</v>
      </c>
      <c r="AR324" s="3">
        <f t="shared" si="89"/>
        <v>0</v>
      </c>
      <c r="AS324" s="3" t="e">
        <f t="shared" si="90"/>
        <v>#REF!</v>
      </c>
      <c r="AT324" s="3" t="str">
        <f t="shared" si="84"/>
        <v/>
      </c>
      <c r="AU324" s="3">
        <f t="shared" si="85"/>
        <v>0</v>
      </c>
      <c r="AV324" s="3">
        <f t="shared" si="86"/>
        <v>0</v>
      </c>
      <c r="AW324" s="3">
        <v>640</v>
      </c>
      <c r="AX324" s="3" t="e">
        <f>IF(AND(#REF!="N",OR(AW324=$AX$1,AW324=$AX$2,AW324=$AX$3,AW324=$AX$4,AW324=$AY$1,AW324=$AY$2,AW324=$AY$3,AW324=$AY$4)),0,1)</f>
        <v>#REF!</v>
      </c>
    </row>
    <row r="325" spans="2:50" x14ac:dyDescent="0.2">
      <c r="B325" s="4">
        <v>642</v>
      </c>
      <c r="C325" s="208">
        <v>4.4194173824159217E-8</v>
      </c>
      <c r="D325" s="208">
        <v>4.4194173824159217E-8</v>
      </c>
      <c r="E325" s="208">
        <v>4.4194173824159217E-8</v>
      </c>
      <c r="F325" s="209" t="s">
        <v>714</v>
      </c>
      <c r="G325" s="208">
        <v>4.6050966506769839E-16</v>
      </c>
      <c r="H325" s="210">
        <v>6.2945550516257599E-15</v>
      </c>
      <c r="I325" s="208">
        <v>2.7818266009728833E-24</v>
      </c>
      <c r="J325" s="208">
        <v>2.7818266009728833E-24</v>
      </c>
      <c r="K325" s="208">
        <v>2.7818266009728833E-24</v>
      </c>
      <c r="L325" s="208">
        <v>0</v>
      </c>
      <c r="M325" s="208">
        <v>0</v>
      </c>
      <c r="N325" s="208">
        <v>0</v>
      </c>
      <c r="O325" s="3">
        <v>360</v>
      </c>
      <c r="P325" s="3">
        <v>360</v>
      </c>
      <c r="Q325" s="3">
        <v>360</v>
      </c>
      <c r="S325" s="4">
        <v>0</v>
      </c>
      <c r="T325" s="4">
        <v>160.5</v>
      </c>
      <c r="U325" s="210"/>
      <c r="V325" s="210">
        <v>6.2945550516257599E-15</v>
      </c>
      <c r="W325" s="3">
        <v>0</v>
      </c>
      <c r="X325" s="3">
        <v>0</v>
      </c>
      <c r="Y325" s="3">
        <f t="shared" si="87"/>
        <v>1</v>
      </c>
      <c r="Z325" s="3">
        <f t="shared" si="88"/>
        <v>1</v>
      </c>
      <c r="AA325" s="3" t="str">
        <f t="shared" ref="AA325:AA388" si="91">IF(R325="","",$AB$1*(C325/$C$3)^2)</f>
        <v/>
      </c>
      <c r="AB325" s="3" t="str">
        <f t="shared" ref="AB325:AB388" si="92">IF(R325="","",$AB$2*(C325/$C$3)^2)</f>
        <v/>
      </c>
      <c r="AC325" s="3" t="str">
        <f t="shared" ref="AC325:AC388" si="93">IF(R325="","",$AB$3*(C325/$C$3/T325)^2)</f>
        <v/>
      </c>
      <c r="AD325" s="3" t="str">
        <f t="shared" ref="AD325:AD388" si="94">IF(R325="",COMPLEX(0,0),IMDIV(IMPRODUCT(COMPLEX(AA325,AB325),COMPLEX(0,AC325)),COMPLEX(AA325,AB325+AC325)))</f>
        <v>0</v>
      </c>
      <c r="AE325" s="3">
        <f t="shared" ref="AE325:AE388" si="95">IMREAL(AD325)</f>
        <v>0</v>
      </c>
      <c r="AF325" s="3">
        <f t="shared" ref="AF325:AF388" si="96">IMAGINARY(AD325)</f>
        <v>0</v>
      </c>
      <c r="AM325" s="3" t="str">
        <f t="shared" ref="AM325:AM388" si="97">IF(R325="","",IMPRODUCT(COMPLEX(AA325,Y325*AB325),COMPLEX(0,AC325)))</f>
        <v/>
      </c>
      <c r="AN325" s="3" t="str">
        <f t="shared" ref="AN325:AN388" si="98">IF(R325="","",COMPLEX(AA325,Y325*(AB325+AC325)))</f>
        <v/>
      </c>
      <c r="AO325" s="3" t="str">
        <f t="shared" ref="AO325:AO388" si="99">IF(R325="","",IMDIV(AM325,AN325))</f>
        <v/>
      </c>
      <c r="AP325" s="3">
        <f t="shared" ref="AP325:AP388" si="100">IF(R325="",0,IMREAL(AO325))</f>
        <v>0</v>
      </c>
      <c r="AQ325" s="3">
        <f t="shared" ref="AQ325:AQ388" si="101">IF(R325="",0,IMAGINARY(AO325))</f>
        <v>0</v>
      </c>
      <c r="AR325" s="3">
        <f t="shared" si="89"/>
        <v>0</v>
      </c>
      <c r="AS325" s="3" t="e">
        <f t="shared" si="90"/>
        <v>#REF!</v>
      </c>
      <c r="AT325" s="3" t="str">
        <f t="shared" ref="AT325:AT388" si="102">IF(R325="","",IMDIV($AP$3,IMSUM(AO325,$AP$2)))</f>
        <v/>
      </c>
      <c r="AU325" s="3">
        <f t="shared" ref="AU325:AU388" si="103">IF(R325="",0,IMREAL(AT325))</f>
        <v>0</v>
      </c>
      <c r="AV325" s="3">
        <f t="shared" ref="AV325:AV388" si="104">IF(R325="",0,IMAGINARY(AT325))</f>
        <v>0</v>
      </c>
      <c r="AW325" s="3">
        <v>642</v>
      </c>
      <c r="AX325" s="3" t="e">
        <f>IF(AND(#REF!="N",OR(AW325=$AX$1,AW325=$AX$2,AW325=$AX$3,AW325=$AX$4,AW325=$AY$1,AW325=$AY$2,AW325=$AY$3,AW325=$AY$4)),0,1)</f>
        <v>#REF!</v>
      </c>
    </row>
    <row r="326" spans="2:50" x14ac:dyDescent="0.2">
      <c r="B326" s="4">
        <v>644</v>
      </c>
      <c r="C326" s="208">
        <v>0.1575590517512955</v>
      </c>
      <c r="D326" s="208">
        <v>0.15755905175129728</v>
      </c>
      <c r="E326" s="208">
        <v>0.1575590517512673</v>
      </c>
      <c r="F326" s="209" t="s">
        <v>714</v>
      </c>
      <c r="G326" s="208">
        <v>7.4761645461137128E-3</v>
      </c>
      <c r="H326" s="210">
        <v>0.10218923267030114</v>
      </c>
      <c r="I326" s="208">
        <v>1.6100838598725155E-4</v>
      </c>
      <c r="J326" s="208">
        <v>1.6100838598725336E-4</v>
      </c>
      <c r="K326" s="208">
        <v>1.6100838598722273E-4</v>
      </c>
      <c r="L326" s="208">
        <v>2.7887470497454464E-4</v>
      </c>
      <c r="M326" s="208">
        <v>2.7887470497459327E-4</v>
      </c>
      <c r="N326" s="208">
        <v>2.7887470497455695E-4</v>
      </c>
      <c r="O326" s="3">
        <v>120</v>
      </c>
      <c r="P326" s="3">
        <v>120</v>
      </c>
      <c r="Q326" s="3">
        <v>120</v>
      </c>
      <c r="R326" s="4" t="s">
        <v>172</v>
      </c>
      <c r="S326" s="4" t="s">
        <v>172</v>
      </c>
      <c r="T326" s="4">
        <v>161</v>
      </c>
      <c r="U326" s="210"/>
      <c r="V326" s="210">
        <v>0.10218923267030113</v>
      </c>
      <c r="W326" s="3">
        <v>0.10218923267029809</v>
      </c>
      <c r="X326" s="3">
        <v>0</v>
      </c>
      <c r="Y326" s="3">
        <f t="shared" ref="Y326:Y389" si="105">IF($S$3="+",IF(X326&gt;W326,1-B326/$E$2*(1-$Y$1),1+B326/$E$2*(1-$Y$1)),IF(W326&gt;X326,1-B326/$E$2*(1-$Y$1),1+B326/$E$2*(1-$Y$1)))</f>
        <v>1</v>
      </c>
      <c r="Z326" s="3">
        <f t="shared" ref="Z326:Z389" si="106">2-Y326</f>
        <v>1</v>
      </c>
      <c r="AA326" s="3">
        <f t="shared" si="91"/>
        <v>8.1205095784427139E-2</v>
      </c>
      <c r="AB326" s="3">
        <f t="shared" si="92"/>
        <v>4.060254789221357E-2</v>
      </c>
      <c r="AC326" s="3">
        <f t="shared" si="93"/>
        <v>1.566395891061825E-5</v>
      </c>
      <c r="AD326" s="3" t="str">
        <f t="shared" si="94"/>
        <v>2.41681133182649E-09+0.0000156627500387644i</v>
      </c>
      <c r="AE326" s="3">
        <f t="shared" si="95"/>
        <v>2.41681133182649E-9</v>
      </c>
      <c r="AF326" s="3">
        <f t="shared" si="96"/>
        <v>1.56627500387644E-5</v>
      </c>
      <c r="AM326" s="3" t="str">
        <f t="shared" si="97"/>
        <v>-6.35996641850041E-07+1.27199328370008E-06i</v>
      </c>
      <c r="AN326" s="3" t="str">
        <f t="shared" si="98"/>
        <v>0.0812050957844271+0.0406182118511242i</v>
      </c>
      <c r="AO326" s="3" t="str">
        <f t="shared" si="99"/>
        <v>2.41681133182649E-09+0.0000156627500387644i</v>
      </c>
      <c r="AP326" s="3">
        <f t="shared" si="100"/>
        <v>2.41681133182649E-9</v>
      </c>
      <c r="AQ326" s="3">
        <f t="shared" si="101"/>
        <v>1.56627500387644E-5</v>
      </c>
      <c r="AR326" s="3">
        <f t="shared" ref="AR326:AR389" si="107">IF(R326="",0,IF(X326&gt;W326,1,-1)*2*PI()*$Y$2/(B326/2))</f>
        <v>-0.97564989241919042</v>
      </c>
      <c r="AS326" s="3" t="e">
        <f t="shared" ref="AS326:AS389" si="108">IF(OR(R326="",S326=0),0,3*$AV$2^2*AP326/AR326)*AX326</f>
        <v>#REF!</v>
      </c>
      <c r="AT326" s="3" t="e">
        <f t="shared" si="102"/>
        <v>#REF!</v>
      </c>
      <c r="AU326" s="3" t="e">
        <f t="shared" si="103"/>
        <v>#REF!</v>
      </c>
      <c r="AV326" s="3" t="e">
        <f t="shared" si="104"/>
        <v>#REF!</v>
      </c>
      <c r="AW326" s="3">
        <v>644</v>
      </c>
      <c r="AX326" s="3" t="e">
        <f>IF(AND(#REF!="N",OR(AW326=$AX$1,AW326=$AX$2,AW326=$AX$3,AW326=$AX$4,AW326=$AY$1,AW326=$AY$2,AW326=$AY$3,AW326=$AY$4)),0,1)</f>
        <v>#REF!</v>
      </c>
    </row>
    <row r="327" spans="2:50" x14ac:dyDescent="0.2">
      <c r="B327" s="4">
        <v>646</v>
      </c>
      <c r="C327" s="208">
        <v>4.4194173824159217E-8</v>
      </c>
      <c r="D327" s="208">
        <v>4.4194173824159217E-8</v>
      </c>
      <c r="E327" s="208">
        <v>4.4194173824159217E-8</v>
      </c>
      <c r="F327" s="209" t="s">
        <v>714</v>
      </c>
      <c r="G327" s="208">
        <v>1.0699794664424101E-15</v>
      </c>
      <c r="H327" s="210">
        <v>1.4625197181563614E-14</v>
      </c>
      <c r="I327" s="208">
        <v>6.4634850645462583E-24</v>
      </c>
      <c r="J327" s="208">
        <v>6.4634850645462583E-24</v>
      </c>
      <c r="K327" s="208">
        <v>6.4634850645462583E-24</v>
      </c>
      <c r="L327" s="208">
        <v>0</v>
      </c>
      <c r="M327" s="208">
        <v>0</v>
      </c>
      <c r="N327" s="208">
        <v>0</v>
      </c>
      <c r="O327" s="3">
        <v>360</v>
      </c>
      <c r="P327" s="3">
        <v>360</v>
      </c>
      <c r="Q327" s="3">
        <v>360</v>
      </c>
      <c r="S327" s="4">
        <v>0</v>
      </c>
      <c r="T327" s="4">
        <v>161.5</v>
      </c>
      <c r="U327" s="210"/>
      <c r="V327" s="210">
        <v>1.4625197181563617E-14</v>
      </c>
      <c r="W327" s="3">
        <v>0</v>
      </c>
      <c r="X327" s="3">
        <v>0</v>
      </c>
      <c r="Y327" s="3">
        <f t="shared" si="105"/>
        <v>1</v>
      </c>
      <c r="Z327" s="3">
        <f t="shared" si="106"/>
        <v>1</v>
      </c>
      <c r="AA327" s="3" t="str">
        <f t="shared" si="91"/>
        <v/>
      </c>
      <c r="AB327" s="3" t="str">
        <f t="shared" si="92"/>
        <v/>
      </c>
      <c r="AC327" s="3" t="str">
        <f t="shared" si="93"/>
        <v/>
      </c>
      <c r="AD327" s="3" t="str">
        <f t="shared" si="94"/>
        <v>0</v>
      </c>
      <c r="AE327" s="3">
        <f t="shared" si="95"/>
        <v>0</v>
      </c>
      <c r="AF327" s="3">
        <f t="shared" si="96"/>
        <v>0</v>
      </c>
      <c r="AM327" s="3" t="str">
        <f t="shared" si="97"/>
        <v/>
      </c>
      <c r="AN327" s="3" t="str">
        <f t="shared" si="98"/>
        <v/>
      </c>
      <c r="AO327" s="3" t="str">
        <f t="shared" si="99"/>
        <v/>
      </c>
      <c r="AP327" s="3">
        <f t="shared" si="100"/>
        <v>0</v>
      </c>
      <c r="AQ327" s="3">
        <f t="shared" si="101"/>
        <v>0</v>
      </c>
      <c r="AR327" s="3">
        <f t="shared" si="107"/>
        <v>0</v>
      </c>
      <c r="AS327" s="3" t="e">
        <f t="shared" si="108"/>
        <v>#REF!</v>
      </c>
      <c r="AT327" s="3" t="str">
        <f t="shared" si="102"/>
        <v/>
      </c>
      <c r="AU327" s="3">
        <f t="shared" si="103"/>
        <v>0</v>
      </c>
      <c r="AV327" s="3">
        <f t="shared" si="104"/>
        <v>0</v>
      </c>
      <c r="AW327" s="3">
        <v>646</v>
      </c>
      <c r="AX327" s="3" t="e">
        <f>IF(AND(#REF!="N",OR(AW327=$AX$1,AW327=$AX$2,AW327=$AX$3,AW327=$AX$4,AW327=$AY$1,AW327=$AY$2,AW327=$AY$3,AW327=$AY$4)),0,1)</f>
        <v>#REF!</v>
      </c>
    </row>
    <row r="328" spans="2:50" x14ac:dyDescent="0.2">
      <c r="B328" s="4">
        <v>648</v>
      </c>
      <c r="C328" s="208">
        <v>4.4194173824159217E-8</v>
      </c>
      <c r="D328" s="208">
        <v>4.4194173824159217E-8</v>
      </c>
      <c r="E328" s="208">
        <v>4.4194173824159217E-8</v>
      </c>
      <c r="F328" s="209" t="s">
        <v>714</v>
      </c>
      <c r="G328" s="208">
        <v>7.8494720547718647E-16</v>
      </c>
      <c r="H328" s="210">
        <v>1.0729185014541657E-14</v>
      </c>
      <c r="I328" s="208">
        <v>4.7416746752421823E-24</v>
      </c>
      <c r="J328" s="208">
        <v>4.7416746752421823E-24</v>
      </c>
      <c r="K328" s="208">
        <v>4.7416746752421823E-24</v>
      </c>
      <c r="L328" s="208">
        <v>0</v>
      </c>
      <c r="M328" s="208">
        <v>0</v>
      </c>
      <c r="N328" s="208">
        <v>0</v>
      </c>
      <c r="O328" s="3">
        <v>360</v>
      </c>
      <c r="P328" s="3">
        <v>360</v>
      </c>
      <c r="Q328" s="3">
        <v>360</v>
      </c>
      <c r="S328" s="4">
        <v>0</v>
      </c>
      <c r="T328" s="4">
        <v>162</v>
      </c>
      <c r="U328" s="210"/>
      <c r="V328" s="210">
        <v>1.0729185014541657E-14</v>
      </c>
      <c r="W328" s="3">
        <v>0</v>
      </c>
      <c r="X328" s="3">
        <v>0</v>
      </c>
      <c r="Y328" s="3">
        <f t="shared" si="105"/>
        <v>1</v>
      </c>
      <c r="Z328" s="3">
        <f t="shared" si="106"/>
        <v>1</v>
      </c>
      <c r="AA328" s="3" t="str">
        <f t="shared" si="91"/>
        <v/>
      </c>
      <c r="AB328" s="3" t="str">
        <f t="shared" si="92"/>
        <v/>
      </c>
      <c r="AC328" s="3" t="str">
        <f t="shared" si="93"/>
        <v/>
      </c>
      <c r="AD328" s="3" t="str">
        <f t="shared" si="94"/>
        <v>0</v>
      </c>
      <c r="AE328" s="3">
        <f t="shared" si="95"/>
        <v>0</v>
      </c>
      <c r="AF328" s="3">
        <f t="shared" si="96"/>
        <v>0</v>
      </c>
      <c r="AM328" s="3" t="str">
        <f t="shared" si="97"/>
        <v/>
      </c>
      <c r="AN328" s="3" t="str">
        <f t="shared" si="98"/>
        <v/>
      </c>
      <c r="AO328" s="3" t="str">
        <f t="shared" si="99"/>
        <v/>
      </c>
      <c r="AP328" s="3">
        <f t="shared" si="100"/>
        <v>0</v>
      </c>
      <c r="AQ328" s="3">
        <f t="shared" si="101"/>
        <v>0</v>
      </c>
      <c r="AR328" s="3">
        <f t="shared" si="107"/>
        <v>0</v>
      </c>
      <c r="AS328" s="3" t="e">
        <f t="shared" si="108"/>
        <v>#REF!</v>
      </c>
      <c r="AT328" s="3" t="str">
        <f t="shared" si="102"/>
        <v/>
      </c>
      <c r="AU328" s="3">
        <f t="shared" si="103"/>
        <v>0</v>
      </c>
      <c r="AV328" s="3">
        <f t="shared" si="104"/>
        <v>0</v>
      </c>
      <c r="AW328" s="3">
        <v>648</v>
      </c>
      <c r="AX328" s="3" t="e">
        <f>IF(AND(#REF!="N",OR(AW328=$AX$1,AW328=$AX$2,AW328=$AX$3,AW328=$AX$4,AW328=$AY$1,AW328=$AY$2,AW328=$AY$3,AW328=$AY$4)),0,1)</f>
        <v>#REF!</v>
      </c>
    </row>
    <row r="329" spans="2:50" x14ac:dyDescent="0.2">
      <c r="B329" s="4">
        <v>650</v>
      </c>
      <c r="C329" s="208">
        <v>4.4194173824159217E-8</v>
      </c>
      <c r="D329" s="208">
        <v>4.4194173824159217E-8</v>
      </c>
      <c r="E329" s="208">
        <v>4.4194173824159217E-8</v>
      </c>
      <c r="F329" s="209" t="s">
        <v>714</v>
      </c>
      <c r="G329" s="208">
        <v>1.5132928462787833E-16</v>
      </c>
      <c r="H329" s="210">
        <v>2.0684701869900861E-15</v>
      </c>
      <c r="I329" s="208">
        <v>9.1414330993930975E-25</v>
      </c>
      <c r="J329" s="208">
        <v>9.1414330993930975E-25</v>
      </c>
      <c r="K329" s="208">
        <v>9.1414330993930975E-25</v>
      </c>
      <c r="L329" s="208">
        <v>0</v>
      </c>
      <c r="M329" s="208">
        <v>0</v>
      </c>
      <c r="N329" s="208">
        <v>0</v>
      </c>
      <c r="O329" s="3">
        <v>360</v>
      </c>
      <c r="P329" s="3">
        <v>360</v>
      </c>
      <c r="Q329" s="3">
        <v>360</v>
      </c>
      <c r="S329" s="4">
        <v>0</v>
      </c>
      <c r="T329" s="4">
        <v>162.5</v>
      </c>
      <c r="U329" s="210"/>
      <c r="V329" s="210">
        <v>2.0684701869900861E-15</v>
      </c>
      <c r="W329" s="3">
        <v>0</v>
      </c>
      <c r="X329" s="3">
        <v>0</v>
      </c>
      <c r="Y329" s="3">
        <f t="shared" si="105"/>
        <v>1</v>
      </c>
      <c r="Z329" s="3">
        <f t="shared" si="106"/>
        <v>1</v>
      </c>
      <c r="AA329" s="3" t="str">
        <f t="shared" si="91"/>
        <v/>
      </c>
      <c r="AB329" s="3" t="str">
        <f t="shared" si="92"/>
        <v/>
      </c>
      <c r="AC329" s="3" t="str">
        <f t="shared" si="93"/>
        <v/>
      </c>
      <c r="AD329" s="3" t="str">
        <f t="shared" si="94"/>
        <v>0</v>
      </c>
      <c r="AE329" s="3">
        <f t="shared" si="95"/>
        <v>0</v>
      </c>
      <c r="AF329" s="3">
        <f t="shared" si="96"/>
        <v>0</v>
      </c>
      <c r="AM329" s="3" t="str">
        <f t="shared" si="97"/>
        <v/>
      </c>
      <c r="AN329" s="3" t="str">
        <f t="shared" si="98"/>
        <v/>
      </c>
      <c r="AO329" s="3" t="str">
        <f t="shared" si="99"/>
        <v/>
      </c>
      <c r="AP329" s="3">
        <f t="shared" si="100"/>
        <v>0</v>
      </c>
      <c r="AQ329" s="3">
        <f t="shared" si="101"/>
        <v>0</v>
      </c>
      <c r="AR329" s="3">
        <f t="shared" si="107"/>
        <v>0</v>
      </c>
      <c r="AS329" s="3" t="e">
        <f t="shared" si="108"/>
        <v>#REF!</v>
      </c>
      <c r="AT329" s="3" t="str">
        <f t="shared" si="102"/>
        <v/>
      </c>
      <c r="AU329" s="3">
        <f t="shared" si="103"/>
        <v>0</v>
      </c>
      <c r="AV329" s="3">
        <f t="shared" si="104"/>
        <v>0</v>
      </c>
      <c r="AW329" s="3">
        <v>650</v>
      </c>
      <c r="AX329" s="3" t="e">
        <f>IF(AND(#REF!="N",OR(AW329=$AX$1,AW329=$AX$2,AW329=$AX$3,AW329=$AX$4,AW329=$AY$1,AW329=$AY$2,AW329=$AY$3,AW329=$AY$4)),0,1)</f>
        <v>#REF!</v>
      </c>
    </row>
    <row r="330" spans="2:50" x14ac:dyDescent="0.2">
      <c r="B330" s="4">
        <v>652</v>
      </c>
      <c r="C330" s="208">
        <v>0.2053349539630811</v>
      </c>
      <c r="D330" s="208">
        <v>0.20533495396306295</v>
      </c>
      <c r="E330" s="208">
        <v>0.20533495396307314</v>
      </c>
      <c r="F330" s="209" t="s">
        <v>714</v>
      </c>
      <c r="G330" s="208">
        <v>9.6235797534540285E-3</v>
      </c>
      <c r="H330" s="210">
        <v>0.1315415443949961</v>
      </c>
      <c r="I330" s="208">
        <v>2.7010076962579116E-4</v>
      </c>
      <c r="J330" s="208">
        <v>2.7010076962576726E-4</v>
      </c>
      <c r="K330" s="208">
        <v>2.701007696257807E-4</v>
      </c>
      <c r="L330" s="208">
        <v>4.6782825615533132E-4</v>
      </c>
      <c r="M330" s="208">
        <v>4.6782825615530031E-4</v>
      </c>
      <c r="N330" s="208">
        <v>4.6782825615528952E-4</v>
      </c>
      <c r="O330" s="3">
        <v>240</v>
      </c>
      <c r="P330" s="3">
        <v>240</v>
      </c>
      <c r="Q330" s="3">
        <v>240</v>
      </c>
      <c r="R330" s="4" t="s">
        <v>168</v>
      </c>
      <c r="S330" s="4" t="s">
        <v>168</v>
      </c>
      <c r="T330" s="4">
        <v>163</v>
      </c>
      <c r="U330" s="210"/>
      <c r="V330" s="210">
        <v>0.1315415443949961</v>
      </c>
      <c r="W330" s="3">
        <v>0</v>
      </c>
      <c r="X330" s="3">
        <v>0.13154154439499105</v>
      </c>
      <c r="Y330" s="3">
        <f t="shared" si="105"/>
        <v>1</v>
      </c>
      <c r="Z330" s="3">
        <f t="shared" si="106"/>
        <v>1</v>
      </c>
      <c r="AA330" s="3">
        <f t="shared" si="91"/>
        <v>0.13791844010204368</v>
      </c>
      <c r="AB330" s="3">
        <f t="shared" si="92"/>
        <v>6.8959220051021841E-2</v>
      </c>
      <c r="AC330" s="3">
        <f t="shared" si="93"/>
        <v>2.5954766852731322E-5</v>
      </c>
      <c r="AD330" s="3" t="str">
        <f t="shared" si="94"/>
        <v>3.90693803751865E-09+0.0000259528126484688i</v>
      </c>
      <c r="AE330" s="3">
        <f t="shared" si="95"/>
        <v>3.9069380375186502E-9</v>
      </c>
      <c r="AF330" s="3">
        <f t="shared" si="96"/>
        <v>2.59528126484688E-5</v>
      </c>
      <c r="AM330" s="3" t="str">
        <f t="shared" si="97"/>
        <v>-1.78982047877046E-06+3.57964095754094E-06i</v>
      </c>
      <c r="AN330" s="3" t="str">
        <f t="shared" si="98"/>
        <v>0.137918440102044+0.0689851748178746i</v>
      </c>
      <c r="AO330" s="3" t="str">
        <f t="shared" si="99"/>
        <v>3.90693803751865E-09+0.0000259528126484688i</v>
      </c>
      <c r="AP330" s="3">
        <f t="shared" si="100"/>
        <v>3.9069380375186502E-9</v>
      </c>
      <c r="AQ330" s="3">
        <f t="shared" si="101"/>
        <v>2.59528126484688E-5</v>
      </c>
      <c r="AR330" s="3">
        <f t="shared" si="107"/>
        <v>0.96367872809502864</v>
      </c>
      <c r="AS330" s="3" t="e">
        <f t="shared" si="108"/>
        <v>#REF!</v>
      </c>
      <c r="AT330" s="3" t="e">
        <f t="shared" si="102"/>
        <v>#REF!</v>
      </c>
      <c r="AU330" s="3" t="e">
        <f t="shared" si="103"/>
        <v>#REF!</v>
      </c>
      <c r="AV330" s="3" t="e">
        <f t="shared" si="104"/>
        <v>#REF!</v>
      </c>
      <c r="AW330" s="3">
        <v>652</v>
      </c>
      <c r="AX330" s="3" t="e">
        <f>IF(AND(#REF!="N",OR(AW330=$AX$1,AW330=$AX$2,AW330=$AX$3,AW330=$AX$4,AW330=$AY$1,AW330=$AY$2,AW330=$AY$3,AW330=$AY$4)),0,1)</f>
        <v>#REF!</v>
      </c>
    </row>
    <row r="331" spans="2:50" x14ac:dyDescent="0.2">
      <c r="B331" s="4">
        <v>654</v>
      </c>
      <c r="C331" s="208">
        <v>4.4194173824159217E-8</v>
      </c>
      <c r="D331" s="208">
        <v>4.4194173824159217E-8</v>
      </c>
      <c r="E331" s="208">
        <v>4.4194173824159217E-8</v>
      </c>
      <c r="F331" s="209" t="s">
        <v>714</v>
      </c>
      <c r="G331" s="208">
        <v>1.0043455626585875E-15</v>
      </c>
      <c r="H331" s="210">
        <v>1.3728068951780111E-14</v>
      </c>
      <c r="I331" s="208">
        <v>6.0670066552501349E-24</v>
      </c>
      <c r="J331" s="208">
        <v>6.0670066552501349E-24</v>
      </c>
      <c r="K331" s="208">
        <v>6.0670066552501349E-24</v>
      </c>
      <c r="L331" s="208">
        <v>0</v>
      </c>
      <c r="M331" s="208">
        <v>0</v>
      </c>
      <c r="N331" s="208">
        <v>0</v>
      </c>
      <c r="O331" s="3">
        <v>360</v>
      </c>
      <c r="P331" s="3">
        <v>360</v>
      </c>
      <c r="Q331" s="3">
        <v>360</v>
      </c>
      <c r="S331" s="4">
        <v>0</v>
      </c>
      <c r="T331" s="4">
        <v>163.5</v>
      </c>
      <c r="U331" s="210"/>
      <c r="V331" s="210">
        <v>1.372806895178011E-14</v>
      </c>
      <c r="W331" s="3">
        <v>0</v>
      </c>
      <c r="X331" s="3">
        <v>0</v>
      </c>
      <c r="Y331" s="3">
        <f t="shared" si="105"/>
        <v>1</v>
      </c>
      <c r="Z331" s="3">
        <f t="shared" si="106"/>
        <v>1</v>
      </c>
      <c r="AA331" s="3" t="str">
        <f t="shared" si="91"/>
        <v/>
      </c>
      <c r="AB331" s="3" t="str">
        <f t="shared" si="92"/>
        <v/>
      </c>
      <c r="AC331" s="3" t="str">
        <f t="shared" si="93"/>
        <v/>
      </c>
      <c r="AD331" s="3" t="str">
        <f t="shared" si="94"/>
        <v>0</v>
      </c>
      <c r="AE331" s="3">
        <f t="shared" si="95"/>
        <v>0</v>
      </c>
      <c r="AF331" s="3">
        <f t="shared" si="96"/>
        <v>0</v>
      </c>
      <c r="AM331" s="3" t="str">
        <f t="shared" si="97"/>
        <v/>
      </c>
      <c r="AN331" s="3" t="str">
        <f t="shared" si="98"/>
        <v/>
      </c>
      <c r="AO331" s="3" t="str">
        <f t="shared" si="99"/>
        <v/>
      </c>
      <c r="AP331" s="3">
        <f t="shared" si="100"/>
        <v>0</v>
      </c>
      <c r="AQ331" s="3">
        <f t="shared" si="101"/>
        <v>0</v>
      </c>
      <c r="AR331" s="3">
        <f t="shared" si="107"/>
        <v>0</v>
      </c>
      <c r="AS331" s="3" t="e">
        <f t="shared" si="108"/>
        <v>#REF!</v>
      </c>
      <c r="AT331" s="3" t="str">
        <f t="shared" si="102"/>
        <v/>
      </c>
      <c r="AU331" s="3">
        <f t="shared" si="103"/>
        <v>0</v>
      </c>
      <c r="AV331" s="3">
        <f t="shared" si="104"/>
        <v>0</v>
      </c>
      <c r="AW331" s="3">
        <v>654</v>
      </c>
      <c r="AX331" s="3" t="e">
        <f>IF(AND(#REF!="N",OR(AW331=$AX$1,AW331=$AX$2,AW331=$AX$3,AW331=$AX$4,AW331=$AY$1,AW331=$AY$2,AW331=$AY$3,AW331=$AY$4)),0,1)</f>
        <v>#REF!</v>
      </c>
    </row>
    <row r="332" spans="2:50" x14ac:dyDescent="0.2">
      <c r="B332" s="4">
        <v>656</v>
      </c>
      <c r="C332" s="208">
        <v>4.4194173824159217E-8</v>
      </c>
      <c r="D332" s="208">
        <v>4.4194173824159217E-8</v>
      </c>
      <c r="E332" s="208">
        <v>4.4194173824159217E-8</v>
      </c>
      <c r="F332" s="209" t="s">
        <v>714</v>
      </c>
      <c r="G332" s="208">
        <v>4.3820881781644563E-16</v>
      </c>
      <c r="H332" s="210">
        <v>5.9897321100697519E-15</v>
      </c>
      <c r="I332" s="208">
        <v>2.647112620325706E-24</v>
      </c>
      <c r="J332" s="208">
        <v>2.647112620325706E-24</v>
      </c>
      <c r="K332" s="208">
        <v>2.647112620325706E-24</v>
      </c>
      <c r="L332" s="208">
        <v>0</v>
      </c>
      <c r="M332" s="208">
        <v>0</v>
      </c>
      <c r="N332" s="208">
        <v>0</v>
      </c>
      <c r="O332" s="3">
        <v>360</v>
      </c>
      <c r="P332" s="3">
        <v>360</v>
      </c>
      <c r="Q332" s="3">
        <v>360</v>
      </c>
      <c r="S332" s="4">
        <v>0</v>
      </c>
      <c r="T332" s="4">
        <v>164</v>
      </c>
      <c r="U332" s="210"/>
      <c r="V332" s="210">
        <v>5.9897321100697527E-15</v>
      </c>
      <c r="W332" s="3">
        <v>0</v>
      </c>
      <c r="X332" s="3">
        <v>0</v>
      </c>
      <c r="Y332" s="3">
        <f t="shared" si="105"/>
        <v>1</v>
      </c>
      <c r="Z332" s="3">
        <f t="shared" si="106"/>
        <v>1</v>
      </c>
      <c r="AA332" s="3" t="str">
        <f t="shared" si="91"/>
        <v/>
      </c>
      <c r="AB332" s="3" t="str">
        <f t="shared" si="92"/>
        <v/>
      </c>
      <c r="AC332" s="3" t="str">
        <f t="shared" si="93"/>
        <v/>
      </c>
      <c r="AD332" s="3" t="str">
        <f t="shared" si="94"/>
        <v>0</v>
      </c>
      <c r="AE332" s="3">
        <f t="shared" si="95"/>
        <v>0</v>
      </c>
      <c r="AF332" s="3">
        <f t="shared" si="96"/>
        <v>0</v>
      </c>
      <c r="AM332" s="3" t="str">
        <f t="shared" si="97"/>
        <v/>
      </c>
      <c r="AN332" s="3" t="str">
        <f t="shared" si="98"/>
        <v/>
      </c>
      <c r="AO332" s="3" t="str">
        <f t="shared" si="99"/>
        <v/>
      </c>
      <c r="AP332" s="3">
        <f t="shared" si="100"/>
        <v>0</v>
      </c>
      <c r="AQ332" s="3">
        <f t="shared" si="101"/>
        <v>0</v>
      </c>
      <c r="AR332" s="3">
        <f t="shared" si="107"/>
        <v>0</v>
      </c>
      <c r="AS332" s="3" t="e">
        <f t="shared" si="108"/>
        <v>#REF!</v>
      </c>
      <c r="AT332" s="3" t="str">
        <f t="shared" si="102"/>
        <v/>
      </c>
      <c r="AU332" s="3">
        <f t="shared" si="103"/>
        <v>0</v>
      </c>
      <c r="AV332" s="3">
        <f t="shared" si="104"/>
        <v>0</v>
      </c>
      <c r="AW332" s="3">
        <v>656</v>
      </c>
      <c r="AX332" s="3" t="e">
        <f>IF(AND(#REF!="N",OR(AW332=$AX$1,AW332=$AX$2,AW332=$AX$3,AW332=$AX$4,AW332=$AY$1,AW332=$AY$2,AW332=$AY$3,AW332=$AY$4)),0,1)</f>
        <v>#REF!</v>
      </c>
    </row>
    <row r="333" spans="2:50" x14ac:dyDescent="0.2">
      <c r="B333" s="4">
        <v>658</v>
      </c>
      <c r="C333" s="208">
        <v>4.4194173824159217E-8</v>
      </c>
      <c r="D333" s="208">
        <v>4.4194173824159217E-8</v>
      </c>
      <c r="E333" s="208">
        <v>4.4194173824159217E-8</v>
      </c>
      <c r="F333" s="209" t="s">
        <v>714</v>
      </c>
      <c r="G333" s="208">
        <v>5.6125165414912969E-16</v>
      </c>
      <c r="H333" s="210">
        <v>7.6715641447793828E-15</v>
      </c>
      <c r="I333" s="208">
        <v>3.390384393175674E-24</v>
      </c>
      <c r="J333" s="208">
        <v>3.390384393175674E-24</v>
      </c>
      <c r="K333" s="208">
        <v>3.390384393175674E-24</v>
      </c>
      <c r="L333" s="208">
        <v>0</v>
      </c>
      <c r="M333" s="208">
        <v>0</v>
      </c>
      <c r="N333" s="208">
        <v>0</v>
      </c>
      <c r="O333" s="3">
        <v>360</v>
      </c>
      <c r="P333" s="3">
        <v>360</v>
      </c>
      <c r="Q333" s="3">
        <v>360</v>
      </c>
      <c r="S333" s="4">
        <v>0</v>
      </c>
      <c r="T333" s="4">
        <v>164.5</v>
      </c>
      <c r="U333" s="210"/>
      <c r="V333" s="210">
        <v>7.6715641447793844E-15</v>
      </c>
      <c r="W333" s="3">
        <v>0</v>
      </c>
      <c r="X333" s="3">
        <v>0</v>
      </c>
      <c r="Y333" s="3">
        <f t="shared" si="105"/>
        <v>1</v>
      </c>
      <c r="Z333" s="3">
        <f t="shared" si="106"/>
        <v>1</v>
      </c>
      <c r="AA333" s="3" t="str">
        <f t="shared" si="91"/>
        <v/>
      </c>
      <c r="AB333" s="3" t="str">
        <f t="shared" si="92"/>
        <v/>
      </c>
      <c r="AC333" s="3" t="str">
        <f t="shared" si="93"/>
        <v/>
      </c>
      <c r="AD333" s="3" t="str">
        <f t="shared" si="94"/>
        <v>0</v>
      </c>
      <c r="AE333" s="3">
        <f t="shared" si="95"/>
        <v>0</v>
      </c>
      <c r="AF333" s="3">
        <f t="shared" si="96"/>
        <v>0</v>
      </c>
      <c r="AM333" s="3" t="str">
        <f t="shared" si="97"/>
        <v/>
      </c>
      <c r="AN333" s="3" t="str">
        <f t="shared" si="98"/>
        <v/>
      </c>
      <c r="AO333" s="3" t="str">
        <f t="shared" si="99"/>
        <v/>
      </c>
      <c r="AP333" s="3">
        <f t="shared" si="100"/>
        <v>0</v>
      </c>
      <c r="AQ333" s="3">
        <f t="shared" si="101"/>
        <v>0</v>
      </c>
      <c r="AR333" s="3">
        <f t="shared" si="107"/>
        <v>0</v>
      </c>
      <c r="AS333" s="3" t="e">
        <f t="shared" si="108"/>
        <v>#REF!</v>
      </c>
      <c r="AT333" s="3" t="str">
        <f t="shared" si="102"/>
        <v/>
      </c>
      <c r="AU333" s="3">
        <f t="shared" si="103"/>
        <v>0</v>
      </c>
      <c r="AV333" s="3">
        <f t="shared" si="104"/>
        <v>0</v>
      </c>
      <c r="AW333" s="3">
        <v>658</v>
      </c>
      <c r="AX333" s="3" t="e">
        <f>IF(AND(#REF!="N",OR(AW333=$AX$1,AW333=$AX$2,AW333=$AX$3,AW333=$AX$4,AW333=$AY$1,AW333=$AY$2,AW333=$AY$3,AW333=$AY$4)),0,1)</f>
        <v>#REF!</v>
      </c>
    </row>
    <row r="334" spans="2:50" x14ac:dyDescent="0.2">
      <c r="B334" s="4">
        <v>660</v>
      </c>
      <c r="C334" s="208">
        <v>0.65328148243818529</v>
      </c>
      <c r="D334" s="208">
        <v>0.6532814824381834</v>
      </c>
      <c r="E334" s="208">
        <v>0.65328148243818573</v>
      </c>
      <c r="F334" s="209" t="s">
        <v>714</v>
      </c>
      <c r="G334" s="208">
        <v>5.5051343934382315E-16</v>
      </c>
      <c r="H334" s="210">
        <v>7.5247870207026324E-15</v>
      </c>
      <c r="I334" s="208">
        <v>4.915804019916231E-17</v>
      </c>
      <c r="J334" s="208">
        <v>4.9158040199162168E-17</v>
      </c>
      <c r="K334" s="208">
        <v>4.915804019916234E-17</v>
      </c>
      <c r="L334" s="208">
        <v>8.079376888810866E-31</v>
      </c>
      <c r="M334" s="208">
        <v>1.8388119101063269E-30</v>
      </c>
      <c r="N334" s="208">
        <v>1.0405076394089065E-30</v>
      </c>
      <c r="O334" s="3">
        <v>360</v>
      </c>
      <c r="P334" s="3">
        <v>0</v>
      </c>
      <c r="Q334" s="3">
        <v>360</v>
      </c>
      <c r="S334" s="4">
        <v>0</v>
      </c>
      <c r="T334" s="4">
        <v>165</v>
      </c>
      <c r="U334" s="210"/>
      <c r="V334" s="210">
        <v>7.5247870207026324E-15</v>
      </c>
      <c r="W334" s="3">
        <v>0</v>
      </c>
      <c r="X334" s="3">
        <v>0</v>
      </c>
      <c r="Y334" s="3">
        <f t="shared" si="105"/>
        <v>1</v>
      </c>
      <c r="Z334" s="3">
        <f t="shared" si="106"/>
        <v>1</v>
      </c>
      <c r="AA334" s="3" t="str">
        <f t="shared" si="91"/>
        <v/>
      </c>
      <c r="AB334" s="3" t="str">
        <f t="shared" si="92"/>
        <v/>
      </c>
      <c r="AC334" s="3" t="str">
        <f t="shared" si="93"/>
        <v/>
      </c>
      <c r="AD334" s="3" t="str">
        <f t="shared" si="94"/>
        <v>0</v>
      </c>
      <c r="AE334" s="3">
        <f t="shared" si="95"/>
        <v>0</v>
      </c>
      <c r="AF334" s="3">
        <f t="shared" si="96"/>
        <v>0</v>
      </c>
      <c r="AM334" s="3" t="str">
        <f t="shared" si="97"/>
        <v/>
      </c>
      <c r="AN334" s="3" t="str">
        <f t="shared" si="98"/>
        <v/>
      </c>
      <c r="AO334" s="3" t="str">
        <f t="shared" si="99"/>
        <v/>
      </c>
      <c r="AP334" s="3">
        <f t="shared" si="100"/>
        <v>0</v>
      </c>
      <c r="AQ334" s="3">
        <f t="shared" si="101"/>
        <v>0</v>
      </c>
      <c r="AR334" s="3">
        <f t="shared" si="107"/>
        <v>0</v>
      </c>
      <c r="AS334" s="3" t="e">
        <f t="shared" si="108"/>
        <v>#REF!</v>
      </c>
      <c r="AT334" s="3" t="str">
        <f t="shared" si="102"/>
        <v/>
      </c>
      <c r="AU334" s="3">
        <f t="shared" si="103"/>
        <v>0</v>
      </c>
      <c r="AV334" s="3">
        <f t="shared" si="104"/>
        <v>0</v>
      </c>
      <c r="AW334" s="3">
        <v>660</v>
      </c>
      <c r="AX334" s="3" t="e">
        <f>IF(AND(#REF!="N",OR(AW334=$AX$1,AW334=$AX$2,AW334=$AX$3,AW334=$AX$4,AW334=$AY$1,AW334=$AY$2,AW334=$AY$3,AW334=$AY$4)),0,1)</f>
        <v>#REF!</v>
      </c>
    </row>
    <row r="335" spans="2:50" x14ac:dyDescent="0.2">
      <c r="B335" s="4">
        <v>662</v>
      </c>
      <c r="C335" s="208">
        <v>4.4194173824159217E-8</v>
      </c>
      <c r="D335" s="208">
        <v>4.4194173824159217E-8</v>
      </c>
      <c r="E335" s="208">
        <v>4.4194173824159217E-8</v>
      </c>
      <c r="F335" s="209" t="s">
        <v>714</v>
      </c>
      <c r="G335" s="208">
        <v>1.4259104657625972E-15</v>
      </c>
      <c r="H335" s="210">
        <v>1.9490300869391165E-14</v>
      </c>
      <c r="I335" s="208">
        <v>8.6135774450703456E-24</v>
      </c>
      <c r="J335" s="208">
        <v>8.6135774450703456E-24</v>
      </c>
      <c r="K335" s="208">
        <v>8.6135774450703456E-24</v>
      </c>
      <c r="L335" s="208">
        <v>0</v>
      </c>
      <c r="M335" s="208">
        <v>0</v>
      </c>
      <c r="N335" s="208">
        <v>0</v>
      </c>
      <c r="O335" s="3">
        <v>360</v>
      </c>
      <c r="P335" s="3">
        <v>360</v>
      </c>
      <c r="Q335" s="3">
        <v>360</v>
      </c>
      <c r="S335" s="4">
        <v>0</v>
      </c>
      <c r="T335" s="4">
        <v>165.5</v>
      </c>
      <c r="U335" s="210"/>
      <c r="V335" s="210">
        <v>1.9490300869391165E-14</v>
      </c>
      <c r="W335" s="3">
        <v>0</v>
      </c>
      <c r="X335" s="3">
        <v>0</v>
      </c>
      <c r="Y335" s="3">
        <f t="shared" si="105"/>
        <v>1</v>
      </c>
      <c r="Z335" s="3">
        <f t="shared" si="106"/>
        <v>1</v>
      </c>
      <c r="AA335" s="3" t="str">
        <f t="shared" si="91"/>
        <v/>
      </c>
      <c r="AB335" s="3" t="str">
        <f t="shared" si="92"/>
        <v/>
      </c>
      <c r="AC335" s="3" t="str">
        <f t="shared" si="93"/>
        <v/>
      </c>
      <c r="AD335" s="3" t="str">
        <f t="shared" si="94"/>
        <v>0</v>
      </c>
      <c r="AE335" s="3">
        <f t="shared" si="95"/>
        <v>0</v>
      </c>
      <c r="AF335" s="3">
        <f t="shared" si="96"/>
        <v>0</v>
      </c>
      <c r="AM335" s="3" t="str">
        <f t="shared" si="97"/>
        <v/>
      </c>
      <c r="AN335" s="3" t="str">
        <f t="shared" si="98"/>
        <v/>
      </c>
      <c r="AO335" s="3" t="str">
        <f t="shared" si="99"/>
        <v/>
      </c>
      <c r="AP335" s="3">
        <f t="shared" si="100"/>
        <v>0</v>
      </c>
      <c r="AQ335" s="3">
        <f t="shared" si="101"/>
        <v>0</v>
      </c>
      <c r="AR335" s="3">
        <f t="shared" si="107"/>
        <v>0</v>
      </c>
      <c r="AS335" s="3" t="e">
        <f t="shared" si="108"/>
        <v>#REF!</v>
      </c>
      <c r="AT335" s="3" t="str">
        <f t="shared" si="102"/>
        <v/>
      </c>
      <c r="AU335" s="3">
        <f t="shared" si="103"/>
        <v>0</v>
      </c>
      <c r="AV335" s="3">
        <f t="shared" si="104"/>
        <v>0</v>
      </c>
      <c r="AW335" s="3">
        <v>662</v>
      </c>
      <c r="AX335" s="3" t="e">
        <f>IF(AND(#REF!="N",OR(AW335=$AX$1,AW335=$AX$2,AW335=$AX$3,AW335=$AX$4,AW335=$AY$1,AW335=$AY$2,AW335=$AY$3,AW335=$AY$4)),0,1)</f>
        <v>#REF!</v>
      </c>
    </row>
    <row r="336" spans="2:50" x14ac:dyDescent="0.2">
      <c r="B336" s="4">
        <v>664</v>
      </c>
      <c r="C336" s="208">
        <v>4.4194173824159217E-8</v>
      </c>
      <c r="D336" s="208">
        <v>4.4194173824159217E-8</v>
      </c>
      <c r="E336" s="208">
        <v>4.4194173824159217E-8</v>
      </c>
      <c r="F336" s="209" t="s">
        <v>714</v>
      </c>
      <c r="G336" s="208">
        <v>1.0601589450418744E-15</v>
      </c>
      <c r="H336" s="210">
        <v>1.4490963706610916E-14</v>
      </c>
      <c r="I336" s="208">
        <v>6.4041616892954539E-24</v>
      </c>
      <c r="J336" s="208">
        <v>6.4041616892954539E-24</v>
      </c>
      <c r="K336" s="208">
        <v>6.4041616892954539E-24</v>
      </c>
      <c r="L336" s="208">
        <v>0</v>
      </c>
      <c r="M336" s="208">
        <v>0</v>
      </c>
      <c r="N336" s="208">
        <v>0</v>
      </c>
      <c r="O336" s="3">
        <v>360</v>
      </c>
      <c r="P336" s="3">
        <v>360</v>
      </c>
      <c r="Q336" s="3">
        <v>360</v>
      </c>
      <c r="S336" s="4">
        <v>0</v>
      </c>
      <c r="T336" s="4">
        <v>166</v>
      </c>
      <c r="U336" s="210"/>
      <c r="V336" s="210">
        <v>1.4490963706610916E-14</v>
      </c>
      <c r="W336" s="3">
        <v>0</v>
      </c>
      <c r="X336" s="3">
        <v>0</v>
      </c>
      <c r="Y336" s="3">
        <f t="shared" si="105"/>
        <v>1</v>
      </c>
      <c r="Z336" s="3">
        <f t="shared" si="106"/>
        <v>1</v>
      </c>
      <c r="AA336" s="3" t="str">
        <f t="shared" si="91"/>
        <v/>
      </c>
      <c r="AB336" s="3" t="str">
        <f t="shared" si="92"/>
        <v/>
      </c>
      <c r="AC336" s="3" t="str">
        <f t="shared" si="93"/>
        <v/>
      </c>
      <c r="AD336" s="3" t="str">
        <f t="shared" si="94"/>
        <v>0</v>
      </c>
      <c r="AE336" s="3">
        <f t="shared" si="95"/>
        <v>0</v>
      </c>
      <c r="AF336" s="3">
        <f t="shared" si="96"/>
        <v>0</v>
      </c>
      <c r="AM336" s="3" t="str">
        <f t="shared" si="97"/>
        <v/>
      </c>
      <c r="AN336" s="3" t="str">
        <f t="shared" si="98"/>
        <v/>
      </c>
      <c r="AO336" s="3" t="str">
        <f t="shared" si="99"/>
        <v/>
      </c>
      <c r="AP336" s="3">
        <f t="shared" si="100"/>
        <v>0</v>
      </c>
      <c r="AQ336" s="3">
        <f t="shared" si="101"/>
        <v>0</v>
      </c>
      <c r="AR336" s="3">
        <f t="shared" si="107"/>
        <v>0</v>
      </c>
      <c r="AS336" s="3" t="e">
        <f t="shared" si="108"/>
        <v>#REF!</v>
      </c>
      <c r="AT336" s="3" t="str">
        <f t="shared" si="102"/>
        <v/>
      </c>
      <c r="AU336" s="3">
        <f t="shared" si="103"/>
        <v>0</v>
      </c>
      <c r="AV336" s="3">
        <f t="shared" si="104"/>
        <v>0</v>
      </c>
      <c r="AW336" s="3">
        <v>664</v>
      </c>
      <c r="AX336" s="3" t="e">
        <f>IF(AND(#REF!="N",OR(AW336=$AX$1,AW336=$AX$2,AW336=$AX$3,AW336=$AX$4,AW336=$AY$1,AW336=$AY$2,AW336=$AY$3,AW336=$AY$4)),0,1)</f>
        <v>#REF!</v>
      </c>
    </row>
    <row r="337" spans="2:50" x14ac:dyDescent="0.2">
      <c r="B337" s="4">
        <v>666</v>
      </c>
      <c r="C337" s="208">
        <v>4.4194173824159217E-8</v>
      </c>
      <c r="D337" s="208">
        <v>4.4194173824159217E-8</v>
      </c>
      <c r="E337" s="208">
        <v>4.4194173824159217E-8</v>
      </c>
      <c r="F337" s="209" t="s">
        <v>714</v>
      </c>
      <c r="G337" s="208">
        <v>8.6990356450023652E-17</v>
      </c>
      <c r="H337" s="210">
        <v>1.1890425525699349E-15</v>
      </c>
      <c r="I337" s="208">
        <v>5.2548753252597673E-25</v>
      </c>
      <c r="J337" s="208">
        <v>5.2548753252597673E-25</v>
      </c>
      <c r="K337" s="208">
        <v>5.2548753252597673E-25</v>
      </c>
      <c r="L337" s="208">
        <v>0</v>
      </c>
      <c r="M337" s="208">
        <v>0</v>
      </c>
      <c r="N337" s="208">
        <v>0</v>
      </c>
      <c r="O337" s="3">
        <v>360</v>
      </c>
      <c r="P337" s="3">
        <v>360</v>
      </c>
      <c r="Q337" s="3">
        <v>360</v>
      </c>
      <c r="S337" s="4">
        <v>0</v>
      </c>
      <c r="T337" s="4">
        <v>166.5</v>
      </c>
      <c r="U337" s="210"/>
      <c r="V337" s="210">
        <v>1.1890425525699349E-15</v>
      </c>
      <c r="W337" s="3">
        <v>0</v>
      </c>
      <c r="X337" s="3">
        <v>0</v>
      </c>
      <c r="Y337" s="3">
        <f t="shared" si="105"/>
        <v>1</v>
      </c>
      <c r="Z337" s="3">
        <f t="shared" si="106"/>
        <v>1</v>
      </c>
      <c r="AA337" s="3" t="str">
        <f t="shared" si="91"/>
        <v/>
      </c>
      <c r="AB337" s="3" t="str">
        <f t="shared" si="92"/>
        <v/>
      </c>
      <c r="AC337" s="3" t="str">
        <f t="shared" si="93"/>
        <v/>
      </c>
      <c r="AD337" s="3" t="str">
        <f t="shared" si="94"/>
        <v>0</v>
      </c>
      <c r="AE337" s="3">
        <f t="shared" si="95"/>
        <v>0</v>
      </c>
      <c r="AF337" s="3">
        <f t="shared" si="96"/>
        <v>0</v>
      </c>
      <c r="AM337" s="3" t="str">
        <f t="shared" si="97"/>
        <v/>
      </c>
      <c r="AN337" s="3" t="str">
        <f t="shared" si="98"/>
        <v/>
      </c>
      <c r="AO337" s="3" t="str">
        <f t="shared" si="99"/>
        <v/>
      </c>
      <c r="AP337" s="3">
        <f t="shared" si="100"/>
        <v>0</v>
      </c>
      <c r="AQ337" s="3">
        <f t="shared" si="101"/>
        <v>0</v>
      </c>
      <c r="AR337" s="3">
        <f t="shared" si="107"/>
        <v>0</v>
      </c>
      <c r="AS337" s="3" t="e">
        <f t="shared" si="108"/>
        <v>#REF!</v>
      </c>
      <c r="AT337" s="3" t="str">
        <f t="shared" si="102"/>
        <v/>
      </c>
      <c r="AU337" s="3">
        <f t="shared" si="103"/>
        <v>0</v>
      </c>
      <c r="AV337" s="3">
        <f t="shared" si="104"/>
        <v>0</v>
      </c>
      <c r="AW337" s="3">
        <v>666</v>
      </c>
      <c r="AX337" s="3" t="e">
        <f>IF(AND(#REF!="N",OR(AW337=$AX$1,AW337=$AX$2,AW337=$AX$3,AW337=$AX$4,AW337=$AY$1,AW337=$AY$2,AW337=$AY$3,AW337=$AY$4)),0,1)</f>
        <v>#REF!</v>
      </c>
    </row>
    <row r="338" spans="2:50" x14ac:dyDescent="0.2">
      <c r="B338" s="4">
        <v>668</v>
      </c>
      <c r="C338" s="208">
        <v>0.95766219694255073</v>
      </c>
      <c r="D338" s="208">
        <v>0.95766219694254262</v>
      </c>
      <c r="E338" s="208">
        <v>0.95766219694254839</v>
      </c>
      <c r="F338" s="209" t="s">
        <v>714</v>
      </c>
      <c r="G338" s="208">
        <v>4.3808384897433113E-2</v>
      </c>
      <c r="H338" s="210">
        <v>0.59880239520958867</v>
      </c>
      <c r="I338" s="208">
        <v>5.7345041733087619E-3</v>
      </c>
      <c r="J338" s="208">
        <v>5.7345041733087134E-3</v>
      </c>
      <c r="K338" s="208">
        <v>5.7345041733087481E-3</v>
      </c>
      <c r="L338" s="208">
        <v>9.9324525843865665E-3</v>
      </c>
      <c r="M338" s="208">
        <v>9.9324525843865821E-3</v>
      </c>
      <c r="N338" s="208">
        <v>9.9324525843863583E-3</v>
      </c>
      <c r="O338" s="3">
        <v>120</v>
      </c>
      <c r="P338" s="3">
        <v>120</v>
      </c>
      <c r="Q338" s="3">
        <v>120</v>
      </c>
      <c r="R338" s="4" t="s">
        <v>172</v>
      </c>
      <c r="S338" s="4" t="s">
        <v>172</v>
      </c>
      <c r="T338" s="4">
        <v>167</v>
      </c>
      <c r="U338" s="210"/>
      <c r="V338" s="210">
        <v>0.59880239520958867</v>
      </c>
      <c r="W338" s="3">
        <v>0.59880239520957823</v>
      </c>
      <c r="X338" s="3">
        <v>0</v>
      </c>
      <c r="Y338" s="3">
        <f t="shared" si="105"/>
        <v>1</v>
      </c>
      <c r="Z338" s="3">
        <f t="shared" si="106"/>
        <v>1</v>
      </c>
      <c r="AA338" s="3">
        <f t="shared" si="91"/>
        <v>3.0000000000000133</v>
      </c>
      <c r="AB338" s="3">
        <f t="shared" si="92"/>
        <v>1.5000000000000067</v>
      </c>
      <c r="AC338" s="3">
        <f t="shared" si="93"/>
        <v>5.3784646276309903E-4</v>
      </c>
      <c r="AD338" s="3" t="str">
        <f t="shared" si="94"/>
        <v>7.71299535983288E-08+0.000537807883958275i</v>
      </c>
      <c r="AE338" s="3">
        <f t="shared" si="95"/>
        <v>7.7129953598328806E-8</v>
      </c>
      <c r="AF338" s="3">
        <f t="shared" si="96"/>
        <v>5.3780788395827502E-4</v>
      </c>
      <c r="AM338" s="3" t="str">
        <f t="shared" si="97"/>
        <v>-0.000806769694144654+0.0016135393882893i</v>
      </c>
      <c r="AN338" s="3" t="str">
        <f t="shared" si="98"/>
        <v>3.00000000000001+1.50053784646277i</v>
      </c>
      <c r="AO338" s="3" t="str">
        <f t="shared" si="99"/>
        <v>7.71299535983288E-08+0.000537807883958275i</v>
      </c>
      <c r="AP338" s="3">
        <f t="shared" si="100"/>
        <v>7.7129953598328806E-8</v>
      </c>
      <c r="AQ338" s="3">
        <f t="shared" si="101"/>
        <v>5.3780788395827502E-4</v>
      </c>
      <c r="AR338" s="3">
        <f t="shared" si="107"/>
        <v>-0.94059660287119562</v>
      </c>
      <c r="AS338" s="3" t="e">
        <f t="shared" si="108"/>
        <v>#REF!</v>
      </c>
      <c r="AT338" s="3" t="e">
        <f t="shared" si="102"/>
        <v>#REF!</v>
      </c>
      <c r="AU338" s="3" t="e">
        <f t="shared" si="103"/>
        <v>#REF!</v>
      </c>
      <c r="AV338" s="3" t="e">
        <f t="shared" si="104"/>
        <v>#REF!</v>
      </c>
      <c r="AW338" s="3">
        <v>668</v>
      </c>
      <c r="AX338" s="3" t="e">
        <f>IF(AND(#REF!="N",OR(AW338=$AX$1,AW338=$AX$2,AW338=$AX$3,AW338=$AX$4,AW338=$AY$1,AW338=$AY$2,AW338=$AY$3,AW338=$AY$4)),0,1)</f>
        <v>#REF!</v>
      </c>
    </row>
    <row r="339" spans="2:50" x14ac:dyDescent="0.2">
      <c r="B339" s="4">
        <v>670</v>
      </c>
      <c r="C339" s="208">
        <v>4.4194173824159217E-8</v>
      </c>
      <c r="D339" s="208">
        <v>4.4194173824159217E-8</v>
      </c>
      <c r="E339" s="208">
        <v>4.4194173824159217E-8</v>
      </c>
      <c r="F339" s="209" t="s">
        <v>714</v>
      </c>
      <c r="G339" s="208">
        <v>2.2255097091560381E-15</v>
      </c>
      <c r="H339" s="210">
        <v>3.0419759768019084E-14</v>
      </c>
      <c r="I339" s="208">
        <v>1.3443761508770008E-23</v>
      </c>
      <c r="J339" s="208">
        <v>1.3443761508770008E-23</v>
      </c>
      <c r="K339" s="208">
        <v>1.3443761508770008E-23</v>
      </c>
      <c r="L339" s="208">
        <v>0</v>
      </c>
      <c r="M339" s="208">
        <v>0</v>
      </c>
      <c r="N339" s="208">
        <v>0</v>
      </c>
      <c r="O339" s="3">
        <v>360</v>
      </c>
      <c r="P339" s="3">
        <v>360</v>
      </c>
      <c r="Q339" s="3">
        <v>360</v>
      </c>
      <c r="S339" s="4">
        <v>0</v>
      </c>
      <c r="T339" s="4">
        <v>167.5</v>
      </c>
      <c r="U339" s="210"/>
      <c r="V339" s="210">
        <v>3.0419759768019084E-14</v>
      </c>
      <c r="W339" s="3">
        <v>0</v>
      </c>
      <c r="X339" s="3">
        <v>0</v>
      </c>
      <c r="Y339" s="3">
        <f t="shared" si="105"/>
        <v>1</v>
      </c>
      <c r="Z339" s="3">
        <f t="shared" si="106"/>
        <v>1</v>
      </c>
      <c r="AA339" s="3" t="str">
        <f t="shared" si="91"/>
        <v/>
      </c>
      <c r="AB339" s="3" t="str">
        <f t="shared" si="92"/>
        <v/>
      </c>
      <c r="AC339" s="3" t="str">
        <f t="shared" si="93"/>
        <v/>
      </c>
      <c r="AD339" s="3" t="str">
        <f t="shared" si="94"/>
        <v>0</v>
      </c>
      <c r="AE339" s="3">
        <f t="shared" si="95"/>
        <v>0</v>
      </c>
      <c r="AF339" s="3">
        <f t="shared" si="96"/>
        <v>0</v>
      </c>
      <c r="AM339" s="3" t="str">
        <f t="shared" si="97"/>
        <v/>
      </c>
      <c r="AN339" s="3" t="str">
        <f t="shared" si="98"/>
        <v/>
      </c>
      <c r="AO339" s="3" t="str">
        <f t="shared" si="99"/>
        <v/>
      </c>
      <c r="AP339" s="3">
        <f t="shared" si="100"/>
        <v>0</v>
      </c>
      <c r="AQ339" s="3">
        <f t="shared" si="101"/>
        <v>0</v>
      </c>
      <c r="AR339" s="3">
        <f t="shared" si="107"/>
        <v>0</v>
      </c>
      <c r="AS339" s="3" t="e">
        <f t="shared" si="108"/>
        <v>#REF!</v>
      </c>
      <c r="AT339" s="3" t="str">
        <f t="shared" si="102"/>
        <v/>
      </c>
      <c r="AU339" s="3">
        <f t="shared" si="103"/>
        <v>0</v>
      </c>
      <c r="AV339" s="3">
        <f t="shared" si="104"/>
        <v>0</v>
      </c>
      <c r="AW339" s="3">
        <v>670</v>
      </c>
      <c r="AX339" s="3" t="e">
        <f>IF(AND(#REF!="N",OR(AW339=$AX$1,AW339=$AX$2,AW339=$AX$3,AW339=$AX$4,AW339=$AY$1,AW339=$AY$2,AW339=$AY$3,AW339=$AY$4)),0,1)</f>
        <v>#REF!</v>
      </c>
    </row>
    <row r="340" spans="2:50" x14ac:dyDescent="0.2">
      <c r="B340" s="4">
        <v>672</v>
      </c>
      <c r="C340" s="208">
        <v>4.4194173824159217E-8</v>
      </c>
      <c r="D340" s="208">
        <v>4.4194173824159217E-8</v>
      </c>
      <c r="E340" s="208">
        <v>4.4194173824159217E-8</v>
      </c>
      <c r="F340" s="209" t="s">
        <v>714</v>
      </c>
      <c r="G340" s="208">
        <v>5.6242898794486971E-17</v>
      </c>
      <c r="H340" s="210">
        <v>7.6876567329563018E-16</v>
      </c>
      <c r="I340" s="208">
        <v>3.3974963795673873E-25</v>
      </c>
      <c r="J340" s="208">
        <v>3.3974963795673873E-25</v>
      </c>
      <c r="K340" s="208">
        <v>3.3974963795673873E-25</v>
      </c>
      <c r="L340" s="208">
        <v>0</v>
      </c>
      <c r="M340" s="208">
        <v>0</v>
      </c>
      <c r="N340" s="208">
        <v>0</v>
      </c>
      <c r="O340" s="3">
        <v>360</v>
      </c>
      <c r="P340" s="3">
        <v>360</v>
      </c>
      <c r="Q340" s="3">
        <v>360</v>
      </c>
      <c r="S340" s="4">
        <v>0</v>
      </c>
      <c r="T340" s="4">
        <v>168</v>
      </c>
      <c r="U340" s="210"/>
      <c r="V340" s="210">
        <v>7.6876567329563018E-16</v>
      </c>
      <c r="W340" s="3">
        <v>0</v>
      </c>
      <c r="X340" s="3">
        <v>0</v>
      </c>
      <c r="Y340" s="3">
        <f t="shared" si="105"/>
        <v>1</v>
      </c>
      <c r="Z340" s="3">
        <f t="shared" si="106"/>
        <v>1</v>
      </c>
      <c r="AA340" s="3" t="str">
        <f t="shared" si="91"/>
        <v/>
      </c>
      <c r="AB340" s="3" t="str">
        <f t="shared" si="92"/>
        <v/>
      </c>
      <c r="AC340" s="3" t="str">
        <f t="shared" si="93"/>
        <v/>
      </c>
      <c r="AD340" s="3" t="str">
        <f t="shared" si="94"/>
        <v>0</v>
      </c>
      <c r="AE340" s="3">
        <f t="shared" si="95"/>
        <v>0</v>
      </c>
      <c r="AF340" s="3">
        <f t="shared" si="96"/>
        <v>0</v>
      </c>
      <c r="AM340" s="3" t="str">
        <f t="shared" si="97"/>
        <v/>
      </c>
      <c r="AN340" s="3" t="str">
        <f t="shared" si="98"/>
        <v/>
      </c>
      <c r="AO340" s="3" t="str">
        <f t="shared" si="99"/>
        <v/>
      </c>
      <c r="AP340" s="3">
        <f t="shared" si="100"/>
        <v>0</v>
      </c>
      <c r="AQ340" s="3">
        <f t="shared" si="101"/>
        <v>0</v>
      </c>
      <c r="AR340" s="3">
        <f t="shared" si="107"/>
        <v>0</v>
      </c>
      <c r="AS340" s="3" t="e">
        <f t="shared" si="108"/>
        <v>#REF!</v>
      </c>
      <c r="AT340" s="3" t="str">
        <f t="shared" si="102"/>
        <v/>
      </c>
      <c r="AU340" s="3">
        <f t="shared" si="103"/>
        <v>0</v>
      </c>
      <c r="AV340" s="3">
        <f t="shared" si="104"/>
        <v>0</v>
      </c>
      <c r="AW340" s="3">
        <v>672</v>
      </c>
      <c r="AX340" s="3" t="e">
        <f>IF(AND(#REF!="N",OR(AW340=$AX$1,AW340=$AX$2,AW340=$AX$3,AW340=$AX$4,AW340=$AY$1,AW340=$AY$2,AW340=$AY$3,AW340=$AY$4)),0,1)</f>
        <v>#REF!</v>
      </c>
    </row>
    <row r="341" spans="2:50" x14ac:dyDescent="0.2">
      <c r="B341" s="4">
        <v>674</v>
      </c>
      <c r="C341" s="208">
        <v>4.4194173824159217E-8</v>
      </c>
      <c r="D341" s="208">
        <v>4.4194173824159217E-8</v>
      </c>
      <c r="E341" s="208">
        <v>4.4194173824159217E-8</v>
      </c>
      <c r="F341" s="209" t="s">
        <v>714</v>
      </c>
      <c r="G341" s="208">
        <v>1.408646661217571E-15</v>
      </c>
      <c r="H341" s="210">
        <v>1.9254327606825222E-14</v>
      </c>
      <c r="I341" s="208">
        <v>8.5092910112334138E-24</v>
      </c>
      <c r="J341" s="208">
        <v>8.5092910112334138E-24</v>
      </c>
      <c r="K341" s="208">
        <v>8.5092910112334138E-24</v>
      </c>
      <c r="L341" s="208">
        <v>0</v>
      </c>
      <c r="M341" s="208">
        <v>0</v>
      </c>
      <c r="N341" s="208">
        <v>0</v>
      </c>
      <c r="O341" s="3">
        <v>360</v>
      </c>
      <c r="P341" s="3">
        <v>360</v>
      </c>
      <c r="Q341" s="3">
        <v>360</v>
      </c>
      <c r="S341" s="4">
        <v>0</v>
      </c>
      <c r="T341" s="4">
        <v>168.5</v>
      </c>
      <c r="U341" s="210"/>
      <c r="V341" s="210">
        <v>1.9254327606825222E-14</v>
      </c>
      <c r="W341" s="3">
        <v>0</v>
      </c>
      <c r="X341" s="3">
        <v>0</v>
      </c>
      <c r="Y341" s="3">
        <f t="shared" si="105"/>
        <v>1</v>
      </c>
      <c r="Z341" s="3">
        <f t="shared" si="106"/>
        <v>1</v>
      </c>
      <c r="AA341" s="3" t="str">
        <f t="shared" si="91"/>
        <v/>
      </c>
      <c r="AB341" s="3" t="str">
        <f t="shared" si="92"/>
        <v/>
      </c>
      <c r="AC341" s="3" t="str">
        <f t="shared" si="93"/>
        <v/>
      </c>
      <c r="AD341" s="3" t="str">
        <f t="shared" si="94"/>
        <v>0</v>
      </c>
      <c r="AE341" s="3">
        <f t="shared" si="95"/>
        <v>0</v>
      </c>
      <c r="AF341" s="3">
        <f t="shared" si="96"/>
        <v>0</v>
      </c>
      <c r="AM341" s="3" t="str">
        <f t="shared" si="97"/>
        <v/>
      </c>
      <c r="AN341" s="3" t="str">
        <f t="shared" si="98"/>
        <v/>
      </c>
      <c r="AO341" s="3" t="str">
        <f t="shared" si="99"/>
        <v/>
      </c>
      <c r="AP341" s="3">
        <f t="shared" si="100"/>
        <v>0</v>
      </c>
      <c r="AQ341" s="3">
        <f t="shared" si="101"/>
        <v>0</v>
      </c>
      <c r="AR341" s="3">
        <f t="shared" si="107"/>
        <v>0</v>
      </c>
      <c r="AS341" s="3" t="e">
        <f t="shared" si="108"/>
        <v>#REF!</v>
      </c>
      <c r="AT341" s="3" t="str">
        <f t="shared" si="102"/>
        <v/>
      </c>
      <c r="AU341" s="3">
        <f t="shared" si="103"/>
        <v>0</v>
      </c>
      <c r="AV341" s="3">
        <f t="shared" si="104"/>
        <v>0</v>
      </c>
      <c r="AW341" s="3">
        <v>674</v>
      </c>
      <c r="AX341" s="3" t="e">
        <f>IF(AND(#REF!="N",OR(AW341=$AX$1,AW341=$AX$2,AW341=$AX$3,AW341=$AX$4,AW341=$AY$1,AW341=$AY$2,AW341=$AY$3,AW341=$AY$4)),0,1)</f>
        <v>#REF!</v>
      </c>
    </row>
    <row r="342" spans="2:50" x14ac:dyDescent="0.2">
      <c r="B342" s="4">
        <v>676</v>
      </c>
      <c r="C342" s="208">
        <v>0.95766219694255095</v>
      </c>
      <c r="D342" s="208">
        <v>0.95766219694254096</v>
      </c>
      <c r="E342" s="208">
        <v>0.95766219694254529</v>
      </c>
      <c r="F342" s="209" t="s">
        <v>714</v>
      </c>
      <c r="G342" s="208">
        <v>4.3289942472610955E-2</v>
      </c>
      <c r="H342" s="210">
        <v>0.5917159763313623</v>
      </c>
      <c r="I342" s="208">
        <v>5.666640218594989E-3</v>
      </c>
      <c r="J342" s="208">
        <v>5.66664021859493E-3</v>
      </c>
      <c r="K342" s="208">
        <v>5.6666402185949561E-3</v>
      </c>
      <c r="L342" s="208">
        <v>9.8149087668197264E-3</v>
      </c>
      <c r="M342" s="208">
        <v>9.8149087668196744E-3</v>
      </c>
      <c r="N342" s="208">
        <v>9.814908766819631E-3</v>
      </c>
      <c r="O342" s="3">
        <v>240</v>
      </c>
      <c r="P342" s="3">
        <v>240</v>
      </c>
      <c r="Q342" s="3">
        <v>240</v>
      </c>
      <c r="R342" s="4" t="s">
        <v>168</v>
      </c>
      <c r="S342" s="4" t="s">
        <v>168</v>
      </c>
      <c r="T342" s="4">
        <v>169</v>
      </c>
      <c r="U342" s="210"/>
      <c r="V342" s="210">
        <v>0.5917159763313623</v>
      </c>
      <c r="W342" s="3">
        <v>0</v>
      </c>
      <c r="X342" s="3">
        <v>0.59171597633135897</v>
      </c>
      <c r="Y342" s="3">
        <f t="shared" si="105"/>
        <v>1</v>
      </c>
      <c r="Z342" s="3">
        <f t="shared" si="106"/>
        <v>1</v>
      </c>
      <c r="AA342" s="3">
        <f t="shared" si="91"/>
        <v>3.0000000000000147</v>
      </c>
      <c r="AB342" s="3">
        <f t="shared" si="92"/>
        <v>1.5000000000000073</v>
      </c>
      <c r="AC342" s="3">
        <f t="shared" si="93"/>
        <v>5.251916949686661E-4</v>
      </c>
      <c r="AD342" s="3" t="str">
        <f t="shared" si="94"/>
        <v>7.35433827540809E-08+0.000525154910402497i</v>
      </c>
      <c r="AE342" s="3">
        <f t="shared" si="95"/>
        <v>7.3543382754080896E-8</v>
      </c>
      <c r="AF342" s="3">
        <f t="shared" si="96"/>
        <v>5.2515491040249699E-4</v>
      </c>
      <c r="AM342" s="3" t="str">
        <f t="shared" si="97"/>
        <v>-0.000787787542453004+0.001575575084906i</v>
      </c>
      <c r="AN342" s="3" t="str">
        <f t="shared" si="98"/>
        <v>3.00000000000001+1.50052519169498i</v>
      </c>
      <c r="AO342" s="3" t="str">
        <f t="shared" si="99"/>
        <v>7.35433827540809E-08+0.000525154910402497i</v>
      </c>
      <c r="AP342" s="3">
        <f t="shared" si="100"/>
        <v>7.3543382754080896E-8</v>
      </c>
      <c r="AQ342" s="3">
        <f t="shared" si="101"/>
        <v>5.2515491040249699E-4</v>
      </c>
      <c r="AR342" s="3">
        <f t="shared" si="107"/>
        <v>0.92946528212715773</v>
      </c>
      <c r="AS342" s="3" t="e">
        <f t="shared" si="108"/>
        <v>#REF!</v>
      </c>
      <c r="AT342" s="3" t="e">
        <f t="shared" si="102"/>
        <v>#REF!</v>
      </c>
      <c r="AU342" s="3" t="e">
        <f t="shared" si="103"/>
        <v>#REF!</v>
      </c>
      <c r="AV342" s="3" t="e">
        <f t="shared" si="104"/>
        <v>#REF!</v>
      </c>
      <c r="AW342" s="3">
        <v>676</v>
      </c>
      <c r="AX342" s="3" t="e">
        <f>IF(AND(#REF!="N",OR(AW342=$AX$1,AW342=$AX$2,AW342=$AX$3,AW342=$AX$4,AW342=$AY$1,AW342=$AY$2,AW342=$AY$3,AW342=$AY$4)),0,1)</f>
        <v>#REF!</v>
      </c>
    </row>
    <row r="343" spans="2:50" x14ac:dyDescent="0.2">
      <c r="B343" s="4">
        <v>678</v>
      </c>
      <c r="C343" s="208">
        <v>4.4194173824159217E-8</v>
      </c>
      <c r="D343" s="208">
        <v>4.4194173824159217E-8</v>
      </c>
      <c r="E343" s="208">
        <v>4.4194173824159217E-8</v>
      </c>
      <c r="F343" s="209" t="s">
        <v>714</v>
      </c>
      <c r="G343" s="208">
        <v>9.2448255162776135E-16</v>
      </c>
      <c r="H343" s="210">
        <v>1.2636447738035922E-14</v>
      </c>
      <c r="I343" s="208">
        <v>5.5845736785466303E-24</v>
      </c>
      <c r="J343" s="208">
        <v>5.5845736785466303E-24</v>
      </c>
      <c r="K343" s="208">
        <v>5.5845736785466303E-24</v>
      </c>
      <c r="L343" s="208">
        <v>0</v>
      </c>
      <c r="M343" s="208">
        <v>0</v>
      </c>
      <c r="N343" s="208">
        <v>0</v>
      </c>
      <c r="O343" s="3">
        <v>360</v>
      </c>
      <c r="P343" s="3">
        <v>360</v>
      </c>
      <c r="Q343" s="3">
        <v>360</v>
      </c>
      <c r="S343" s="4">
        <v>0</v>
      </c>
      <c r="T343" s="4">
        <v>169.5</v>
      </c>
      <c r="U343" s="210"/>
      <c r="V343" s="210">
        <v>1.2636447738035922E-14</v>
      </c>
      <c r="W343" s="3">
        <v>0</v>
      </c>
      <c r="X343" s="3">
        <v>0</v>
      </c>
      <c r="Y343" s="3">
        <f t="shared" si="105"/>
        <v>1</v>
      </c>
      <c r="Z343" s="3">
        <f t="shared" si="106"/>
        <v>1</v>
      </c>
      <c r="AA343" s="3" t="str">
        <f t="shared" si="91"/>
        <v/>
      </c>
      <c r="AB343" s="3" t="str">
        <f t="shared" si="92"/>
        <v/>
      </c>
      <c r="AC343" s="3" t="str">
        <f t="shared" si="93"/>
        <v/>
      </c>
      <c r="AD343" s="3" t="str">
        <f t="shared" si="94"/>
        <v>0</v>
      </c>
      <c r="AE343" s="3">
        <f t="shared" si="95"/>
        <v>0</v>
      </c>
      <c r="AF343" s="3">
        <f t="shared" si="96"/>
        <v>0</v>
      </c>
      <c r="AM343" s="3" t="str">
        <f t="shared" si="97"/>
        <v/>
      </c>
      <c r="AN343" s="3" t="str">
        <f t="shared" si="98"/>
        <v/>
      </c>
      <c r="AO343" s="3" t="str">
        <f t="shared" si="99"/>
        <v/>
      </c>
      <c r="AP343" s="3">
        <f t="shared" si="100"/>
        <v>0</v>
      </c>
      <c r="AQ343" s="3">
        <f t="shared" si="101"/>
        <v>0</v>
      </c>
      <c r="AR343" s="3">
        <f t="shared" si="107"/>
        <v>0</v>
      </c>
      <c r="AS343" s="3" t="e">
        <f t="shared" si="108"/>
        <v>#REF!</v>
      </c>
      <c r="AT343" s="3" t="str">
        <f t="shared" si="102"/>
        <v/>
      </c>
      <c r="AU343" s="3">
        <f t="shared" si="103"/>
        <v>0</v>
      </c>
      <c r="AV343" s="3">
        <f t="shared" si="104"/>
        <v>0</v>
      </c>
      <c r="AW343" s="3">
        <v>678</v>
      </c>
      <c r="AX343" s="3" t="e">
        <f>IF(AND(#REF!="N",OR(AW343=$AX$1,AW343=$AX$2,AW343=$AX$3,AW343=$AX$4,AW343=$AY$1,AW343=$AY$2,AW343=$AY$3,AW343=$AY$4)),0,1)</f>
        <v>#REF!</v>
      </c>
    </row>
    <row r="344" spans="2:50" x14ac:dyDescent="0.2">
      <c r="B344" s="4">
        <v>680</v>
      </c>
      <c r="C344" s="208">
        <v>4.4194173824159217E-8</v>
      </c>
      <c r="D344" s="208">
        <v>4.4194173824159217E-8</v>
      </c>
      <c r="E344" s="208">
        <v>4.4194173824159217E-8</v>
      </c>
      <c r="F344" s="209" t="s">
        <v>714</v>
      </c>
      <c r="G344" s="208">
        <v>4.8223095873052546E-16</v>
      </c>
      <c r="H344" s="210">
        <v>6.5914562659207844E-15</v>
      </c>
      <c r="I344" s="208">
        <v>2.9130396397044661E-24</v>
      </c>
      <c r="J344" s="208">
        <v>2.9130396397044661E-24</v>
      </c>
      <c r="K344" s="208">
        <v>2.9130396397044661E-24</v>
      </c>
      <c r="L344" s="208">
        <v>0</v>
      </c>
      <c r="M344" s="208">
        <v>0</v>
      </c>
      <c r="N344" s="208">
        <v>0</v>
      </c>
      <c r="O344" s="3">
        <v>360</v>
      </c>
      <c r="P344" s="3">
        <v>360</v>
      </c>
      <c r="Q344" s="3">
        <v>360</v>
      </c>
      <c r="S344" s="4">
        <v>0</v>
      </c>
      <c r="T344" s="4">
        <v>170</v>
      </c>
      <c r="U344" s="210"/>
      <c r="V344" s="210">
        <v>6.5914562659207844E-15</v>
      </c>
      <c r="W344" s="3">
        <v>0</v>
      </c>
      <c r="X344" s="3">
        <v>0</v>
      </c>
      <c r="Y344" s="3">
        <f t="shared" si="105"/>
        <v>1</v>
      </c>
      <c r="Z344" s="3">
        <f t="shared" si="106"/>
        <v>1</v>
      </c>
      <c r="AA344" s="3" t="str">
        <f t="shared" si="91"/>
        <v/>
      </c>
      <c r="AB344" s="3" t="str">
        <f t="shared" si="92"/>
        <v/>
      </c>
      <c r="AC344" s="3" t="str">
        <f t="shared" si="93"/>
        <v/>
      </c>
      <c r="AD344" s="3" t="str">
        <f t="shared" si="94"/>
        <v>0</v>
      </c>
      <c r="AE344" s="3">
        <f t="shared" si="95"/>
        <v>0</v>
      </c>
      <c r="AF344" s="3">
        <f t="shared" si="96"/>
        <v>0</v>
      </c>
      <c r="AM344" s="3" t="str">
        <f t="shared" si="97"/>
        <v/>
      </c>
      <c r="AN344" s="3" t="str">
        <f t="shared" si="98"/>
        <v/>
      </c>
      <c r="AO344" s="3" t="str">
        <f t="shared" si="99"/>
        <v/>
      </c>
      <c r="AP344" s="3">
        <f t="shared" si="100"/>
        <v>0</v>
      </c>
      <c r="AQ344" s="3">
        <f t="shared" si="101"/>
        <v>0</v>
      </c>
      <c r="AR344" s="3">
        <f t="shared" si="107"/>
        <v>0</v>
      </c>
      <c r="AS344" s="3" t="e">
        <f t="shared" si="108"/>
        <v>#REF!</v>
      </c>
      <c r="AT344" s="3" t="str">
        <f t="shared" si="102"/>
        <v/>
      </c>
      <c r="AU344" s="3">
        <f t="shared" si="103"/>
        <v>0</v>
      </c>
      <c r="AV344" s="3">
        <f t="shared" si="104"/>
        <v>0</v>
      </c>
      <c r="AW344" s="3">
        <v>680</v>
      </c>
      <c r="AX344" s="3" t="e">
        <f>IF(AND(#REF!="N",OR(AW344=$AX$1,AW344=$AX$2,AW344=$AX$3,AW344=$AX$4,AW344=$AY$1,AW344=$AY$2,AW344=$AY$3,AW344=$AY$4)),0,1)</f>
        <v>#REF!</v>
      </c>
    </row>
    <row r="345" spans="2:50" x14ac:dyDescent="0.2">
      <c r="B345" s="4">
        <v>682</v>
      </c>
      <c r="C345" s="208">
        <v>4.4194173824159217E-8</v>
      </c>
      <c r="D345" s="208">
        <v>4.4194173824159217E-8</v>
      </c>
      <c r="E345" s="208">
        <v>4.4194173824159217E-8</v>
      </c>
      <c r="F345" s="209" t="s">
        <v>714</v>
      </c>
      <c r="G345" s="208">
        <v>1.1645873210240457E-15</v>
      </c>
      <c r="H345" s="210">
        <v>1.5918360809069163E-14</v>
      </c>
      <c r="I345" s="208">
        <v>7.0349880459168634E-24</v>
      </c>
      <c r="J345" s="208">
        <v>7.0349880459168634E-24</v>
      </c>
      <c r="K345" s="208">
        <v>7.0349880459168634E-24</v>
      </c>
      <c r="L345" s="208">
        <v>0</v>
      </c>
      <c r="M345" s="208">
        <v>0</v>
      </c>
      <c r="N345" s="208">
        <v>0</v>
      </c>
      <c r="O345" s="3">
        <v>360</v>
      </c>
      <c r="P345" s="3">
        <v>360</v>
      </c>
      <c r="Q345" s="3">
        <v>360</v>
      </c>
      <c r="S345" s="4">
        <v>0</v>
      </c>
      <c r="T345" s="4">
        <v>170.5</v>
      </c>
      <c r="U345" s="210"/>
      <c r="V345" s="210">
        <v>1.5918360809069163E-14</v>
      </c>
      <c r="W345" s="3">
        <v>0</v>
      </c>
      <c r="X345" s="3">
        <v>0</v>
      </c>
      <c r="Y345" s="3">
        <f t="shared" si="105"/>
        <v>1</v>
      </c>
      <c r="Z345" s="3">
        <f t="shared" si="106"/>
        <v>1</v>
      </c>
      <c r="AA345" s="3" t="str">
        <f t="shared" si="91"/>
        <v/>
      </c>
      <c r="AB345" s="3" t="str">
        <f t="shared" si="92"/>
        <v/>
      </c>
      <c r="AC345" s="3" t="str">
        <f t="shared" si="93"/>
        <v/>
      </c>
      <c r="AD345" s="3" t="str">
        <f t="shared" si="94"/>
        <v>0</v>
      </c>
      <c r="AE345" s="3">
        <f t="shared" si="95"/>
        <v>0</v>
      </c>
      <c r="AF345" s="3">
        <f t="shared" si="96"/>
        <v>0</v>
      </c>
      <c r="AM345" s="3" t="str">
        <f t="shared" si="97"/>
        <v/>
      </c>
      <c r="AN345" s="3" t="str">
        <f t="shared" si="98"/>
        <v/>
      </c>
      <c r="AO345" s="3" t="str">
        <f t="shared" si="99"/>
        <v/>
      </c>
      <c r="AP345" s="3">
        <f t="shared" si="100"/>
        <v>0</v>
      </c>
      <c r="AQ345" s="3">
        <f t="shared" si="101"/>
        <v>0</v>
      </c>
      <c r="AR345" s="3">
        <f t="shared" si="107"/>
        <v>0</v>
      </c>
      <c r="AS345" s="3" t="e">
        <f t="shared" si="108"/>
        <v>#REF!</v>
      </c>
      <c r="AT345" s="3" t="str">
        <f t="shared" si="102"/>
        <v/>
      </c>
      <c r="AU345" s="3">
        <f t="shared" si="103"/>
        <v>0</v>
      </c>
      <c r="AV345" s="3">
        <f t="shared" si="104"/>
        <v>0</v>
      </c>
      <c r="AW345" s="3">
        <v>682</v>
      </c>
      <c r="AX345" s="3" t="e">
        <f>IF(AND(#REF!="N",OR(AW345=$AX$1,AW345=$AX$2,AW345=$AX$3,AW345=$AX$4,AW345=$AY$1,AW345=$AY$2,AW345=$AY$3,AW345=$AY$4)),0,1)</f>
        <v>#REF!</v>
      </c>
    </row>
    <row r="346" spans="2:50" x14ac:dyDescent="0.2">
      <c r="B346" s="4">
        <v>684</v>
      </c>
      <c r="C346" s="208">
        <v>0.65328148243820494</v>
      </c>
      <c r="D346" s="208">
        <v>0.65328148243818018</v>
      </c>
      <c r="E346" s="208">
        <v>0.65328148243818684</v>
      </c>
      <c r="F346" s="209" t="s">
        <v>714</v>
      </c>
      <c r="G346" s="208">
        <v>6.5203869914225258E-16</v>
      </c>
      <c r="H346" s="210">
        <v>8.9125023835015334E-15</v>
      </c>
      <c r="I346" s="208">
        <v>5.8223727693279162E-17</v>
      </c>
      <c r="J346" s="208">
        <v>5.8223727693276956E-17</v>
      </c>
      <c r="K346" s="208">
        <v>5.8223727693277548E-17</v>
      </c>
      <c r="L346" s="208">
        <v>1.684266423760508E-30</v>
      </c>
      <c r="M346" s="208">
        <v>2.2098995343123579E-30</v>
      </c>
      <c r="N346" s="208">
        <v>8.367587366148886E-31</v>
      </c>
      <c r="O346" s="3">
        <v>360</v>
      </c>
      <c r="P346" s="3">
        <v>360</v>
      </c>
      <c r="Q346" s="3">
        <v>0</v>
      </c>
      <c r="S346" s="4">
        <v>0</v>
      </c>
      <c r="T346" s="4">
        <v>171</v>
      </c>
      <c r="U346" s="210"/>
      <c r="V346" s="210">
        <v>8.9125023835015334E-15</v>
      </c>
      <c r="W346" s="3">
        <v>0</v>
      </c>
      <c r="X346" s="3">
        <v>0</v>
      </c>
      <c r="Y346" s="3">
        <f t="shared" si="105"/>
        <v>1</v>
      </c>
      <c r="Z346" s="3">
        <f t="shared" si="106"/>
        <v>1</v>
      </c>
      <c r="AA346" s="3" t="str">
        <f t="shared" si="91"/>
        <v/>
      </c>
      <c r="AB346" s="3" t="str">
        <f t="shared" si="92"/>
        <v/>
      </c>
      <c r="AC346" s="3" t="str">
        <f t="shared" si="93"/>
        <v/>
      </c>
      <c r="AD346" s="3" t="str">
        <f t="shared" si="94"/>
        <v>0</v>
      </c>
      <c r="AE346" s="3">
        <f t="shared" si="95"/>
        <v>0</v>
      </c>
      <c r="AF346" s="3">
        <f t="shared" si="96"/>
        <v>0</v>
      </c>
      <c r="AM346" s="3" t="str">
        <f t="shared" si="97"/>
        <v/>
      </c>
      <c r="AN346" s="3" t="str">
        <f t="shared" si="98"/>
        <v/>
      </c>
      <c r="AO346" s="3" t="str">
        <f t="shared" si="99"/>
        <v/>
      </c>
      <c r="AP346" s="3">
        <f t="shared" si="100"/>
        <v>0</v>
      </c>
      <c r="AQ346" s="3">
        <f t="shared" si="101"/>
        <v>0</v>
      </c>
      <c r="AR346" s="3">
        <f t="shared" si="107"/>
        <v>0</v>
      </c>
      <c r="AS346" s="3" t="e">
        <f t="shared" si="108"/>
        <v>#REF!</v>
      </c>
      <c r="AT346" s="3" t="str">
        <f t="shared" si="102"/>
        <v/>
      </c>
      <c r="AU346" s="3">
        <f t="shared" si="103"/>
        <v>0</v>
      </c>
      <c r="AV346" s="3">
        <f t="shared" si="104"/>
        <v>0</v>
      </c>
      <c r="AW346" s="3">
        <v>684</v>
      </c>
      <c r="AX346" s="3" t="e">
        <f>IF(AND(#REF!="N",OR(AW346=$AX$1,AW346=$AX$2,AW346=$AX$3,AW346=$AX$4,AW346=$AY$1,AW346=$AY$2,AW346=$AY$3,AW346=$AY$4)),0,1)</f>
        <v>#REF!</v>
      </c>
    </row>
    <row r="347" spans="2:50" x14ac:dyDescent="0.2">
      <c r="B347" s="4">
        <v>686</v>
      </c>
      <c r="C347" s="208">
        <v>4.4194173824159217E-8</v>
      </c>
      <c r="D347" s="208">
        <v>4.4194173824159217E-8</v>
      </c>
      <c r="E347" s="208">
        <v>4.4194173824159217E-8</v>
      </c>
      <c r="F347" s="209" t="s">
        <v>714</v>
      </c>
      <c r="G347" s="208">
        <v>8.7540366097815924E-16</v>
      </c>
      <c r="H347" s="210">
        <v>1.1965604534297242E-14</v>
      </c>
      <c r="I347" s="208">
        <v>5.2881000669988002E-24</v>
      </c>
      <c r="J347" s="208">
        <v>5.2881000669988002E-24</v>
      </c>
      <c r="K347" s="208">
        <v>5.2881000669988002E-24</v>
      </c>
      <c r="L347" s="208">
        <v>0</v>
      </c>
      <c r="M347" s="208">
        <v>0</v>
      </c>
      <c r="N347" s="208">
        <v>0</v>
      </c>
      <c r="O347" s="3">
        <v>360</v>
      </c>
      <c r="P347" s="3">
        <v>360</v>
      </c>
      <c r="Q347" s="3">
        <v>360</v>
      </c>
      <c r="S347" s="4">
        <v>0</v>
      </c>
      <c r="T347" s="4">
        <v>171.5</v>
      </c>
      <c r="U347" s="210"/>
      <c r="V347" s="210">
        <v>1.1965604534297242E-14</v>
      </c>
      <c r="W347" s="3">
        <v>0</v>
      </c>
      <c r="X347" s="3">
        <v>0</v>
      </c>
      <c r="Y347" s="3">
        <f t="shared" si="105"/>
        <v>1</v>
      </c>
      <c r="Z347" s="3">
        <f t="shared" si="106"/>
        <v>1</v>
      </c>
      <c r="AA347" s="3" t="str">
        <f t="shared" si="91"/>
        <v/>
      </c>
      <c r="AB347" s="3" t="str">
        <f t="shared" si="92"/>
        <v/>
      </c>
      <c r="AC347" s="3" t="str">
        <f t="shared" si="93"/>
        <v/>
      </c>
      <c r="AD347" s="3" t="str">
        <f t="shared" si="94"/>
        <v>0</v>
      </c>
      <c r="AE347" s="3">
        <f t="shared" si="95"/>
        <v>0</v>
      </c>
      <c r="AF347" s="3">
        <f t="shared" si="96"/>
        <v>0</v>
      </c>
      <c r="AM347" s="3" t="str">
        <f t="shared" si="97"/>
        <v/>
      </c>
      <c r="AN347" s="3" t="str">
        <f t="shared" si="98"/>
        <v/>
      </c>
      <c r="AO347" s="3" t="str">
        <f t="shared" si="99"/>
        <v/>
      </c>
      <c r="AP347" s="3">
        <f t="shared" si="100"/>
        <v>0</v>
      </c>
      <c r="AQ347" s="3">
        <f t="shared" si="101"/>
        <v>0</v>
      </c>
      <c r="AR347" s="3">
        <f t="shared" si="107"/>
        <v>0</v>
      </c>
      <c r="AS347" s="3" t="e">
        <f t="shared" si="108"/>
        <v>#REF!</v>
      </c>
      <c r="AT347" s="3" t="str">
        <f t="shared" si="102"/>
        <v/>
      </c>
      <c r="AU347" s="3">
        <f t="shared" si="103"/>
        <v>0</v>
      </c>
      <c r="AV347" s="3">
        <f t="shared" si="104"/>
        <v>0</v>
      </c>
      <c r="AW347" s="3">
        <v>686</v>
      </c>
      <c r="AX347" s="3" t="e">
        <f>IF(AND(#REF!="N",OR(AW347=$AX$1,AW347=$AX$2,AW347=$AX$3,AW347=$AX$4,AW347=$AY$1,AW347=$AY$2,AW347=$AY$3,AW347=$AY$4)),0,1)</f>
        <v>#REF!</v>
      </c>
    </row>
    <row r="348" spans="2:50" x14ac:dyDescent="0.2">
      <c r="B348" s="4">
        <v>688</v>
      </c>
      <c r="C348" s="208">
        <v>4.4194173824159217E-8</v>
      </c>
      <c r="D348" s="208">
        <v>4.4194173824159217E-8</v>
      </c>
      <c r="E348" s="208">
        <v>4.4194173824159217E-8</v>
      </c>
      <c r="F348" s="209" t="s">
        <v>714</v>
      </c>
      <c r="G348" s="208">
        <v>1.5114485730369328E-16</v>
      </c>
      <c r="H348" s="210">
        <v>2.0659493105934176E-15</v>
      </c>
      <c r="I348" s="208">
        <v>9.1302922944267395E-25</v>
      </c>
      <c r="J348" s="208">
        <v>9.1302922944267395E-25</v>
      </c>
      <c r="K348" s="208">
        <v>9.1302922944267395E-25</v>
      </c>
      <c r="L348" s="208">
        <v>0</v>
      </c>
      <c r="M348" s="208">
        <v>0</v>
      </c>
      <c r="N348" s="208">
        <v>0</v>
      </c>
      <c r="O348" s="3">
        <v>360</v>
      </c>
      <c r="P348" s="3">
        <v>360</v>
      </c>
      <c r="Q348" s="3">
        <v>360</v>
      </c>
      <c r="S348" s="4">
        <v>0</v>
      </c>
      <c r="T348" s="4">
        <v>172</v>
      </c>
      <c r="U348" s="210"/>
      <c r="V348" s="210">
        <v>2.0659493105934176E-15</v>
      </c>
      <c r="W348" s="3">
        <v>0</v>
      </c>
      <c r="X348" s="3">
        <v>0</v>
      </c>
      <c r="Y348" s="3">
        <f t="shared" si="105"/>
        <v>1</v>
      </c>
      <c r="Z348" s="3">
        <f t="shared" si="106"/>
        <v>1</v>
      </c>
      <c r="AA348" s="3" t="str">
        <f t="shared" si="91"/>
        <v/>
      </c>
      <c r="AB348" s="3" t="str">
        <f t="shared" si="92"/>
        <v/>
      </c>
      <c r="AC348" s="3" t="str">
        <f t="shared" si="93"/>
        <v/>
      </c>
      <c r="AD348" s="3" t="str">
        <f t="shared" si="94"/>
        <v>0</v>
      </c>
      <c r="AE348" s="3">
        <f t="shared" si="95"/>
        <v>0</v>
      </c>
      <c r="AF348" s="3">
        <f t="shared" si="96"/>
        <v>0</v>
      </c>
      <c r="AM348" s="3" t="str">
        <f t="shared" si="97"/>
        <v/>
      </c>
      <c r="AN348" s="3" t="str">
        <f t="shared" si="98"/>
        <v/>
      </c>
      <c r="AO348" s="3" t="str">
        <f t="shared" si="99"/>
        <v/>
      </c>
      <c r="AP348" s="3">
        <f t="shared" si="100"/>
        <v>0</v>
      </c>
      <c r="AQ348" s="3">
        <f t="shared" si="101"/>
        <v>0</v>
      </c>
      <c r="AR348" s="3">
        <f t="shared" si="107"/>
        <v>0</v>
      </c>
      <c r="AS348" s="3" t="e">
        <f t="shared" si="108"/>
        <v>#REF!</v>
      </c>
      <c r="AT348" s="3" t="str">
        <f t="shared" si="102"/>
        <v/>
      </c>
      <c r="AU348" s="3">
        <f t="shared" si="103"/>
        <v>0</v>
      </c>
      <c r="AV348" s="3">
        <f t="shared" si="104"/>
        <v>0</v>
      </c>
      <c r="AW348" s="3">
        <v>688</v>
      </c>
      <c r="AX348" s="3" t="e">
        <f>IF(AND(#REF!="N",OR(AW348=$AX$1,AW348=$AX$2,AW348=$AX$3,AW348=$AX$4,AW348=$AY$1,AW348=$AY$2,AW348=$AY$3,AW348=$AY$4)),0,1)</f>
        <v>#REF!</v>
      </c>
    </row>
    <row r="349" spans="2:50" x14ac:dyDescent="0.2">
      <c r="B349" s="4">
        <v>690</v>
      </c>
      <c r="C349" s="208">
        <v>4.4194173824159217E-8</v>
      </c>
      <c r="D349" s="208">
        <v>4.4194173824159217E-8</v>
      </c>
      <c r="E349" s="208">
        <v>4.4194173824159217E-8</v>
      </c>
      <c r="F349" s="209" t="s">
        <v>714</v>
      </c>
      <c r="G349" s="208">
        <v>1.0729956745686785E-15</v>
      </c>
      <c r="H349" s="210">
        <v>1.4666424737765213E-14</v>
      </c>
      <c r="I349" s="208">
        <v>6.4817052423974464E-24</v>
      </c>
      <c r="J349" s="208">
        <v>6.4817052423974464E-24</v>
      </c>
      <c r="K349" s="208">
        <v>6.4817052423974464E-24</v>
      </c>
      <c r="L349" s="208">
        <v>0</v>
      </c>
      <c r="M349" s="208">
        <v>0</v>
      </c>
      <c r="N349" s="208">
        <v>0</v>
      </c>
      <c r="O349" s="3">
        <v>360</v>
      </c>
      <c r="P349" s="3">
        <v>360</v>
      </c>
      <c r="Q349" s="3">
        <v>360</v>
      </c>
      <c r="S349" s="4">
        <v>0</v>
      </c>
      <c r="T349" s="4">
        <v>172.5</v>
      </c>
      <c r="U349" s="210"/>
      <c r="V349" s="210">
        <v>1.4666424737765216E-14</v>
      </c>
      <c r="W349" s="3">
        <v>0</v>
      </c>
      <c r="X349" s="3">
        <v>0</v>
      </c>
      <c r="Y349" s="3">
        <f t="shared" si="105"/>
        <v>1</v>
      </c>
      <c r="Z349" s="3">
        <f t="shared" si="106"/>
        <v>1</v>
      </c>
      <c r="AA349" s="3" t="str">
        <f t="shared" si="91"/>
        <v/>
      </c>
      <c r="AB349" s="3" t="str">
        <f t="shared" si="92"/>
        <v/>
      </c>
      <c r="AC349" s="3" t="str">
        <f t="shared" si="93"/>
        <v/>
      </c>
      <c r="AD349" s="3" t="str">
        <f t="shared" si="94"/>
        <v>0</v>
      </c>
      <c r="AE349" s="3">
        <f t="shared" si="95"/>
        <v>0</v>
      </c>
      <c r="AF349" s="3">
        <f t="shared" si="96"/>
        <v>0</v>
      </c>
      <c r="AM349" s="3" t="str">
        <f t="shared" si="97"/>
        <v/>
      </c>
      <c r="AN349" s="3" t="str">
        <f t="shared" si="98"/>
        <v/>
      </c>
      <c r="AO349" s="3" t="str">
        <f t="shared" si="99"/>
        <v/>
      </c>
      <c r="AP349" s="3">
        <f t="shared" si="100"/>
        <v>0</v>
      </c>
      <c r="AQ349" s="3">
        <f t="shared" si="101"/>
        <v>0</v>
      </c>
      <c r="AR349" s="3">
        <f t="shared" si="107"/>
        <v>0</v>
      </c>
      <c r="AS349" s="3" t="e">
        <f t="shared" si="108"/>
        <v>#REF!</v>
      </c>
      <c r="AT349" s="3" t="str">
        <f t="shared" si="102"/>
        <v/>
      </c>
      <c r="AU349" s="3">
        <f t="shared" si="103"/>
        <v>0</v>
      </c>
      <c r="AV349" s="3">
        <f t="shared" si="104"/>
        <v>0</v>
      </c>
      <c r="AW349" s="3">
        <v>690</v>
      </c>
      <c r="AX349" s="3" t="e">
        <f>IF(AND(#REF!="N",OR(AW349=$AX$1,AW349=$AX$2,AW349=$AX$3,AW349=$AX$4,AW349=$AY$1,AW349=$AY$2,AW349=$AY$3,AW349=$AY$4)),0,1)</f>
        <v>#REF!</v>
      </c>
    </row>
    <row r="350" spans="2:50" x14ac:dyDescent="0.2">
      <c r="B350" s="4">
        <v>692</v>
      </c>
      <c r="C350" s="208">
        <v>0.20533495396308429</v>
      </c>
      <c r="D350" s="208">
        <v>0.20533495396308429</v>
      </c>
      <c r="E350" s="208">
        <v>0.20533495396308429</v>
      </c>
      <c r="F350" s="209" t="s">
        <v>714</v>
      </c>
      <c r="G350" s="208">
        <v>9.0673034671273287E-3</v>
      </c>
      <c r="H350" s="210">
        <v>0.12393798691551824</v>
      </c>
      <c r="I350" s="208">
        <v>2.5448800837575282E-4</v>
      </c>
      <c r="J350" s="208">
        <v>2.5448800837575282E-4</v>
      </c>
      <c r="K350" s="208">
        <v>2.5448800837575282E-4</v>
      </c>
      <c r="L350" s="208">
        <v>4.4078616042382074E-4</v>
      </c>
      <c r="M350" s="208">
        <v>4.4078616042381207E-4</v>
      </c>
      <c r="N350" s="208">
        <v>4.407861604238208E-4</v>
      </c>
      <c r="O350" s="3">
        <v>120</v>
      </c>
      <c r="P350" s="3">
        <v>120</v>
      </c>
      <c r="Q350" s="3">
        <v>120</v>
      </c>
      <c r="R350" s="4" t="s">
        <v>172</v>
      </c>
      <c r="S350" s="4" t="s">
        <v>172</v>
      </c>
      <c r="T350" s="4">
        <v>173</v>
      </c>
      <c r="U350" s="210"/>
      <c r="V350" s="210">
        <v>0.12393798691551824</v>
      </c>
      <c r="W350" s="3">
        <v>0.12393798691551902</v>
      </c>
      <c r="X350" s="3">
        <v>0</v>
      </c>
      <c r="Y350" s="3">
        <f t="shared" si="105"/>
        <v>1</v>
      </c>
      <c r="Z350" s="3">
        <f t="shared" si="106"/>
        <v>1</v>
      </c>
      <c r="AA350" s="3">
        <f t="shared" si="91"/>
        <v>0.13791844010204796</v>
      </c>
      <c r="AB350" s="3">
        <f t="shared" si="92"/>
        <v>6.8959220051023978E-2</v>
      </c>
      <c r="AC350" s="3">
        <f t="shared" si="93"/>
        <v>2.3040936901007042E-5</v>
      </c>
      <c r="AD350" s="3" t="str">
        <f t="shared" si="94"/>
        <v>3.07900128775618E-09+0.0000230393968859789i</v>
      </c>
      <c r="AE350" s="3">
        <f t="shared" si="95"/>
        <v>3.0790012877561799E-9</v>
      </c>
      <c r="AF350" s="3">
        <f t="shared" si="96"/>
        <v>2.30393968859789E-5</v>
      </c>
      <c r="AM350" s="3" t="str">
        <f t="shared" si="97"/>
        <v>-0.0000015888850379383+0.0000031777700758766i</v>
      </c>
      <c r="AN350" s="3" t="str">
        <f t="shared" si="98"/>
        <v>0.137918440102048+0.068982260987925i</v>
      </c>
      <c r="AO350" s="3" t="str">
        <f t="shared" si="99"/>
        <v>3.07900128775618E-09+0.0000230393968859789i</v>
      </c>
      <c r="AP350" s="3">
        <f t="shared" si="100"/>
        <v>3.0790012877561799E-9</v>
      </c>
      <c r="AQ350" s="3">
        <f t="shared" si="101"/>
        <v>2.30393968859789E-5</v>
      </c>
      <c r="AR350" s="3">
        <f t="shared" si="107"/>
        <v>-0.90797475537277261</v>
      </c>
      <c r="AS350" s="3" t="e">
        <f t="shared" si="108"/>
        <v>#REF!</v>
      </c>
      <c r="AT350" s="3" t="e">
        <f t="shared" si="102"/>
        <v>#REF!</v>
      </c>
      <c r="AU350" s="3" t="e">
        <f t="shared" si="103"/>
        <v>#REF!</v>
      </c>
      <c r="AV350" s="3" t="e">
        <f t="shared" si="104"/>
        <v>#REF!</v>
      </c>
      <c r="AW350" s="3">
        <v>692</v>
      </c>
      <c r="AX350" s="3" t="e">
        <f>IF(AND(#REF!="N",OR(AW350=$AX$1,AW350=$AX$2,AW350=$AX$3,AW350=$AX$4,AW350=$AY$1,AW350=$AY$2,AW350=$AY$3,AW350=$AY$4)),0,1)</f>
        <v>#REF!</v>
      </c>
    </row>
    <row r="351" spans="2:50" x14ac:dyDescent="0.2">
      <c r="B351" s="4">
        <v>694</v>
      </c>
      <c r="C351" s="208">
        <v>4.4194173824159217E-8</v>
      </c>
      <c r="D351" s="208">
        <v>4.4194173824159217E-8</v>
      </c>
      <c r="E351" s="208">
        <v>4.4194173824159217E-8</v>
      </c>
      <c r="F351" s="209" t="s">
        <v>714</v>
      </c>
      <c r="G351" s="208">
        <v>1.602130414157499E-16</v>
      </c>
      <c r="H351" s="210">
        <v>2.1898993347546418E-15</v>
      </c>
      <c r="I351" s="208">
        <v>9.6780791857557265E-25</v>
      </c>
      <c r="J351" s="208">
        <v>9.6780791857557265E-25</v>
      </c>
      <c r="K351" s="208">
        <v>9.6780791857557265E-25</v>
      </c>
      <c r="L351" s="208">
        <v>0</v>
      </c>
      <c r="M351" s="208">
        <v>0</v>
      </c>
      <c r="N351" s="208">
        <v>0</v>
      </c>
      <c r="O351" s="3">
        <v>360</v>
      </c>
      <c r="P351" s="3">
        <v>360</v>
      </c>
      <c r="Q351" s="3">
        <v>360</v>
      </c>
      <c r="S351" s="4">
        <v>0</v>
      </c>
      <c r="T351" s="4">
        <v>173.5</v>
      </c>
      <c r="U351" s="210"/>
      <c r="V351" s="210">
        <v>2.1898993347546418E-15</v>
      </c>
      <c r="W351" s="3">
        <v>0</v>
      </c>
      <c r="X351" s="3">
        <v>0</v>
      </c>
      <c r="Y351" s="3">
        <f t="shared" si="105"/>
        <v>1</v>
      </c>
      <c r="Z351" s="3">
        <f t="shared" si="106"/>
        <v>1</v>
      </c>
      <c r="AA351" s="3" t="str">
        <f t="shared" si="91"/>
        <v/>
      </c>
      <c r="AB351" s="3" t="str">
        <f t="shared" si="92"/>
        <v/>
      </c>
      <c r="AC351" s="3" t="str">
        <f t="shared" si="93"/>
        <v/>
      </c>
      <c r="AD351" s="3" t="str">
        <f t="shared" si="94"/>
        <v>0</v>
      </c>
      <c r="AE351" s="3">
        <f t="shared" si="95"/>
        <v>0</v>
      </c>
      <c r="AF351" s="3">
        <f t="shared" si="96"/>
        <v>0</v>
      </c>
      <c r="AM351" s="3" t="str">
        <f t="shared" si="97"/>
        <v/>
      </c>
      <c r="AN351" s="3" t="str">
        <f t="shared" si="98"/>
        <v/>
      </c>
      <c r="AO351" s="3" t="str">
        <f t="shared" si="99"/>
        <v/>
      </c>
      <c r="AP351" s="3">
        <f t="shared" si="100"/>
        <v>0</v>
      </c>
      <c r="AQ351" s="3">
        <f t="shared" si="101"/>
        <v>0</v>
      </c>
      <c r="AR351" s="3">
        <f t="shared" si="107"/>
        <v>0</v>
      </c>
      <c r="AS351" s="3" t="e">
        <f t="shared" si="108"/>
        <v>#REF!</v>
      </c>
      <c r="AT351" s="3" t="str">
        <f t="shared" si="102"/>
        <v/>
      </c>
      <c r="AU351" s="3">
        <f t="shared" si="103"/>
        <v>0</v>
      </c>
      <c r="AV351" s="3">
        <f t="shared" si="104"/>
        <v>0</v>
      </c>
      <c r="AW351" s="3">
        <v>694</v>
      </c>
      <c r="AX351" s="3" t="e">
        <f>IF(AND(#REF!="N",OR(AW351=$AX$1,AW351=$AX$2,AW351=$AX$3,AW351=$AX$4,AW351=$AY$1,AW351=$AY$2,AW351=$AY$3,AW351=$AY$4)),0,1)</f>
        <v>#REF!</v>
      </c>
    </row>
    <row r="352" spans="2:50" x14ac:dyDescent="0.2">
      <c r="B352" s="4">
        <v>696</v>
      </c>
      <c r="C352" s="208">
        <v>4.4194173824159217E-8</v>
      </c>
      <c r="D352" s="208">
        <v>4.4194173824159217E-8</v>
      </c>
      <c r="E352" s="208">
        <v>4.4194173824159217E-8</v>
      </c>
      <c r="F352" s="209" t="s">
        <v>714</v>
      </c>
      <c r="G352" s="208">
        <v>2.0960551401026921E-16</v>
      </c>
      <c r="H352" s="210">
        <v>2.8650287868941818E-15</v>
      </c>
      <c r="I352" s="208">
        <v>1.2661758021922149E-24</v>
      </c>
      <c r="J352" s="208">
        <v>1.2661758021922149E-24</v>
      </c>
      <c r="K352" s="208">
        <v>1.2661758021922149E-24</v>
      </c>
      <c r="L352" s="208">
        <v>0</v>
      </c>
      <c r="M352" s="208">
        <v>0</v>
      </c>
      <c r="N352" s="208">
        <v>0</v>
      </c>
      <c r="O352" s="3">
        <v>360</v>
      </c>
      <c r="P352" s="3">
        <v>360</v>
      </c>
      <c r="Q352" s="3">
        <v>360</v>
      </c>
      <c r="S352" s="4">
        <v>0</v>
      </c>
      <c r="T352" s="4">
        <v>174</v>
      </c>
      <c r="U352" s="210"/>
      <c r="V352" s="210">
        <v>2.8650287868941822E-15</v>
      </c>
      <c r="W352" s="3">
        <v>0</v>
      </c>
      <c r="X352" s="3">
        <v>0</v>
      </c>
      <c r="Y352" s="3">
        <f t="shared" si="105"/>
        <v>1</v>
      </c>
      <c r="Z352" s="3">
        <f t="shared" si="106"/>
        <v>1</v>
      </c>
      <c r="AA352" s="3" t="str">
        <f t="shared" si="91"/>
        <v/>
      </c>
      <c r="AB352" s="3" t="str">
        <f t="shared" si="92"/>
        <v/>
      </c>
      <c r="AC352" s="3" t="str">
        <f t="shared" si="93"/>
        <v/>
      </c>
      <c r="AD352" s="3" t="str">
        <f t="shared" si="94"/>
        <v>0</v>
      </c>
      <c r="AE352" s="3">
        <f t="shared" si="95"/>
        <v>0</v>
      </c>
      <c r="AF352" s="3">
        <f t="shared" si="96"/>
        <v>0</v>
      </c>
      <c r="AM352" s="3" t="str">
        <f t="shared" si="97"/>
        <v/>
      </c>
      <c r="AN352" s="3" t="str">
        <f t="shared" si="98"/>
        <v/>
      </c>
      <c r="AO352" s="3" t="str">
        <f t="shared" si="99"/>
        <v/>
      </c>
      <c r="AP352" s="3">
        <f t="shared" si="100"/>
        <v>0</v>
      </c>
      <c r="AQ352" s="3">
        <f t="shared" si="101"/>
        <v>0</v>
      </c>
      <c r="AR352" s="3">
        <f t="shared" si="107"/>
        <v>0</v>
      </c>
      <c r="AS352" s="3" t="e">
        <f t="shared" si="108"/>
        <v>#REF!</v>
      </c>
      <c r="AT352" s="3" t="str">
        <f t="shared" si="102"/>
        <v/>
      </c>
      <c r="AU352" s="3">
        <f t="shared" si="103"/>
        <v>0</v>
      </c>
      <c r="AV352" s="3">
        <f t="shared" si="104"/>
        <v>0</v>
      </c>
      <c r="AW352" s="3">
        <v>696</v>
      </c>
      <c r="AX352" s="3" t="e">
        <f>IF(AND(#REF!="N",OR(AW352=$AX$1,AW352=$AX$2,AW352=$AX$3,AW352=$AX$4,AW352=$AY$1,AW352=$AY$2,AW352=$AY$3,AW352=$AY$4)),0,1)</f>
        <v>#REF!</v>
      </c>
    </row>
    <row r="353" spans="2:50" x14ac:dyDescent="0.2">
      <c r="B353" s="4">
        <v>698</v>
      </c>
      <c r="C353" s="208">
        <v>4.4194173824159217E-8</v>
      </c>
      <c r="D353" s="208">
        <v>4.4194173824159217E-8</v>
      </c>
      <c r="E353" s="208">
        <v>4.4194173824159217E-8</v>
      </c>
      <c r="F353" s="209" t="s">
        <v>714</v>
      </c>
      <c r="G353" s="208">
        <v>1.7307127135616025E-16</v>
      </c>
      <c r="H353" s="210">
        <v>2.365654247986435E-15</v>
      </c>
      <c r="I353" s="208">
        <v>1.0454813504337318E-24</v>
      </c>
      <c r="J353" s="208">
        <v>1.0454813504337318E-24</v>
      </c>
      <c r="K353" s="208">
        <v>1.0454813504337318E-24</v>
      </c>
      <c r="L353" s="208">
        <v>0</v>
      </c>
      <c r="M353" s="208">
        <v>0</v>
      </c>
      <c r="N353" s="208">
        <v>0</v>
      </c>
      <c r="O353" s="3">
        <v>360</v>
      </c>
      <c r="P353" s="3">
        <v>360</v>
      </c>
      <c r="Q353" s="3">
        <v>360</v>
      </c>
      <c r="S353" s="4">
        <v>0</v>
      </c>
      <c r="T353" s="4">
        <v>174.5</v>
      </c>
      <c r="U353" s="210"/>
      <c r="V353" s="210">
        <v>2.365654247986435E-15</v>
      </c>
      <c r="W353" s="3">
        <v>0</v>
      </c>
      <c r="X353" s="3">
        <v>0</v>
      </c>
      <c r="Y353" s="3">
        <f t="shared" si="105"/>
        <v>1</v>
      </c>
      <c r="Z353" s="3">
        <f t="shared" si="106"/>
        <v>1</v>
      </c>
      <c r="AA353" s="3" t="str">
        <f t="shared" si="91"/>
        <v/>
      </c>
      <c r="AB353" s="3" t="str">
        <f t="shared" si="92"/>
        <v/>
      </c>
      <c r="AC353" s="3" t="str">
        <f t="shared" si="93"/>
        <v/>
      </c>
      <c r="AD353" s="3" t="str">
        <f t="shared" si="94"/>
        <v>0</v>
      </c>
      <c r="AE353" s="3">
        <f t="shared" si="95"/>
        <v>0</v>
      </c>
      <c r="AF353" s="3">
        <f t="shared" si="96"/>
        <v>0</v>
      </c>
      <c r="AM353" s="3" t="str">
        <f t="shared" si="97"/>
        <v/>
      </c>
      <c r="AN353" s="3" t="str">
        <f t="shared" si="98"/>
        <v/>
      </c>
      <c r="AO353" s="3" t="str">
        <f t="shared" si="99"/>
        <v/>
      </c>
      <c r="AP353" s="3">
        <f t="shared" si="100"/>
        <v>0</v>
      </c>
      <c r="AQ353" s="3">
        <f t="shared" si="101"/>
        <v>0</v>
      </c>
      <c r="AR353" s="3">
        <f t="shared" si="107"/>
        <v>0</v>
      </c>
      <c r="AS353" s="3" t="e">
        <f t="shared" si="108"/>
        <v>#REF!</v>
      </c>
      <c r="AT353" s="3" t="str">
        <f t="shared" si="102"/>
        <v/>
      </c>
      <c r="AU353" s="3">
        <f t="shared" si="103"/>
        <v>0</v>
      </c>
      <c r="AV353" s="3">
        <f t="shared" si="104"/>
        <v>0</v>
      </c>
      <c r="AW353" s="3">
        <v>698</v>
      </c>
      <c r="AX353" s="3" t="e">
        <f>IF(AND(#REF!="N",OR(AW353=$AX$1,AW353=$AX$2,AW353=$AX$3,AW353=$AX$4,AW353=$AY$1,AW353=$AY$2,AW353=$AY$3,AW353=$AY$4)),0,1)</f>
        <v>#REF!</v>
      </c>
    </row>
    <row r="354" spans="2:50" x14ac:dyDescent="0.2">
      <c r="B354" s="4">
        <v>700</v>
      </c>
      <c r="C354" s="208">
        <v>0.15755905175128374</v>
      </c>
      <c r="D354" s="208">
        <v>0.1575590517512804</v>
      </c>
      <c r="E354" s="208">
        <v>0.15755905175127335</v>
      </c>
      <c r="F354" s="209" t="s">
        <v>714</v>
      </c>
      <c r="G354" s="208">
        <v>6.8780713824241066E-3</v>
      </c>
      <c r="H354" s="210">
        <v>9.4014094056670078E-2</v>
      </c>
      <c r="I354" s="208">
        <v>1.4812771510824938E-4</v>
      </c>
      <c r="J354" s="208">
        <v>1.4812771510824626E-4</v>
      </c>
      <c r="K354" s="208">
        <v>1.4812771510823962E-4</v>
      </c>
      <c r="L354" s="208">
        <v>2.5656472857656017E-4</v>
      </c>
      <c r="M354" s="208">
        <v>2.565647285765773E-4</v>
      </c>
      <c r="N354" s="208">
        <v>2.5656472857656792E-4</v>
      </c>
      <c r="O354" s="3">
        <v>240</v>
      </c>
      <c r="P354" s="3">
        <v>240</v>
      </c>
      <c r="Q354" s="3">
        <v>240</v>
      </c>
      <c r="R354" s="4" t="s">
        <v>168</v>
      </c>
      <c r="S354" s="4" t="s">
        <v>168</v>
      </c>
      <c r="T354" s="4">
        <v>175</v>
      </c>
      <c r="U354" s="210"/>
      <c r="V354" s="210">
        <v>9.4014094056670078E-2</v>
      </c>
      <c r="W354" s="3">
        <v>0</v>
      </c>
      <c r="X354" s="3">
        <v>9.401409405666962E-2</v>
      </c>
      <c r="Y354" s="3">
        <f t="shared" si="105"/>
        <v>1</v>
      </c>
      <c r="Z354" s="3">
        <f t="shared" si="106"/>
        <v>1</v>
      </c>
      <c r="AA354" s="3">
        <f t="shared" si="91"/>
        <v>8.120509578441501E-2</v>
      </c>
      <c r="AB354" s="3">
        <f t="shared" si="92"/>
        <v>4.0602547892207505E-2</v>
      </c>
      <c r="AC354" s="3">
        <f t="shared" si="93"/>
        <v>1.3257974821945308E-5</v>
      </c>
      <c r="AD354" s="3" t="str">
        <f t="shared" si="94"/>
        <v>1.73142767172605E-09+0.0000132571088254274i</v>
      </c>
      <c r="AE354" s="3">
        <f t="shared" si="95"/>
        <v>1.7314276717260499E-9</v>
      </c>
      <c r="AF354" s="3">
        <f t="shared" si="96"/>
        <v>1.3257108825427401E-5</v>
      </c>
      <c r="AM354" s="3" t="str">
        <f t="shared" si="97"/>
        <v>-5.38307557661715E-07+1.07661511532343E-06i</v>
      </c>
      <c r="AN354" s="3" t="str">
        <f t="shared" si="98"/>
        <v>0.081205095784415+0.0406158058670295i</v>
      </c>
      <c r="AO354" s="3" t="str">
        <f t="shared" si="99"/>
        <v>1.73142767172605E-09+0.0000132571088254274i</v>
      </c>
      <c r="AP354" s="3">
        <f t="shared" si="100"/>
        <v>1.7314276717260499E-9</v>
      </c>
      <c r="AQ354" s="3">
        <f t="shared" si="101"/>
        <v>1.3257108825427401E-5</v>
      </c>
      <c r="AR354" s="3">
        <f t="shared" si="107"/>
        <v>0.89759790102565518</v>
      </c>
      <c r="AS354" s="3" t="e">
        <f t="shared" si="108"/>
        <v>#REF!</v>
      </c>
      <c r="AT354" s="3" t="e">
        <f t="shared" si="102"/>
        <v>#REF!</v>
      </c>
      <c r="AU354" s="3" t="e">
        <f t="shared" si="103"/>
        <v>#REF!</v>
      </c>
      <c r="AV354" s="3" t="e">
        <f t="shared" si="104"/>
        <v>#REF!</v>
      </c>
      <c r="AW354" s="3">
        <v>700</v>
      </c>
      <c r="AX354" s="3" t="e">
        <f>IF(AND(#REF!="N",OR(AW354=$AX$1,AW354=$AX$2,AW354=$AX$3,AW354=$AX$4,AW354=$AY$1,AW354=$AY$2,AW354=$AY$3,AW354=$AY$4)),0,1)</f>
        <v>#REF!</v>
      </c>
    </row>
    <row r="355" spans="2:50" x14ac:dyDescent="0.2">
      <c r="B355" s="4">
        <v>702</v>
      </c>
      <c r="C355" s="208">
        <v>4.4194173824159217E-8</v>
      </c>
      <c r="D355" s="208">
        <v>4.4194173824159217E-8</v>
      </c>
      <c r="E355" s="208">
        <v>4.4194173824159217E-8</v>
      </c>
      <c r="F355" s="209" t="s">
        <v>714</v>
      </c>
      <c r="G355" s="208">
        <v>1.5083207276475721E-15</v>
      </c>
      <c r="H355" s="210">
        <v>2.0616739616724758E-14</v>
      </c>
      <c r="I355" s="208">
        <v>9.1113977430896371E-24</v>
      </c>
      <c r="J355" s="208">
        <v>9.1113977430896371E-24</v>
      </c>
      <c r="K355" s="208">
        <v>9.1113977430896371E-24</v>
      </c>
      <c r="L355" s="208">
        <v>0</v>
      </c>
      <c r="M355" s="208">
        <v>0</v>
      </c>
      <c r="N355" s="208">
        <v>0</v>
      </c>
      <c r="O355" s="3">
        <v>360</v>
      </c>
      <c r="P355" s="3">
        <v>360</v>
      </c>
      <c r="Q355" s="3">
        <v>360</v>
      </c>
      <c r="S355" s="4">
        <v>0</v>
      </c>
      <c r="T355" s="4">
        <v>175.5</v>
      </c>
      <c r="U355" s="210"/>
      <c r="V355" s="210">
        <v>2.0616739616724758E-14</v>
      </c>
      <c r="W355" s="3">
        <v>0</v>
      </c>
      <c r="X355" s="3">
        <v>0</v>
      </c>
      <c r="Y355" s="3">
        <f t="shared" si="105"/>
        <v>1</v>
      </c>
      <c r="Z355" s="3">
        <f t="shared" si="106"/>
        <v>1</v>
      </c>
      <c r="AA355" s="3" t="str">
        <f t="shared" si="91"/>
        <v/>
      </c>
      <c r="AB355" s="3" t="str">
        <f t="shared" si="92"/>
        <v/>
      </c>
      <c r="AC355" s="3" t="str">
        <f t="shared" si="93"/>
        <v/>
      </c>
      <c r="AD355" s="3" t="str">
        <f t="shared" si="94"/>
        <v>0</v>
      </c>
      <c r="AE355" s="3">
        <f t="shared" si="95"/>
        <v>0</v>
      </c>
      <c r="AF355" s="3">
        <f t="shared" si="96"/>
        <v>0</v>
      </c>
      <c r="AM355" s="3" t="str">
        <f t="shared" si="97"/>
        <v/>
      </c>
      <c r="AN355" s="3" t="str">
        <f t="shared" si="98"/>
        <v/>
      </c>
      <c r="AO355" s="3" t="str">
        <f t="shared" si="99"/>
        <v/>
      </c>
      <c r="AP355" s="3">
        <f t="shared" si="100"/>
        <v>0</v>
      </c>
      <c r="AQ355" s="3">
        <f t="shared" si="101"/>
        <v>0</v>
      </c>
      <c r="AR355" s="3">
        <f t="shared" si="107"/>
        <v>0</v>
      </c>
      <c r="AS355" s="3" t="e">
        <f t="shared" si="108"/>
        <v>#REF!</v>
      </c>
      <c r="AT355" s="3" t="str">
        <f t="shared" si="102"/>
        <v/>
      </c>
      <c r="AU355" s="3">
        <f t="shared" si="103"/>
        <v>0</v>
      </c>
      <c r="AV355" s="3">
        <f t="shared" si="104"/>
        <v>0</v>
      </c>
      <c r="AW355" s="3">
        <v>702</v>
      </c>
      <c r="AX355" s="3" t="e">
        <f>IF(AND(#REF!="N",OR(AW355=$AX$1,AW355=$AX$2,AW355=$AX$3,AW355=$AX$4,AW355=$AY$1,AW355=$AY$2,AW355=$AY$3,AW355=$AY$4)),0,1)</f>
        <v>#REF!</v>
      </c>
    </row>
    <row r="356" spans="2:50" x14ac:dyDescent="0.2">
      <c r="B356" s="4">
        <v>704</v>
      </c>
      <c r="C356" s="208">
        <v>4.4194173824159217E-8</v>
      </c>
      <c r="D356" s="208">
        <v>4.4194173824159217E-8</v>
      </c>
      <c r="E356" s="208">
        <v>4.4194173824159217E-8</v>
      </c>
      <c r="F356" s="209" t="s">
        <v>714</v>
      </c>
      <c r="G356" s="208">
        <v>7.863992964023427E-16</v>
      </c>
      <c r="H356" s="210">
        <v>1.0749033167494143E-14</v>
      </c>
      <c r="I356" s="208">
        <v>4.7504464024588889E-24</v>
      </c>
      <c r="J356" s="208">
        <v>4.7504464024588889E-24</v>
      </c>
      <c r="K356" s="208">
        <v>4.7504464024588889E-24</v>
      </c>
      <c r="L356" s="208">
        <v>0</v>
      </c>
      <c r="M356" s="208">
        <v>0</v>
      </c>
      <c r="N356" s="208">
        <v>0</v>
      </c>
      <c r="O356" s="3">
        <v>360</v>
      </c>
      <c r="P356" s="3">
        <v>360</v>
      </c>
      <c r="Q356" s="3">
        <v>360</v>
      </c>
      <c r="S356" s="4">
        <v>0</v>
      </c>
      <c r="T356" s="4">
        <v>176</v>
      </c>
      <c r="U356" s="210"/>
      <c r="V356" s="210">
        <v>1.0749033167494144E-14</v>
      </c>
      <c r="W356" s="3">
        <v>0</v>
      </c>
      <c r="X356" s="3">
        <v>0</v>
      </c>
      <c r="Y356" s="3">
        <f t="shared" si="105"/>
        <v>1</v>
      </c>
      <c r="Z356" s="3">
        <f t="shared" si="106"/>
        <v>1</v>
      </c>
      <c r="AA356" s="3" t="str">
        <f t="shared" si="91"/>
        <v/>
      </c>
      <c r="AB356" s="3" t="str">
        <f t="shared" si="92"/>
        <v/>
      </c>
      <c r="AC356" s="3" t="str">
        <f t="shared" si="93"/>
        <v/>
      </c>
      <c r="AD356" s="3" t="str">
        <f t="shared" si="94"/>
        <v>0</v>
      </c>
      <c r="AE356" s="3">
        <f t="shared" si="95"/>
        <v>0</v>
      </c>
      <c r="AF356" s="3">
        <f t="shared" si="96"/>
        <v>0</v>
      </c>
      <c r="AM356" s="3" t="str">
        <f t="shared" si="97"/>
        <v/>
      </c>
      <c r="AN356" s="3" t="str">
        <f t="shared" si="98"/>
        <v/>
      </c>
      <c r="AO356" s="3" t="str">
        <f t="shared" si="99"/>
        <v/>
      </c>
      <c r="AP356" s="3">
        <f t="shared" si="100"/>
        <v>0</v>
      </c>
      <c r="AQ356" s="3">
        <f t="shared" si="101"/>
        <v>0</v>
      </c>
      <c r="AR356" s="3">
        <f t="shared" si="107"/>
        <v>0</v>
      </c>
      <c r="AS356" s="3" t="e">
        <f t="shared" si="108"/>
        <v>#REF!</v>
      </c>
      <c r="AT356" s="3" t="str">
        <f t="shared" si="102"/>
        <v/>
      </c>
      <c r="AU356" s="3">
        <f t="shared" si="103"/>
        <v>0</v>
      </c>
      <c r="AV356" s="3">
        <f t="shared" si="104"/>
        <v>0</v>
      </c>
      <c r="AW356" s="3">
        <v>704</v>
      </c>
      <c r="AX356" s="3" t="e">
        <f>IF(AND(#REF!="N",OR(AW356=$AX$1,AW356=$AX$2,AW356=$AX$3,AW356=$AX$4,AW356=$AY$1,AW356=$AY$2,AW356=$AY$3,AW356=$AY$4)),0,1)</f>
        <v>#REF!</v>
      </c>
    </row>
    <row r="357" spans="2:50" x14ac:dyDescent="0.2">
      <c r="B357" s="4">
        <v>706</v>
      </c>
      <c r="C357" s="208">
        <v>4.4194173824159217E-8</v>
      </c>
      <c r="D357" s="208">
        <v>4.4194173824159217E-8</v>
      </c>
      <c r="E357" s="208">
        <v>4.4194173824159217E-8</v>
      </c>
      <c r="F357" s="209" t="s">
        <v>714</v>
      </c>
      <c r="G357" s="208">
        <v>7.6849559120115617E-16</v>
      </c>
      <c r="H357" s="210">
        <v>1.0504313313459419E-14</v>
      </c>
      <c r="I357" s="208">
        <v>4.6422944847845545E-24</v>
      </c>
      <c r="J357" s="208">
        <v>4.6422944847845545E-24</v>
      </c>
      <c r="K357" s="208">
        <v>4.6422944847845545E-24</v>
      </c>
      <c r="L357" s="208">
        <v>0</v>
      </c>
      <c r="M357" s="208">
        <v>0</v>
      </c>
      <c r="N357" s="208">
        <v>0</v>
      </c>
      <c r="O357" s="3">
        <v>360</v>
      </c>
      <c r="P357" s="3">
        <v>360</v>
      </c>
      <c r="Q357" s="3">
        <v>360</v>
      </c>
      <c r="S357" s="4">
        <v>0</v>
      </c>
      <c r="T357" s="4">
        <v>176.5</v>
      </c>
      <c r="U357" s="210"/>
      <c r="V357" s="210">
        <v>1.0504313313459419E-14</v>
      </c>
      <c r="W357" s="3">
        <v>0</v>
      </c>
      <c r="X357" s="3">
        <v>0</v>
      </c>
      <c r="Y357" s="3">
        <f t="shared" si="105"/>
        <v>1</v>
      </c>
      <c r="Z357" s="3">
        <f t="shared" si="106"/>
        <v>1</v>
      </c>
      <c r="AA357" s="3" t="str">
        <f t="shared" si="91"/>
        <v/>
      </c>
      <c r="AB357" s="3" t="str">
        <f t="shared" si="92"/>
        <v/>
      </c>
      <c r="AC357" s="3" t="str">
        <f t="shared" si="93"/>
        <v/>
      </c>
      <c r="AD357" s="3" t="str">
        <f t="shared" si="94"/>
        <v>0</v>
      </c>
      <c r="AE357" s="3">
        <f t="shared" si="95"/>
        <v>0</v>
      </c>
      <c r="AF357" s="3">
        <f t="shared" si="96"/>
        <v>0</v>
      </c>
      <c r="AM357" s="3" t="str">
        <f t="shared" si="97"/>
        <v/>
      </c>
      <c r="AN357" s="3" t="str">
        <f t="shared" si="98"/>
        <v/>
      </c>
      <c r="AO357" s="3" t="str">
        <f t="shared" si="99"/>
        <v/>
      </c>
      <c r="AP357" s="3">
        <f t="shared" si="100"/>
        <v>0</v>
      </c>
      <c r="AQ357" s="3">
        <f t="shared" si="101"/>
        <v>0</v>
      </c>
      <c r="AR357" s="3">
        <f t="shared" si="107"/>
        <v>0</v>
      </c>
      <c r="AS357" s="3" t="e">
        <f t="shared" si="108"/>
        <v>#REF!</v>
      </c>
      <c r="AT357" s="3" t="str">
        <f t="shared" si="102"/>
        <v/>
      </c>
      <c r="AU357" s="3">
        <f t="shared" si="103"/>
        <v>0</v>
      </c>
      <c r="AV357" s="3">
        <f t="shared" si="104"/>
        <v>0</v>
      </c>
      <c r="AW357" s="3">
        <v>706</v>
      </c>
      <c r="AX357" s="3" t="e">
        <f>IF(AND(#REF!="N",OR(AW357=$AX$1,AW357=$AX$2,AW357=$AX$3,AW357=$AX$4,AW357=$AY$1,AW357=$AY$2,AW357=$AY$3,AW357=$AY$4)),0,1)</f>
        <v>#REF!</v>
      </c>
    </row>
    <row r="358" spans="2:50" x14ac:dyDescent="0.2">
      <c r="B358" s="4">
        <v>708</v>
      </c>
      <c r="C358" s="208">
        <v>0.27059805007309889</v>
      </c>
      <c r="D358" s="208">
        <v>0.27059805007308224</v>
      </c>
      <c r="E358" s="208">
        <v>0.27059805007311449</v>
      </c>
      <c r="F358" s="209" t="s">
        <v>714</v>
      </c>
      <c r="G358" s="208">
        <v>5.3397110251238854E-16</v>
      </c>
      <c r="H358" s="210">
        <v>7.2986752628686372E-15</v>
      </c>
      <c r="I358" s="208">
        <v>1.9750072942490157E-17</v>
      </c>
      <c r="J358" s="208">
        <v>1.975007294248894E-17</v>
      </c>
      <c r="K358" s="208">
        <v>1.9750072942491295E-17</v>
      </c>
      <c r="L358" s="208">
        <v>1.862567635838928E-30</v>
      </c>
      <c r="M358" s="208">
        <v>1.7289625650957065E-30</v>
      </c>
      <c r="N358" s="208">
        <v>2.3661458302899228E-30</v>
      </c>
      <c r="O358" s="3">
        <v>360</v>
      </c>
      <c r="P358" s="3">
        <v>0</v>
      </c>
      <c r="Q358" s="3">
        <v>0</v>
      </c>
      <c r="S358" s="4">
        <v>0</v>
      </c>
      <c r="T358" s="4">
        <v>177</v>
      </c>
      <c r="U358" s="210"/>
      <c r="V358" s="210">
        <v>7.2986752628686372E-15</v>
      </c>
      <c r="W358" s="3">
        <v>0</v>
      </c>
      <c r="X358" s="3">
        <v>0</v>
      </c>
      <c r="Y358" s="3">
        <f t="shared" si="105"/>
        <v>1</v>
      </c>
      <c r="Z358" s="3">
        <f t="shared" si="106"/>
        <v>1</v>
      </c>
      <c r="AA358" s="3" t="str">
        <f t="shared" si="91"/>
        <v/>
      </c>
      <c r="AB358" s="3" t="str">
        <f t="shared" si="92"/>
        <v/>
      </c>
      <c r="AC358" s="3" t="str">
        <f t="shared" si="93"/>
        <v/>
      </c>
      <c r="AD358" s="3" t="str">
        <f t="shared" si="94"/>
        <v>0</v>
      </c>
      <c r="AE358" s="3">
        <f t="shared" si="95"/>
        <v>0</v>
      </c>
      <c r="AF358" s="3">
        <f t="shared" si="96"/>
        <v>0</v>
      </c>
      <c r="AM358" s="3" t="str">
        <f t="shared" si="97"/>
        <v/>
      </c>
      <c r="AN358" s="3" t="str">
        <f t="shared" si="98"/>
        <v/>
      </c>
      <c r="AO358" s="3" t="str">
        <f t="shared" si="99"/>
        <v/>
      </c>
      <c r="AP358" s="3">
        <f t="shared" si="100"/>
        <v>0</v>
      </c>
      <c r="AQ358" s="3">
        <f t="shared" si="101"/>
        <v>0</v>
      </c>
      <c r="AR358" s="3">
        <f t="shared" si="107"/>
        <v>0</v>
      </c>
      <c r="AS358" s="3" t="e">
        <f t="shared" si="108"/>
        <v>#REF!</v>
      </c>
      <c r="AT358" s="3" t="str">
        <f t="shared" si="102"/>
        <v/>
      </c>
      <c r="AU358" s="3">
        <f t="shared" si="103"/>
        <v>0</v>
      </c>
      <c r="AV358" s="3">
        <f t="shared" si="104"/>
        <v>0</v>
      </c>
      <c r="AW358" s="3">
        <v>708</v>
      </c>
      <c r="AX358" s="3" t="e">
        <f>IF(AND(#REF!="N",OR(AW358=$AX$1,AW358=$AX$2,AW358=$AX$3,AW358=$AX$4,AW358=$AY$1,AW358=$AY$2,AW358=$AY$3,AW358=$AY$4)),0,1)</f>
        <v>#REF!</v>
      </c>
    </row>
    <row r="359" spans="2:50" x14ac:dyDescent="0.2">
      <c r="B359" s="4">
        <v>710</v>
      </c>
      <c r="C359" s="208">
        <v>4.4194173824159217E-8</v>
      </c>
      <c r="D359" s="208">
        <v>4.4194173824159217E-8</v>
      </c>
      <c r="E359" s="208">
        <v>4.4194173824159217E-8</v>
      </c>
      <c r="F359" s="209" t="s">
        <v>714</v>
      </c>
      <c r="G359" s="208">
        <v>1.366101944411935E-16</v>
      </c>
      <c r="H359" s="210">
        <v>1.8672797874871529E-15</v>
      </c>
      <c r="I359" s="208">
        <v>8.2522887506546324E-25</v>
      </c>
      <c r="J359" s="208">
        <v>8.2522887506546324E-25</v>
      </c>
      <c r="K359" s="208">
        <v>8.2522887506546324E-25</v>
      </c>
      <c r="L359" s="208">
        <v>0</v>
      </c>
      <c r="M359" s="208">
        <v>0</v>
      </c>
      <c r="N359" s="208">
        <v>0</v>
      </c>
      <c r="O359" s="3">
        <v>360</v>
      </c>
      <c r="P359" s="3">
        <v>360</v>
      </c>
      <c r="Q359" s="3">
        <v>360</v>
      </c>
      <c r="S359" s="4">
        <v>0</v>
      </c>
      <c r="T359" s="4">
        <v>177.5</v>
      </c>
      <c r="U359" s="210"/>
      <c r="V359" s="210">
        <v>1.8672797874871529E-15</v>
      </c>
      <c r="W359" s="3">
        <v>0</v>
      </c>
      <c r="X359" s="3">
        <v>0</v>
      </c>
      <c r="Y359" s="3">
        <f t="shared" si="105"/>
        <v>1</v>
      </c>
      <c r="Z359" s="3">
        <f t="shared" si="106"/>
        <v>1</v>
      </c>
      <c r="AA359" s="3" t="str">
        <f t="shared" si="91"/>
        <v/>
      </c>
      <c r="AB359" s="3" t="str">
        <f t="shared" si="92"/>
        <v/>
      </c>
      <c r="AC359" s="3" t="str">
        <f t="shared" si="93"/>
        <v/>
      </c>
      <c r="AD359" s="3" t="str">
        <f t="shared" si="94"/>
        <v>0</v>
      </c>
      <c r="AE359" s="3">
        <f t="shared" si="95"/>
        <v>0</v>
      </c>
      <c r="AF359" s="3">
        <f t="shared" si="96"/>
        <v>0</v>
      </c>
      <c r="AM359" s="3" t="str">
        <f t="shared" si="97"/>
        <v/>
      </c>
      <c r="AN359" s="3" t="str">
        <f t="shared" si="98"/>
        <v/>
      </c>
      <c r="AO359" s="3" t="str">
        <f t="shared" si="99"/>
        <v/>
      </c>
      <c r="AP359" s="3">
        <f t="shared" si="100"/>
        <v>0</v>
      </c>
      <c r="AQ359" s="3">
        <f t="shared" si="101"/>
        <v>0</v>
      </c>
      <c r="AR359" s="3">
        <f t="shared" si="107"/>
        <v>0</v>
      </c>
      <c r="AS359" s="3" t="e">
        <f t="shared" si="108"/>
        <v>#REF!</v>
      </c>
      <c r="AT359" s="3" t="str">
        <f t="shared" si="102"/>
        <v/>
      </c>
      <c r="AU359" s="3">
        <f t="shared" si="103"/>
        <v>0</v>
      </c>
      <c r="AV359" s="3">
        <f t="shared" si="104"/>
        <v>0</v>
      </c>
      <c r="AW359" s="3">
        <v>710</v>
      </c>
      <c r="AX359" s="3" t="e">
        <f>IF(AND(#REF!="N",OR(AW359=$AX$1,AW359=$AX$2,AW359=$AX$3,AW359=$AX$4,AW359=$AY$1,AW359=$AY$2,AW359=$AY$3,AW359=$AY$4)),0,1)</f>
        <v>#REF!</v>
      </c>
    </row>
    <row r="360" spans="2:50" x14ac:dyDescent="0.2">
      <c r="B360" s="4">
        <v>712</v>
      </c>
      <c r="C360" s="208">
        <v>4.4194173824159217E-8</v>
      </c>
      <c r="D360" s="208">
        <v>4.4194173824159217E-8</v>
      </c>
      <c r="E360" s="208">
        <v>4.4194173824159217E-8</v>
      </c>
      <c r="F360" s="209" t="s">
        <v>714</v>
      </c>
      <c r="G360" s="208">
        <v>5.485653589086138E-16</v>
      </c>
      <c r="H360" s="210">
        <v>7.4981593503743284E-15</v>
      </c>
      <c r="I360" s="208">
        <v>3.3137495769168782E-24</v>
      </c>
      <c r="J360" s="208">
        <v>3.3137495769168782E-24</v>
      </c>
      <c r="K360" s="208">
        <v>3.3137495769168782E-24</v>
      </c>
      <c r="L360" s="208">
        <v>0</v>
      </c>
      <c r="M360" s="208">
        <v>0</v>
      </c>
      <c r="N360" s="208">
        <v>0</v>
      </c>
      <c r="O360" s="3">
        <v>360</v>
      </c>
      <c r="P360" s="3">
        <v>360</v>
      </c>
      <c r="Q360" s="3">
        <v>360</v>
      </c>
      <c r="S360" s="4">
        <v>0</v>
      </c>
      <c r="T360" s="4">
        <v>178</v>
      </c>
      <c r="U360" s="210"/>
      <c r="V360" s="210">
        <v>7.4981593503743284E-15</v>
      </c>
      <c r="W360" s="3">
        <v>0</v>
      </c>
      <c r="X360" s="3">
        <v>0</v>
      </c>
      <c r="Y360" s="3">
        <f t="shared" si="105"/>
        <v>1</v>
      </c>
      <c r="Z360" s="3">
        <f t="shared" si="106"/>
        <v>1</v>
      </c>
      <c r="AA360" s="3" t="str">
        <f t="shared" si="91"/>
        <v/>
      </c>
      <c r="AB360" s="3" t="str">
        <f t="shared" si="92"/>
        <v/>
      </c>
      <c r="AC360" s="3" t="str">
        <f t="shared" si="93"/>
        <v/>
      </c>
      <c r="AD360" s="3" t="str">
        <f t="shared" si="94"/>
        <v>0</v>
      </c>
      <c r="AE360" s="3">
        <f t="shared" si="95"/>
        <v>0</v>
      </c>
      <c r="AF360" s="3">
        <f t="shared" si="96"/>
        <v>0</v>
      </c>
      <c r="AM360" s="3" t="str">
        <f t="shared" si="97"/>
        <v/>
      </c>
      <c r="AN360" s="3" t="str">
        <f t="shared" si="98"/>
        <v/>
      </c>
      <c r="AO360" s="3" t="str">
        <f t="shared" si="99"/>
        <v/>
      </c>
      <c r="AP360" s="3">
        <f t="shared" si="100"/>
        <v>0</v>
      </c>
      <c r="AQ360" s="3">
        <f t="shared" si="101"/>
        <v>0</v>
      </c>
      <c r="AR360" s="3">
        <f t="shared" si="107"/>
        <v>0</v>
      </c>
      <c r="AS360" s="3" t="e">
        <f t="shared" si="108"/>
        <v>#REF!</v>
      </c>
      <c r="AT360" s="3" t="str">
        <f t="shared" si="102"/>
        <v/>
      </c>
      <c r="AU360" s="3">
        <f t="shared" si="103"/>
        <v>0</v>
      </c>
      <c r="AV360" s="3">
        <f t="shared" si="104"/>
        <v>0</v>
      </c>
      <c r="AW360" s="3">
        <v>712</v>
      </c>
      <c r="AX360" s="3" t="e">
        <f>IF(AND(#REF!="N",OR(AW360=$AX$1,AW360=$AX$2,AW360=$AX$3,AW360=$AX$4,AW360=$AY$1,AW360=$AY$2,AW360=$AY$3,AW360=$AY$4)),0,1)</f>
        <v>#REF!</v>
      </c>
    </row>
    <row r="361" spans="2:50" x14ac:dyDescent="0.2">
      <c r="B361" s="4">
        <v>714</v>
      </c>
      <c r="C361" s="208">
        <v>4.4194173824159217E-8</v>
      </c>
      <c r="D361" s="208">
        <v>4.4194173824159217E-8</v>
      </c>
      <c r="E361" s="208">
        <v>4.4194173824159217E-8</v>
      </c>
      <c r="F361" s="209" t="s">
        <v>714</v>
      </c>
      <c r="G361" s="208">
        <v>1.2459761320763258E-15</v>
      </c>
      <c r="H361" s="210">
        <v>1.7030837681144437E-14</v>
      </c>
      <c r="I361" s="208">
        <v>7.5266380085153782E-24</v>
      </c>
      <c r="J361" s="208">
        <v>7.5266380085153782E-24</v>
      </c>
      <c r="K361" s="208">
        <v>7.5266380085153782E-24</v>
      </c>
      <c r="L361" s="208">
        <v>0</v>
      </c>
      <c r="M361" s="208">
        <v>0</v>
      </c>
      <c r="N361" s="208">
        <v>0</v>
      </c>
      <c r="O361" s="3">
        <v>360</v>
      </c>
      <c r="P361" s="3">
        <v>360</v>
      </c>
      <c r="Q361" s="3">
        <v>360</v>
      </c>
      <c r="S361" s="4">
        <v>0</v>
      </c>
      <c r="T361" s="4">
        <v>178.5</v>
      </c>
      <c r="U361" s="210"/>
      <c r="V361" s="210">
        <v>1.7030837681144437E-14</v>
      </c>
      <c r="W361" s="3">
        <v>0</v>
      </c>
      <c r="X361" s="3">
        <v>0</v>
      </c>
      <c r="Y361" s="3">
        <f t="shared" si="105"/>
        <v>1</v>
      </c>
      <c r="Z361" s="3">
        <f t="shared" si="106"/>
        <v>1</v>
      </c>
      <c r="AA361" s="3" t="str">
        <f t="shared" si="91"/>
        <v/>
      </c>
      <c r="AB361" s="3" t="str">
        <f t="shared" si="92"/>
        <v/>
      </c>
      <c r="AC361" s="3" t="str">
        <f t="shared" si="93"/>
        <v/>
      </c>
      <c r="AD361" s="3" t="str">
        <f t="shared" si="94"/>
        <v>0</v>
      </c>
      <c r="AE361" s="3">
        <f t="shared" si="95"/>
        <v>0</v>
      </c>
      <c r="AF361" s="3">
        <f t="shared" si="96"/>
        <v>0</v>
      </c>
      <c r="AM361" s="3" t="str">
        <f t="shared" si="97"/>
        <v/>
      </c>
      <c r="AN361" s="3" t="str">
        <f t="shared" si="98"/>
        <v/>
      </c>
      <c r="AO361" s="3" t="str">
        <f t="shared" si="99"/>
        <v/>
      </c>
      <c r="AP361" s="3">
        <f t="shared" si="100"/>
        <v>0</v>
      </c>
      <c r="AQ361" s="3">
        <f t="shared" si="101"/>
        <v>0</v>
      </c>
      <c r="AR361" s="3">
        <f t="shared" si="107"/>
        <v>0</v>
      </c>
      <c r="AS361" s="3" t="e">
        <f t="shared" si="108"/>
        <v>#REF!</v>
      </c>
      <c r="AT361" s="3" t="str">
        <f t="shared" si="102"/>
        <v/>
      </c>
      <c r="AU361" s="3">
        <f t="shared" si="103"/>
        <v>0</v>
      </c>
      <c r="AV361" s="3">
        <f t="shared" si="104"/>
        <v>0</v>
      </c>
      <c r="AW361" s="3">
        <v>714</v>
      </c>
      <c r="AX361" s="3" t="e">
        <f>IF(AND(#REF!="N",OR(AW361=$AX$1,AW361=$AX$2,AW361=$AX$3,AW361=$AX$4,AW361=$AY$1,AW361=$AY$2,AW361=$AY$3,AW361=$AY$4)),0,1)</f>
        <v>#REF!</v>
      </c>
    </row>
    <row r="362" spans="2:50" x14ac:dyDescent="0.2">
      <c r="B362" s="4">
        <v>716</v>
      </c>
      <c r="C362" s="208">
        <v>0.12607862007251899</v>
      </c>
      <c r="D362" s="208">
        <v>0.12607862007251799</v>
      </c>
      <c r="E362" s="208">
        <v>0.12607862007251897</v>
      </c>
      <c r="F362" s="209" t="s">
        <v>714</v>
      </c>
      <c r="G362" s="208">
        <v>5.3808363627477311E-3</v>
      </c>
      <c r="H362" s="210">
        <v>7.3548881333741753E-2</v>
      </c>
      <c r="I362" s="208">
        <v>9.2729414664356115E-5</v>
      </c>
      <c r="J362" s="208">
        <v>9.2729414664355369E-5</v>
      </c>
      <c r="K362" s="208">
        <v>9.2729414664356088E-5</v>
      </c>
      <c r="L362" s="208">
        <v>1.6061205755478732E-4</v>
      </c>
      <c r="M362" s="208">
        <v>1.6061205755478922E-4</v>
      </c>
      <c r="N362" s="208">
        <v>1.6061205755478402E-4</v>
      </c>
      <c r="O362" s="3">
        <v>120</v>
      </c>
      <c r="P362" s="3">
        <v>120</v>
      </c>
      <c r="Q362" s="3">
        <v>120</v>
      </c>
      <c r="R362" s="4" t="s">
        <v>172</v>
      </c>
      <c r="S362" s="4" t="s">
        <v>172</v>
      </c>
      <c r="T362" s="4">
        <v>179</v>
      </c>
      <c r="U362" s="210"/>
      <c r="V362" s="210">
        <v>7.3548881333741753E-2</v>
      </c>
      <c r="W362" s="3">
        <v>7.3548881333740282E-2</v>
      </c>
      <c r="X362" s="3">
        <v>0</v>
      </c>
      <c r="Y362" s="3">
        <f t="shared" si="105"/>
        <v>1</v>
      </c>
      <c r="Z362" s="3">
        <f t="shared" si="106"/>
        <v>1</v>
      </c>
      <c r="AA362" s="3">
        <f t="shared" si="91"/>
        <v>5.1997140362997726E-2</v>
      </c>
      <c r="AB362" s="3">
        <f t="shared" si="92"/>
        <v>2.5998570181498863E-2</v>
      </c>
      <c r="AC362" s="3">
        <f t="shared" si="93"/>
        <v>8.1141569181669933E-6</v>
      </c>
      <c r="AD362" s="3" t="str">
        <f t="shared" si="94"/>
        <v>1.0128452813357E-09+8.11365033747176E-06i</v>
      </c>
      <c r="AE362" s="3">
        <f t="shared" si="95"/>
        <v>1.0128452813357E-9</v>
      </c>
      <c r="AF362" s="3">
        <f t="shared" si="96"/>
        <v>8.1136503374717597E-6</v>
      </c>
      <c r="AM362" s="3" t="str">
        <f t="shared" si="97"/>
        <v>-2.10956478100659E-07+4.21912956201318E-07i</v>
      </c>
      <c r="AN362" s="3" t="str">
        <f t="shared" si="98"/>
        <v>0.0519971403629977+0.026006684338417i</v>
      </c>
      <c r="AO362" s="3" t="str">
        <f t="shared" si="99"/>
        <v>1.0128452813357E-09+8.11365033747176E-06i</v>
      </c>
      <c r="AP362" s="3">
        <f t="shared" si="100"/>
        <v>1.0128452813357E-9</v>
      </c>
      <c r="AQ362" s="3">
        <f t="shared" si="101"/>
        <v>8.1136503374717597E-6</v>
      </c>
      <c r="AR362" s="3">
        <f t="shared" si="107"/>
        <v>-0.87753984737145063</v>
      </c>
      <c r="AS362" s="3" t="e">
        <f t="shared" si="108"/>
        <v>#REF!</v>
      </c>
      <c r="AT362" s="3" t="e">
        <f t="shared" si="102"/>
        <v>#REF!</v>
      </c>
      <c r="AU362" s="3" t="e">
        <f t="shared" si="103"/>
        <v>#REF!</v>
      </c>
      <c r="AV362" s="3" t="e">
        <f t="shared" si="104"/>
        <v>#REF!</v>
      </c>
      <c r="AW362" s="3">
        <v>716</v>
      </c>
      <c r="AX362" s="3" t="e">
        <f>IF(AND(#REF!="N",OR(AW362=$AX$1,AW362=$AX$2,AW362=$AX$3,AW362=$AX$4,AW362=$AY$1,AW362=$AY$2,AW362=$AY$3,AW362=$AY$4)),0,1)</f>
        <v>#REF!</v>
      </c>
    </row>
    <row r="363" spans="2:50" x14ac:dyDescent="0.2">
      <c r="B363" s="4">
        <v>718</v>
      </c>
      <c r="C363" s="208">
        <v>4.4194173824159217E-8</v>
      </c>
      <c r="D363" s="208">
        <v>4.4194173824159217E-8</v>
      </c>
      <c r="E363" s="208">
        <v>4.4194173824159217E-8</v>
      </c>
      <c r="F363" s="209" t="s">
        <v>714</v>
      </c>
      <c r="G363" s="208">
        <v>4.247295495973921E-16</v>
      </c>
      <c r="H363" s="210">
        <v>5.8054884289995862E-15</v>
      </c>
      <c r="I363" s="208">
        <v>2.5656876476535271E-24</v>
      </c>
      <c r="J363" s="208">
        <v>2.5656876476535271E-24</v>
      </c>
      <c r="K363" s="208">
        <v>2.5656876476535271E-24</v>
      </c>
      <c r="L363" s="208">
        <v>0</v>
      </c>
      <c r="M363" s="208">
        <v>0</v>
      </c>
      <c r="N363" s="208">
        <v>0</v>
      </c>
      <c r="O363" s="3">
        <v>360</v>
      </c>
      <c r="P363" s="3">
        <v>360</v>
      </c>
      <c r="Q363" s="3">
        <v>360</v>
      </c>
      <c r="S363" s="4">
        <v>0</v>
      </c>
      <c r="T363" s="4">
        <v>179.5</v>
      </c>
      <c r="U363" s="210"/>
      <c r="V363" s="210">
        <v>5.8054884289995862E-15</v>
      </c>
      <c r="W363" s="3">
        <v>0</v>
      </c>
      <c r="X363" s="3">
        <v>0</v>
      </c>
      <c r="Y363" s="3">
        <f t="shared" si="105"/>
        <v>1</v>
      </c>
      <c r="Z363" s="3">
        <f t="shared" si="106"/>
        <v>1</v>
      </c>
      <c r="AA363" s="3" t="str">
        <f t="shared" si="91"/>
        <v/>
      </c>
      <c r="AB363" s="3" t="str">
        <f t="shared" si="92"/>
        <v/>
      </c>
      <c r="AC363" s="3" t="str">
        <f t="shared" si="93"/>
        <v/>
      </c>
      <c r="AD363" s="3" t="str">
        <f t="shared" si="94"/>
        <v>0</v>
      </c>
      <c r="AE363" s="3">
        <f t="shared" si="95"/>
        <v>0</v>
      </c>
      <c r="AF363" s="3">
        <f t="shared" si="96"/>
        <v>0</v>
      </c>
      <c r="AM363" s="3" t="str">
        <f t="shared" si="97"/>
        <v/>
      </c>
      <c r="AN363" s="3" t="str">
        <f t="shared" si="98"/>
        <v/>
      </c>
      <c r="AO363" s="3" t="str">
        <f t="shared" si="99"/>
        <v/>
      </c>
      <c r="AP363" s="3">
        <f t="shared" si="100"/>
        <v>0</v>
      </c>
      <c r="AQ363" s="3">
        <f t="shared" si="101"/>
        <v>0</v>
      </c>
      <c r="AR363" s="3">
        <f t="shared" si="107"/>
        <v>0</v>
      </c>
      <c r="AS363" s="3" t="e">
        <f t="shared" si="108"/>
        <v>#REF!</v>
      </c>
      <c r="AT363" s="3" t="str">
        <f t="shared" si="102"/>
        <v/>
      </c>
      <c r="AU363" s="3">
        <f t="shared" si="103"/>
        <v>0</v>
      </c>
      <c r="AV363" s="3">
        <f t="shared" si="104"/>
        <v>0</v>
      </c>
      <c r="AW363" s="3">
        <v>718</v>
      </c>
      <c r="AX363" s="3" t="e">
        <f>IF(AND(#REF!="N",OR(AW363=$AX$1,AW363=$AX$2,AW363=$AX$3,AW363=$AX$4,AW363=$AY$1,AW363=$AY$2,AW363=$AY$3,AW363=$AY$4)),0,1)</f>
        <v>#REF!</v>
      </c>
    </row>
    <row r="364" spans="2:50" x14ac:dyDescent="0.2">
      <c r="B364" s="4">
        <v>720</v>
      </c>
      <c r="C364" s="208">
        <v>4.4194173824159217E-8</v>
      </c>
      <c r="D364" s="208">
        <v>4.4194173824159217E-8</v>
      </c>
      <c r="E364" s="208">
        <v>4.4194173824159217E-8</v>
      </c>
      <c r="F364" s="209" t="s">
        <v>714</v>
      </c>
      <c r="G364" s="208">
        <v>8.4186533790836771E-16</v>
      </c>
      <c r="H364" s="210">
        <v>1.1507180234188409E-14</v>
      </c>
      <c r="I364" s="208">
        <v>5.0855032349565169E-24</v>
      </c>
      <c r="J364" s="208">
        <v>5.0855032349565169E-24</v>
      </c>
      <c r="K364" s="208">
        <v>5.0855032349565169E-24</v>
      </c>
      <c r="L364" s="208">
        <v>0</v>
      </c>
      <c r="M364" s="208">
        <v>0</v>
      </c>
      <c r="N364" s="208">
        <v>0</v>
      </c>
      <c r="O364" s="3">
        <v>360</v>
      </c>
      <c r="P364" s="3">
        <v>360</v>
      </c>
      <c r="Q364" s="3">
        <v>360</v>
      </c>
      <c r="S364" s="4">
        <v>0</v>
      </c>
      <c r="T364" s="4">
        <v>180</v>
      </c>
      <c r="U364" s="210"/>
      <c r="V364" s="210">
        <v>1.1507180234188409E-14</v>
      </c>
      <c r="W364" s="3">
        <v>0</v>
      </c>
      <c r="X364" s="3">
        <v>0</v>
      </c>
      <c r="Y364" s="3">
        <f t="shared" si="105"/>
        <v>1</v>
      </c>
      <c r="Z364" s="3">
        <f t="shared" si="106"/>
        <v>1</v>
      </c>
      <c r="AA364" s="3" t="str">
        <f t="shared" si="91"/>
        <v/>
      </c>
      <c r="AB364" s="3" t="str">
        <f t="shared" si="92"/>
        <v/>
      </c>
      <c r="AC364" s="3" t="str">
        <f t="shared" si="93"/>
        <v/>
      </c>
      <c r="AD364" s="3" t="str">
        <f t="shared" si="94"/>
        <v>0</v>
      </c>
      <c r="AE364" s="3">
        <f t="shared" si="95"/>
        <v>0</v>
      </c>
      <c r="AF364" s="3">
        <f t="shared" si="96"/>
        <v>0</v>
      </c>
      <c r="AM364" s="3" t="str">
        <f t="shared" si="97"/>
        <v/>
      </c>
      <c r="AN364" s="3" t="str">
        <f t="shared" si="98"/>
        <v/>
      </c>
      <c r="AO364" s="3" t="str">
        <f t="shared" si="99"/>
        <v/>
      </c>
      <c r="AP364" s="3">
        <f t="shared" si="100"/>
        <v>0</v>
      </c>
      <c r="AQ364" s="3">
        <f t="shared" si="101"/>
        <v>0</v>
      </c>
      <c r="AR364" s="3">
        <f t="shared" si="107"/>
        <v>0</v>
      </c>
      <c r="AS364" s="3" t="e">
        <f t="shared" si="108"/>
        <v>#REF!</v>
      </c>
      <c r="AT364" s="3" t="str">
        <f t="shared" si="102"/>
        <v/>
      </c>
      <c r="AU364" s="3">
        <f t="shared" si="103"/>
        <v>0</v>
      </c>
      <c r="AV364" s="3">
        <f t="shared" si="104"/>
        <v>0</v>
      </c>
      <c r="AW364" s="3">
        <v>720</v>
      </c>
      <c r="AX364" s="3" t="e">
        <f>IF(AND(#REF!="N",OR(AW364=$AX$1,AW364=$AX$2,AW364=$AX$3,AW364=$AX$4,AW364=$AY$1,AW364=$AY$2,AW364=$AY$3,AW364=$AY$4)),0,1)</f>
        <v>#REF!</v>
      </c>
    </row>
    <row r="365" spans="2:50" x14ac:dyDescent="0.2">
      <c r="B365" s="4">
        <v>722</v>
      </c>
      <c r="C365" s="208">
        <v>4.4194173824159217E-8</v>
      </c>
      <c r="D365" s="208">
        <v>4.4194173824159217E-8</v>
      </c>
      <c r="E365" s="208">
        <v>4.4194173824159217E-8</v>
      </c>
      <c r="F365" s="209" t="s">
        <v>714</v>
      </c>
      <c r="G365" s="208">
        <v>2.5790467861041491E-16</v>
      </c>
      <c r="H365" s="210">
        <v>3.5252141718816123E-15</v>
      </c>
      <c r="I365" s="208">
        <v>1.5579392787952548E-24</v>
      </c>
      <c r="J365" s="208">
        <v>1.5579392787952548E-24</v>
      </c>
      <c r="K365" s="208">
        <v>1.5579392787952548E-24</v>
      </c>
      <c r="L365" s="208">
        <v>0</v>
      </c>
      <c r="M365" s="208">
        <v>0</v>
      </c>
      <c r="N365" s="208">
        <v>0</v>
      </c>
      <c r="O365" s="3">
        <v>360</v>
      </c>
      <c r="P365" s="3">
        <v>360</v>
      </c>
      <c r="Q365" s="3">
        <v>360</v>
      </c>
      <c r="S365" s="4">
        <v>0</v>
      </c>
      <c r="T365" s="4">
        <v>180.5</v>
      </c>
      <c r="U365" s="210"/>
      <c r="V365" s="210">
        <v>3.5252141718816127E-15</v>
      </c>
      <c r="W365" s="3">
        <v>0</v>
      </c>
      <c r="X365" s="3">
        <v>0</v>
      </c>
      <c r="Y365" s="3">
        <f t="shared" si="105"/>
        <v>1</v>
      </c>
      <c r="Z365" s="3">
        <f t="shared" si="106"/>
        <v>1</v>
      </c>
      <c r="AA365" s="3" t="str">
        <f t="shared" si="91"/>
        <v/>
      </c>
      <c r="AB365" s="3" t="str">
        <f t="shared" si="92"/>
        <v/>
      </c>
      <c r="AC365" s="3" t="str">
        <f t="shared" si="93"/>
        <v/>
      </c>
      <c r="AD365" s="3" t="str">
        <f t="shared" si="94"/>
        <v>0</v>
      </c>
      <c r="AE365" s="3">
        <f t="shared" si="95"/>
        <v>0</v>
      </c>
      <c r="AF365" s="3">
        <f t="shared" si="96"/>
        <v>0</v>
      </c>
      <c r="AM365" s="3" t="str">
        <f t="shared" si="97"/>
        <v/>
      </c>
      <c r="AN365" s="3" t="str">
        <f t="shared" si="98"/>
        <v/>
      </c>
      <c r="AO365" s="3" t="str">
        <f t="shared" si="99"/>
        <v/>
      </c>
      <c r="AP365" s="3">
        <f t="shared" si="100"/>
        <v>0</v>
      </c>
      <c r="AQ365" s="3">
        <f t="shared" si="101"/>
        <v>0</v>
      </c>
      <c r="AR365" s="3">
        <f t="shared" si="107"/>
        <v>0</v>
      </c>
      <c r="AS365" s="3" t="e">
        <f t="shared" si="108"/>
        <v>#REF!</v>
      </c>
      <c r="AT365" s="3" t="str">
        <f t="shared" si="102"/>
        <v/>
      </c>
      <c r="AU365" s="3">
        <f t="shared" si="103"/>
        <v>0</v>
      </c>
      <c r="AV365" s="3">
        <f t="shared" si="104"/>
        <v>0</v>
      </c>
      <c r="AW365" s="3">
        <v>722</v>
      </c>
      <c r="AX365" s="3" t="e">
        <f>IF(AND(#REF!="N",OR(AW365=$AX$1,AW365=$AX$2,AW365=$AX$3,AW365=$AX$4,AW365=$AY$1,AW365=$AY$2,AW365=$AY$3,AW365=$AY$4)),0,1)</f>
        <v>#REF!</v>
      </c>
    </row>
    <row r="366" spans="2:50" x14ac:dyDescent="0.2">
      <c r="B366" s="4">
        <v>724</v>
      </c>
      <c r="C366" s="208">
        <v>0.12607862007252443</v>
      </c>
      <c r="D366" s="208">
        <v>0.12607862007248602</v>
      </c>
      <c r="E366" s="208">
        <v>0.1260786200725412</v>
      </c>
      <c r="F366" s="209" t="s">
        <v>714</v>
      </c>
      <c r="G366" s="208">
        <v>5.3213796073583054E-3</v>
      </c>
      <c r="H366" s="210">
        <v>7.2736186512375151E-2</v>
      </c>
      <c r="I366" s="208">
        <v>9.1704780248180235E-5</v>
      </c>
      <c r="J366" s="208">
        <v>9.170478024815229E-5</v>
      </c>
      <c r="K366" s="208">
        <v>9.1704780248192419E-5</v>
      </c>
      <c r="L366" s="208">
        <v>1.5883733868679432E-4</v>
      </c>
      <c r="M366" s="208">
        <v>1.5883733868676762E-4</v>
      </c>
      <c r="N366" s="208">
        <v>1.5883733868677177E-4</v>
      </c>
      <c r="O366" s="3">
        <v>240</v>
      </c>
      <c r="P366" s="3">
        <v>240</v>
      </c>
      <c r="Q366" s="3">
        <v>240</v>
      </c>
      <c r="R366" s="4" t="s">
        <v>168</v>
      </c>
      <c r="S366" s="4" t="s">
        <v>168</v>
      </c>
      <c r="T366" s="4">
        <v>181</v>
      </c>
      <c r="U366" s="210"/>
      <c r="V366" s="210">
        <v>7.2736186512375151E-2</v>
      </c>
      <c r="W366" s="3">
        <v>0</v>
      </c>
      <c r="X366" s="3">
        <v>7.2736186512372292E-2</v>
      </c>
      <c r="Y366" s="3">
        <f t="shared" si="105"/>
        <v>1</v>
      </c>
      <c r="Z366" s="3">
        <f t="shared" si="106"/>
        <v>1</v>
      </c>
      <c r="AA366" s="3">
        <f t="shared" si="91"/>
        <v>5.1997140363002223E-2</v>
      </c>
      <c r="AB366" s="3">
        <f t="shared" si="92"/>
        <v>2.5998570181501111E-2</v>
      </c>
      <c r="AC366" s="3">
        <f t="shared" si="93"/>
        <v>7.9358292425448288E-6</v>
      </c>
      <c r="AD366" s="3" t="str">
        <f t="shared" si="94"/>
        <v>9.6881783545604E-10+7.93534468576565E-06i</v>
      </c>
      <c r="AE366" s="3">
        <f t="shared" si="95"/>
        <v>9.6881783545603992E-10</v>
      </c>
      <c r="AF366" s="3">
        <f t="shared" si="96"/>
        <v>7.9353446857656503E-6</v>
      </c>
      <c r="AM366" s="3" t="str">
        <f t="shared" si="97"/>
        <v>-2.06320213510711E-07+4.12640427021421E-07i</v>
      </c>
      <c r="AN366" s="3" t="str">
        <f t="shared" si="98"/>
        <v>0.0519971403630022+0.0260065060107437i</v>
      </c>
      <c r="AO366" s="3" t="str">
        <f t="shared" si="99"/>
        <v>9.6881783545604E-10+7.93534468576565E-06i</v>
      </c>
      <c r="AP366" s="3">
        <f t="shared" si="100"/>
        <v>9.6881783545603992E-10</v>
      </c>
      <c r="AQ366" s="3">
        <f t="shared" si="101"/>
        <v>7.9353446857656503E-6</v>
      </c>
      <c r="AR366" s="3">
        <f t="shared" si="107"/>
        <v>0.86784327447231857</v>
      </c>
      <c r="AS366" s="3" t="e">
        <f t="shared" si="108"/>
        <v>#REF!</v>
      </c>
      <c r="AT366" s="3" t="e">
        <f t="shared" si="102"/>
        <v>#REF!</v>
      </c>
      <c r="AU366" s="3" t="e">
        <f t="shared" si="103"/>
        <v>#REF!</v>
      </c>
      <c r="AV366" s="3" t="e">
        <f t="shared" si="104"/>
        <v>#REF!</v>
      </c>
      <c r="AW366" s="3">
        <v>724</v>
      </c>
      <c r="AX366" s="3" t="e">
        <f>IF(AND(#REF!="N",OR(AW366=$AX$1,AW366=$AX$2,AW366=$AX$3,AW366=$AX$4,AW366=$AY$1,AW366=$AY$2,AW366=$AY$3,AW366=$AY$4)),0,1)</f>
        <v>#REF!</v>
      </c>
    </row>
    <row r="367" spans="2:50" x14ac:dyDescent="0.2">
      <c r="B367" s="4">
        <v>726</v>
      </c>
      <c r="C367" s="208">
        <v>4.4194173824159217E-8</v>
      </c>
      <c r="D367" s="208">
        <v>4.4194173824159217E-8</v>
      </c>
      <c r="E367" s="208">
        <v>4.4194173824159217E-8</v>
      </c>
      <c r="F367" s="209" t="s">
        <v>714</v>
      </c>
      <c r="G367" s="208">
        <v>2.7358134379851554E-16</v>
      </c>
      <c r="H367" s="210">
        <v>3.7394933489275449E-15</v>
      </c>
      <c r="I367" s="208">
        <v>1.6526381907679121E-24</v>
      </c>
      <c r="J367" s="208">
        <v>1.6526381907679121E-24</v>
      </c>
      <c r="K367" s="208">
        <v>1.6526381907679121E-24</v>
      </c>
      <c r="L367" s="208">
        <v>0</v>
      </c>
      <c r="M367" s="208">
        <v>0</v>
      </c>
      <c r="N367" s="208">
        <v>0</v>
      </c>
      <c r="O367" s="3">
        <v>360</v>
      </c>
      <c r="P367" s="3">
        <v>360</v>
      </c>
      <c r="Q367" s="3">
        <v>360</v>
      </c>
      <c r="S367" s="4">
        <v>0</v>
      </c>
      <c r="T367" s="4">
        <v>181.5</v>
      </c>
      <c r="U367" s="210"/>
      <c r="V367" s="210">
        <v>3.7394933489275457E-15</v>
      </c>
      <c r="W367" s="3">
        <v>0</v>
      </c>
      <c r="X367" s="3">
        <v>0</v>
      </c>
      <c r="Y367" s="3">
        <f t="shared" si="105"/>
        <v>1</v>
      </c>
      <c r="Z367" s="3">
        <f t="shared" si="106"/>
        <v>1</v>
      </c>
      <c r="AA367" s="3" t="str">
        <f t="shared" si="91"/>
        <v/>
      </c>
      <c r="AB367" s="3" t="str">
        <f t="shared" si="92"/>
        <v/>
      </c>
      <c r="AC367" s="3" t="str">
        <f t="shared" si="93"/>
        <v/>
      </c>
      <c r="AD367" s="3" t="str">
        <f t="shared" si="94"/>
        <v>0</v>
      </c>
      <c r="AE367" s="3">
        <f t="shared" si="95"/>
        <v>0</v>
      </c>
      <c r="AF367" s="3">
        <f t="shared" si="96"/>
        <v>0</v>
      </c>
      <c r="AM367" s="3" t="str">
        <f t="shared" si="97"/>
        <v/>
      </c>
      <c r="AN367" s="3" t="str">
        <f t="shared" si="98"/>
        <v/>
      </c>
      <c r="AO367" s="3" t="str">
        <f t="shared" si="99"/>
        <v/>
      </c>
      <c r="AP367" s="3">
        <f t="shared" si="100"/>
        <v>0</v>
      </c>
      <c r="AQ367" s="3">
        <f t="shared" si="101"/>
        <v>0</v>
      </c>
      <c r="AR367" s="3">
        <f t="shared" si="107"/>
        <v>0</v>
      </c>
      <c r="AS367" s="3" t="e">
        <f t="shared" si="108"/>
        <v>#REF!</v>
      </c>
      <c r="AT367" s="3" t="str">
        <f t="shared" si="102"/>
        <v/>
      </c>
      <c r="AU367" s="3">
        <f t="shared" si="103"/>
        <v>0</v>
      </c>
      <c r="AV367" s="3">
        <f t="shared" si="104"/>
        <v>0</v>
      </c>
      <c r="AW367" s="3">
        <v>726</v>
      </c>
      <c r="AX367" s="3" t="e">
        <f>IF(AND(#REF!="N",OR(AW367=$AX$1,AW367=$AX$2,AW367=$AX$3,AW367=$AX$4,AW367=$AY$1,AW367=$AY$2,AW367=$AY$3,AW367=$AY$4)),0,1)</f>
        <v>#REF!</v>
      </c>
    </row>
    <row r="368" spans="2:50" x14ac:dyDescent="0.2">
      <c r="B368" s="4">
        <v>728</v>
      </c>
      <c r="C368" s="208">
        <v>4.4194173824159217E-8</v>
      </c>
      <c r="D368" s="208">
        <v>4.4194173824159217E-8</v>
      </c>
      <c r="E368" s="208">
        <v>4.4194173824159217E-8</v>
      </c>
      <c r="F368" s="209" t="s">
        <v>714</v>
      </c>
      <c r="G368" s="208">
        <v>5.8964125282895098E-16</v>
      </c>
      <c r="H368" s="210">
        <v>8.0596122257190676E-15</v>
      </c>
      <c r="I368" s="208">
        <v>3.5618790365874722E-24</v>
      </c>
      <c r="J368" s="208">
        <v>3.5618790365874722E-24</v>
      </c>
      <c r="K368" s="208">
        <v>3.5618790365874722E-24</v>
      </c>
      <c r="L368" s="208">
        <v>0</v>
      </c>
      <c r="M368" s="208">
        <v>0</v>
      </c>
      <c r="N368" s="208">
        <v>0</v>
      </c>
      <c r="O368" s="3">
        <v>360</v>
      </c>
      <c r="P368" s="3">
        <v>360</v>
      </c>
      <c r="Q368" s="3">
        <v>360</v>
      </c>
      <c r="S368" s="4">
        <v>0</v>
      </c>
      <c r="T368" s="4">
        <v>182</v>
      </c>
      <c r="U368" s="210"/>
      <c r="V368" s="210">
        <v>8.0596122257190676E-15</v>
      </c>
      <c r="W368" s="3">
        <v>0</v>
      </c>
      <c r="X368" s="3">
        <v>0</v>
      </c>
      <c r="Y368" s="3">
        <f t="shared" si="105"/>
        <v>1</v>
      </c>
      <c r="Z368" s="3">
        <f t="shared" si="106"/>
        <v>1</v>
      </c>
      <c r="AA368" s="3" t="str">
        <f t="shared" si="91"/>
        <v/>
      </c>
      <c r="AB368" s="3" t="str">
        <f t="shared" si="92"/>
        <v/>
      </c>
      <c r="AC368" s="3" t="str">
        <f t="shared" si="93"/>
        <v/>
      </c>
      <c r="AD368" s="3" t="str">
        <f t="shared" si="94"/>
        <v>0</v>
      </c>
      <c r="AE368" s="3">
        <f t="shared" si="95"/>
        <v>0</v>
      </c>
      <c r="AF368" s="3">
        <f t="shared" si="96"/>
        <v>0</v>
      </c>
      <c r="AM368" s="3" t="str">
        <f t="shared" si="97"/>
        <v/>
      </c>
      <c r="AN368" s="3" t="str">
        <f t="shared" si="98"/>
        <v/>
      </c>
      <c r="AO368" s="3" t="str">
        <f t="shared" si="99"/>
        <v/>
      </c>
      <c r="AP368" s="3">
        <f t="shared" si="100"/>
        <v>0</v>
      </c>
      <c r="AQ368" s="3">
        <f t="shared" si="101"/>
        <v>0</v>
      </c>
      <c r="AR368" s="3">
        <f t="shared" si="107"/>
        <v>0</v>
      </c>
      <c r="AS368" s="3" t="e">
        <f t="shared" si="108"/>
        <v>#REF!</v>
      </c>
      <c r="AT368" s="3" t="str">
        <f t="shared" si="102"/>
        <v/>
      </c>
      <c r="AU368" s="3">
        <f t="shared" si="103"/>
        <v>0</v>
      </c>
      <c r="AV368" s="3">
        <f t="shared" si="104"/>
        <v>0</v>
      </c>
      <c r="AW368" s="3">
        <v>728</v>
      </c>
      <c r="AX368" s="3" t="e">
        <f>IF(AND(#REF!="N",OR(AW368=$AX$1,AW368=$AX$2,AW368=$AX$3,AW368=$AX$4,AW368=$AY$1,AW368=$AY$2,AW368=$AY$3,AW368=$AY$4)),0,1)</f>
        <v>#REF!</v>
      </c>
    </row>
    <row r="369" spans="2:50" x14ac:dyDescent="0.2">
      <c r="B369" s="4">
        <v>730</v>
      </c>
      <c r="C369" s="208">
        <v>4.4194173824159217E-8</v>
      </c>
      <c r="D369" s="208">
        <v>4.4194173824159217E-8</v>
      </c>
      <c r="E369" s="208">
        <v>4.4194173824159217E-8</v>
      </c>
      <c r="F369" s="209" t="s">
        <v>714</v>
      </c>
      <c r="G369" s="208">
        <v>4.7291627924686471E-16</v>
      </c>
      <c r="H369" s="210">
        <v>6.4641369776501836E-15</v>
      </c>
      <c r="I369" s="208">
        <v>2.8567719321344743E-24</v>
      </c>
      <c r="J369" s="208">
        <v>2.8567719321344743E-24</v>
      </c>
      <c r="K369" s="208">
        <v>2.8567719321344743E-24</v>
      </c>
      <c r="L369" s="208">
        <v>0</v>
      </c>
      <c r="M369" s="208">
        <v>0</v>
      </c>
      <c r="N369" s="208">
        <v>0</v>
      </c>
      <c r="O369" s="3">
        <v>360</v>
      </c>
      <c r="P369" s="3">
        <v>360</v>
      </c>
      <c r="Q369" s="3">
        <v>360</v>
      </c>
      <c r="S369" s="4">
        <v>0</v>
      </c>
      <c r="T369" s="4">
        <v>182.5</v>
      </c>
      <c r="U369" s="210"/>
      <c r="V369" s="210">
        <v>6.4641369776501844E-15</v>
      </c>
      <c r="W369" s="3">
        <v>0</v>
      </c>
      <c r="X369" s="3">
        <v>0</v>
      </c>
      <c r="Y369" s="3">
        <f t="shared" si="105"/>
        <v>1</v>
      </c>
      <c r="Z369" s="3">
        <f t="shared" si="106"/>
        <v>1</v>
      </c>
      <c r="AA369" s="3" t="str">
        <f t="shared" si="91"/>
        <v/>
      </c>
      <c r="AB369" s="3" t="str">
        <f t="shared" si="92"/>
        <v/>
      </c>
      <c r="AC369" s="3" t="str">
        <f t="shared" si="93"/>
        <v/>
      </c>
      <c r="AD369" s="3" t="str">
        <f t="shared" si="94"/>
        <v>0</v>
      </c>
      <c r="AE369" s="3">
        <f t="shared" si="95"/>
        <v>0</v>
      </c>
      <c r="AF369" s="3">
        <f t="shared" si="96"/>
        <v>0</v>
      </c>
      <c r="AM369" s="3" t="str">
        <f t="shared" si="97"/>
        <v/>
      </c>
      <c r="AN369" s="3" t="str">
        <f t="shared" si="98"/>
        <v/>
      </c>
      <c r="AO369" s="3" t="str">
        <f t="shared" si="99"/>
        <v/>
      </c>
      <c r="AP369" s="3">
        <f t="shared" si="100"/>
        <v>0</v>
      </c>
      <c r="AQ369" s="3">
        <f t="shared" si="101"/>
        <v>0</v>
      </c>
      <c r="AR369" s="3">
        <f t="shared" si="107"/>
        <v>0</v>
      </c>
      <c r="AS369" s="3" t="e">
        <f t="shared" si="108"/>
        <v>#REF!</v>
      </c>
      <c r="AT369" s="3" t="str">
        <f t="shared" si="102"/>
        <v/>
      </c>
      <c r="AU369" s="3">
        <f t="shared" si="103"/>
        <v>0</v>
      </c>
      <c r="AV369" s="3">
        <f t="shared" si="104"/>
        <v>0</v>
      </c>
      <c r="AW369" s="3">
        <v>730</v>
      </c>
      <c r="AX369" s="3" t="e">
        <f>IF(AND(#REF!="N",OR(AW369=$AX$1,AW369=$AX$2,AW369=$AX$3,AW369=$AX$4,AW369=$AY$1,AW369=$AY$2,AW369=$AY$3,AW369=$AY$4)),0,1)</f>
        <v>#REF!</v>
      </c>
    </row>
    <row r="370" spans="2:50" x14ac:dyDescent="0.2">
      <c r="B370" s="4">
        <v>732</v>
      </c>
      <c r="C370" s="208">
        <v>0.27059805007309701</v>
      </c>
      <c r="D370" s="208">
        <v>0.27059805007307619</v>
      </c>
      <c r="E370" s="208">
        <v>0.27059805007311327</v>
      </c>
      <c r="F370" s="209" t="s">
        <v>714</v>
      </c>
      <c r="G370" s="208">
        <v>6.6757102216064262E-16</v>
      </c>
      <c r="H370" s="210">
        <v>9.1248085949347229E-15</v>
      </c>
      <c r="I370" s="208">
        <v>2.469155413079572E-17</v>
      </c>
      <c r="J370" s="208">
        <v>2.4691554130793822E-17</v>
      </c>
      <c r="K370" s="208">
        <v>2.4691554130797205E-17</v>
      </c>
      <c r="L370" s="208">
        <v>2.9428354750879791E-30</v>
      </c>
      <c r="M370" s="208">
        <v>2.6259810076708901E-30</v>
      </c>
      <c r="N370" s="208">
        <v>3.4631811569773973E-30</v>
      </c>
      <c r="O370" s="3">
        <v>0</v>
      </c>
      <c r="P370" s="3">
        <v>360</v>
      </c>
      <c r="Q370" s="3">
        <v>360</v>
      </c>
      <c r="S370" s="4">
        <v>0</v>
      </c>
      <c r="T370" s="4">
        <v>183</v>
      </c>
      <c r="U370" s="210"/>
      <c r="V370" s="210">
        <v>9.1248085949347229E-15</v>
      </c>
      <c r="W370" s="3">
        <v>0</v>
      </c>
      <c r="X370" s="3">
        <v>0</v>
      </c>
      <c r="Y370" s="3">
        <f t="shared" si="105"/>
        <v>1</v>
      </c>
      <c r="Z370" s="3">
        <f t="shared" si="106"/>
        <v>1</v>
      </c>
      <c r="AA370" s="3" t="str">
        <f t="shared" si="91"/>
        <v/>
      </c>
      <c r="AB370" s="3" t="str">
        <f t="shared" si="92"/>
        <v/>
      </c>
      <c r="AC370" s="3" t="str">
        <f t="shared" si="93"/>
        <v/>
      </c>
      <c r="AD370" s="3" t="str">
        <f t="shared" si="94"/>
        <v>0</v>
      </c>
      <c r="AE370" s="3">
        <f t="shared" si="95"/>
        <v>0</v>
      </c>
      <c r="AF370" s="3">
        <f t="shared" si="96"/>
        <v>0</v>
      </c>
      <c r="AM370" s="3" t="str">
        <f t="shared" si="97"/>
        <v/>
      </c>
      <c r="AN370" s="3" t="str">
        <f t="shared" si="98"/>
        <v/>
      </c>
      <c r="AO370" s="3" t="str">
        <f t="shared" si="99"/>
        <v/>
      </c>
      <c r="AP370" s="3">
        <f t="shared" si="100"/>
        <v>0</v>
      </c>
      <c r="AQ370" s="3">
        <f t="shared" si="101"/>
        <v>0</v>
      </c>
      <c r="AR370" s="3">
        <f t="shared" si="107"/>
        <v>0</v>
      </c>
      <c r="AS370" s="3" t="e">
        <f t="shared" si="108"/>
        <v>#REF!</v>
      </c>
      <c r="AT370" s="3" t="str">
        <f t="shared" si="102"/>
        <v/>
      </c>
      <c r="AU370" s="3">
        <f t="shared" si="103"/>
        <v>0</v>
      </c>
      <c r="AV370" s="3">
        <f t="shared" si="104"/>
        <v>0</v>
      </c>
      <c r="AW370" s="3">
        <v>732</v>
      </c>
      <c r="AX370" s="3" t="e">
        <f>IF(AND(#REF!="N",OR(AW370=$AX$1,AW370=$AX$2,AW370=$AX$3,AW370=$AX$4,AW370=$AY$1,AW370=$AY$2,AW370=$AY$3,AW370=$AY$4)),0,1)</f>
        <v>#REF!</v>
      </c>
    </row>
    <row r="371" spans="2:50" x14ac:dyDescent="0.2">
      <c r="B371" s="4">
        <v>734</v>
      </c>
      <c r="C371" s="208">
        <v>4.4194173824159217E-8</v>
      </c>
      <c r="D371" s="208">
        <v>4.4194173824159217E-8</v>
      </c>
      <c r="E371" s="208">
        <v>4.4194173824159217E-8</v>
      </c>
      <c r="F371" s="209" t="s">
        <v>714</v>
      </c>
      <c r="G371" s="208">
        <v>3.0271115802301831E-16</v>
      </c>
      <c r="H371" s="210">
        <v>4.1376591925321713E-15</v>
      </c>
      <c r="I371" s="208">
        <v>1.8286042957989703E-24</v>
      </c>
      <c r="J371" s="208">
        <v>1.8286042957989703E-24</v>
      </c>
      <c r="K371" s="208">
        <v>1.8286042957989703E-24</v>
      </c>
      <c r="L371" s="208">
        <v>0</v>
      </c>
      <c r="M371" s="208">
        <v>0</v>
      </c>
      <c r="N371" s="208">
        <v>0</v>
      </c>
      <c r="O371" s="3">
        <v>360</v>
      </c>
      <c r="P371" s="3">
        <v>360</v>
      </c>
      <c r="Q371" s="3">
        <v>360</v>
      </c>
      <c r="S371" s="4">
        <v>0</v>
      </c>
      <c r="T371" s="4">
        <v>183.5</v>
      </c>
      <c r="U371" s="210"/>
      <c r="V371" s="210">
        <v>4.1376591925321713E-15</v>
      </c>
      <c r="W371" s="3">
        <v>0</v>
      </c>
      <c r="X371" s="3">
        <v>0</v>
      </c>
      <c r="Y371" s="3">
        <f t="shared" si="105"/>
        <v>1</v>
      </c>
      <c r="Z371" s="3">
        <f t="shared" si="106"/>
        <v>1</v>
      </c>
      <c r="AA371" s="3" t="str">
        <f t="shared" si="91"/>
        <v/>
      </c>
      <c r="AB371" s="3" t="str">
        <f t="shared" si="92"/>
        <v/>
      </c>
      <c r="AC371" s="3" t="str">
        <f t="shared" si="93"/>
        <v/>
      </c>
      <c r="AD371" s="3" t="str">
        <f t="shared" si="94"/>
        <v>0</v>
      </c>
      <c r="AE371" s="3">
        <f t="shared" si="95"/>
        <v>0</v>
      </c>
      <c r="AF371" s="3">
        <f t="shared" si="96"/>
        <v>0</v>
      </c>
      <c r="AM371" s="3" t="str">
        <f t="shared" si="97"/>
        <v/>
      </c>
      <c r="AN371" s="3" t="str">
        <f t="shared" si="98"/>
        <v/>
      </c>
      <c r="AO371" s="3" t="str">
        <f t="shared" si="99"/>
        <v/>
      </c>
      <c r="AP371" s="3">
        <f t="shared" si="100"/>
        <v>0</v>
      </c>
      <c r="AQ371" s="3">
        <f t="shared" si="101"/>
        <v>0</v>
      </c>
      <c r="AR371" s="3">
        <f t="shared" si="107"/>
        <v>0</v>
      </c>
      <c r="AS371" s="3" t="e">
        <f t="shared" si="108"/>
        <v>#REF!</v>
      </c>
      <c r="AT371" s="3" t="str">
        <f t="shared" si="102"/>
        <v/>
      </c>
      <c r="AU371" s="3">
        <f t="shared" si="103"/>
        <v>0</v>
      </c>
      <c r="AV371" s="3">
        <f t="shared" si="104"/>
        <v>0</v>
      </c>
      <c r="AW371" s="3">
        <v>734</v>
      </c>
      <c r="AX371" s="3" t="e">
        <f>IF(AND(#REF!="N",OR(AW371=$AX$1,AW371=$AX$2,AW371=$AX$3,AW371=$AX$4,AW371=$AY$1,AW371=$AY$2,AW371=$AY$3,AW371=$AY$4)),0,1)</f>
        <v>#REF!</v>
      </c>
    </row>
    <row r="372" spans="2:50" x14ac:dyDescent="0.2">
      <c r="B372" s="4">
        <v>736</v>
      </c>
      <c r="C372" s="208">
        <v>4.4194173824159217E-8</v>
      </c>
      <c r="D372" s="208">
        <v>4.4194173824159217E-8</v>
      </c>
      <c r="E372" s="208">
        <v>4.4194173824159217E-8</v>
      </c>
      <c r="F372" s="209" t="s">
        <v>714</v>
      </c>
      <c r="G372" s="208">
        <v>5.0069234616348151E-16</v>
      </c>
      <c r="H372" s="210">
        <v>6.8437988948405285E-15</v>
      </c>
      <c r="I372" s="208">
        <v>3.0245603797617106E-24</v>
      </c>
      <c r="J372" s="208">
        <v>3.0245603797617106E-24</v>
      </c>
      <c r="K372" s="208">
        <v>3.0245603797617106E-24</v>
      </c>
      <c r="L372" s="208">
        <v>0</v>
      </c>
      <c r="M372" s="208">
        <v>0</v>
      </c>
      <c r="N372" s="208">
        <v>0</v>
      </c>
      <c r="O372" s="3">
        <v>360</v>
      </c>
      <c r="P372" s="3">
        <v>360</v>
      </c>
      <c r="Q372" s="3">
        <v>360</v>
      </c>
      <c r="S372" s="4">
        <v>0</v>
      </c>
      <c r="T372" s="4">
        <v>184</v>
      </c>
      <c r="U372" s="210"/>
      <c r="V372" s="210">
        <v>6.8437988948405285E-15</v>
      </c>
      <c r="W372" s="3">
        <v>0</v>
      </c>
      <c r="X372" s="3">
        <v>0</v>
      </c>
      <c r="Y372" s="3">
        <f t="shared" si="105"/>
        <v>1</v>
      </c>
      <c r="Z372" s="3">
        <f t="shared" si="106"/>
        <v>1</v>
      </c>
      <c r="AA372" s="3" t="str">
        <f t="shared" si="91"/>
        <v/>
      </c>
      <c r="AB372" s="3" t="str">
        <f t="shared" si="92"/>
        <v/>
      </c>
      <c r="AC372" s="3" t="str">
        <f t="shared" si="93"/>
        <v/>
      </c>
      <c r="AD372" s="3" t="str">
        <f t="shared" si="94"/>
        <v>0</v>
      </c>
      <c r="AE372" s="3">
        <f t="shared" si="95"/>
        <v>0</v>
      </c>
      <c r="AF372" s="3">
        <f t="shared" si="96"/>
        <v>0</v>
      </c>
      <c r="AM372" s="3" t="str">
        <f t="shared" si="97"/>
        <v/>
      </c>
      <c r="AN372" s="3" t="str">
        <f t="shared" si="98"/>
        <v/>
      </c>
      <c r="AO372" s="3" t="str">
        <f t="shared" si="99"/>
        <v/>
      </c>
      <c r="AP372" s="3">
        <f t="shared" si="100"/>
        <v>0</v>
      </c>
      <c r="AQ372" s="3">
        <f t="shared" si="101"/>
        <v>0</v>
      </c>
      <c r="AR372" s="3">
        <f t="shared" si="107"/>
        <v>0</v>
      </c>
      <c r="AS372" s="3" t="e">
        <f t="shared" si="108"/>
        <v>#REF!</v>
      </c>
      <c r="AT372" s="3" t="str">
        <f t="shared" si="102"/>
        <v/>
      </c>
      <c r="AU372" s="3">
        <f t="shared" si="103"/>
        <v>0</v>
      </c>
      <c r="AV372" s="3">
        <f t="shared" si="104"/>
        <v>0</v>
      </c>
      <c r="AW372" s="3">
        <v>736</v>
      </c>
      <c r="AX372" s="3" t="e">
        <f>IF(AND(#REF!="N",OR(AW372=$AX$1,AW372=$AX$2,AW372=$AX$3,AW372=$AX$4,AW372=$AY$1,AW372=$AY$2,AW372=$AY$3,AW372=$AY$4)),0,1)</f>
        <v>#REF!</v>
      </c>
    </row>
    <row r="373" spans="2:50" x14ac:dyDescent="0.2">
      <c r="B373" s="4">
        <v>738</v>
      </c>
      <c r="C373" s="208">
        <v>4.4194173824159217E-8</v>
      </c>
      <c r="D373" s="208">
        <v>4.4194173824159217E-8</v>
      </c>
      <c r="E373" s="208">
        <v>4.4194173824159217E-8</v>
      </c>
      <c r="F373" s="209" t="s">
        <v>714</v>
      </c>
      <c r="G373" s="208">
        <v>5.149792334933992E-16</v>
      </c>
      <c r="H373" s="210">
        <v>7.0390816557383285E-15</v>
      </c>
      <c r="I373" s="208">
        <v>3.1108639825615014E-24</v>
      </c>
      <c r="J373" s="208">
        <v>3.1108639825615014E-24</v>
      </c>
      <c r="K373" s="208">
        <v>3.1108639825615014E-24</v>
      </c>
      <c r="L373" s="208">
        <v>0</v>
      </c>
      <c r="M373" s="208">
        <v>0</v>
      </c>
      <c r="N373" s="208">
        <v>0</v>
      </c>
      <c r="O373" s="3">
        <v>360</v>
      </c>
      <c r="P373" s="3">
        <v>360</v>
      </c>
      <c r="Q373" s="3">
        <v>360</v>
      </c>
      <c r="S373" s="4">
        <v>0</v>
      </c>
      <c r="T373" s="4">
        <v>184.5</v>
      </c>
      <c r="U373" s="210"/>
      <c r="V373" s="210">
        <v>7.0390816557383285E-15</v>
      </c>
      <c r="W373" s="3">
        <v>0</v>
      </c>
      <c r="X373" s="3">
        <v>0</v>
      </c>
      <c r="Y373" s="3">
        <f t="shared" si="105"/>
        <v>1</v>
      </c>
      <c r="Z373" s="3">
        <f t="shared" si="106"/>
        <v>1</v>
      </c>
      <c r="AA373" s="3" t="str">
        <f t="shared" si="91"/>
        <v/>
      </c>
      <c r="AB373" s="3" t="str">
        <f t="shared" si="92"/>
        <v/>
      </c>
      <c r="AC373" s="3" t="str">
        <f t="shared" si="93"/>
        <v/>
      </c>
      <c r="AD373" s="3" t="str">
        <f t="shared" si="94"/>
        <v>0</v>
      </c>
      <c r="AE373" s="3">
        <f t="shared" si="95"/>
        <v>0</v>
      </c>
      <c r="AF373" s="3">
        <f t="shared" si="96"/>
        <v>0</v>
      </c>
      <c r="AM373" s="3" t="str">
        <f t="shared" si="97"/>
        <v/>
      </c>
      <c r="AN373" s="3" t="str">
        <f t="shared" si="98"/>
        <v/>
      </c>
      <c r="AO373" s="3" t="str">
        <f t="shared" si="99"/>
        <v/>
      </c>
      <c r="AP373" s="3">
        <f t="shared" si="100"/>
        <v>0</v>
      </c>
      <c r="AQ373" s="3">
        <f t="shared" si="101"/>
        <v>0</v>
      </c>
      <c r="AR373" s="3">
        <f t="shared" si="107"/>
        <v>0</v>
      </c>
      <c r="AS373" s="3" t="e">
        <f t="shared" si="108"/>
        <v>#REF!</v>
      </c>
      <c r="AT373" s="3" t="str">
        <f t="shared" si="102"/>
        <v/>
      </c>
      <c r="AU373" s="3">
        <f t="shared" si="103"/>
        <v>0</v>
      </c>
      <c r="AV373" s="3">
        <f t="shared" si="104"/>
        <v>0</v>
      </c>
      <c r="AW373" s="3">
        <v>738</v>
      </c>
      <c r="AX373" s="3" t="e">
        <f>IF(AND(#REF!="N",OR(AW373=$AX$1,AW373=$AX$2,AW373=$AX$3,AW373=$AX$4,AW373=$AY$1,AW373=$AY$2,AW373=$AY$3,AW373=$AY$4)),0,1)</f>
        <v>#REF!</v>
      </c>
    </row>
    <row r="374" spans="2:50" x14ac:dyDescent="0.2">
      <c r="B374" s="4">
        <v>740</v>
      </c>
      <c r="C374" s="208">
        <v>0.15755905175127302</v>
      </c>
      <c r="D374" s="208">
        <v>0.15755905175128274</v>
      </c>
      <c r="E374" s="208">
        <v>0.15755905175127843</v>
      </c>
      <c r="F374" s="209" t="s">
        <v>714</v>
      </c>
      <c r="G374" s="208">
        <v>6.5062837401305869E-3</v>
      </c>
      <c r="H374" s="210">
        <v>8.8932251134683477E-2</v>
      </c>
      <c r="I374" s="208">
        <v>1.4012081158886803E-4</v>
      </c>
      <c r="J374" s="208">
        <v>1.4012081158887668E-4</v>
      </c>
      <c r="K374" s="208">
        <v>1.4012081158887286E-4</v>
      </c>
      <c r="L374" s="208">
        <v>2.4269636486970228E-4</v>
      </c>
      <c r="M374" s="208">
        <v>2.4269636486971426E-4</v>
      </c>
      <c r="N374" s="208">
        <v>2.4269636486972293E-4</v>
      </c>
      <c r="O374" s="3">
        <v>120</v>
      </c>
      <c r="P374" s="3">
        <v>120</v>
      </c>
      <c r="Q374" s="3">
        <v>120</v>
      </c>
      <c r="R374" s="4" t="s">
        <v>172</v>
      </c>
      <c r="S374" s="4" t="s">
        <v>172</v>
      </c>
      <c r="T374" s="4">
        <v>185</v>
      </c>
      <c r="U374" s="210"/>
      <c r="V374" s="210">
        <v>8.8932251134683477E-2</v>
      </c>
      <c r="W374" s="3">
        <v>8.893225113468714E-2</v>
      </c>
      <c r="X374" s="3">
        <v>0</v>
      </c>
      <c r="Y374" s="3">
        <f t="shared" si="105"/>
        <v>1</v>
      </c>
      <c r="Z374" s="3">
        <f t="shared" si="106"/>
        <v>1</v>
      </c>
      <c r="AA374" s="3">
        <f t="shared" si="91"/>
        <v>8.1205095784403963E-2</v>
      </c>
      <c r="AB374" s="3">
        <f t="shared" si="92"/>
        <v>4.0602547892201982E-2</v>
      </c>
      <c r="AC374" s="3">
        <f t="shared" si="93"/>
        <v>1.1863417937823807E-5</v>
      </c>
      <c r="AD374" s="3" t="str">
        <f t="shared" si="94"/>
        <v>1.38635867074829E-09+0.0000118627245559525i</v>
      </c>
      <c r="AE374" s="3">
        <f t="shared" si="95"/>
        <v>1.3863586707482899E-9</v>
      </c>
      <c r="AF374" s="3">
        <f t="shared" si="96"/>
        <v>1.1862724555952501E-5</v>
      </c>
      <c r="AM374" s="3" t="str">
        <f t="shared" si="97"/>
        <v>-4.81684994985699E-07+9.63369989971398E-07i</v>
      </c>
      <c r="AN374" s="3" t="str">
        <f t="shared" si="98"/>
        <v>0.081205095784404+0.0406144113101398i</v>
      </c>
      <c r="AO374" s="3" t="str">
        <f t="shared" si="99"/>
        <v>1.38635867074829E-09+0.0000118627245559525i</v>
      </c>
      <c r="AP374" s="3">
        <f t="shared" si="100"/>
        <v>1.3863586707482899E-9</v>
      </c>
      <c r="AQ374" s="3">
        <f t="shared" si="101"/>
        <v>1.1862724555952501E-5</v>
      </c>
      <c r="AR374" s="3">
        <f t="shared" si="107"/>
        <v>-0.84907909556480898</v>
      </c>
      <c r="AS374" s="3" t="e">
        <f t="shared" si="108"/>
        <v>#REF!</v>
      </c>
      <c r="AT374" s="3" t="e">
        <f t="shared" si="102"/>
        <v>#REF!</v>
      </c>
      <c r="AU374" s="3" t="e">
        <f t="shared" si="103"/>
        <v>#REF!</v>
      </c>
      <c r="AV374" s="3" t="e">
        <f t="shared" si="104"/>
        <v>#REF!</v>
      </c>
      <c r="AW374" s="3">
        <v>740</v>
      </c>
      <c r="AX374" s="3" t="e">
        <f>IF(AND(#REF!="N",OR(AW374=$AX$1,AW374=$AX$2,AW374=$AX$3,AW374=$AX$4,AW374=$AY$1,AW374=$AY$2,AW374=$AY$3,AW374=$AY$4)),0,1)</f>
        <v>#REF!</v>
      </c>
    </row>
    <row r="375" spans="2:50" x14ac:dyDescent="0.2">
      <c r="B375" s="4">
        <v>742</v>
      </c>
      <c r="C375" s="208">
        <v>4.4194173824159217E-8</v>
      </c>
      <c r="D375" s="208">
        <v>4.4194173824159217E-8</v>
      </c>
      <c r="E375" s="208">
        <v>4.4194173824159217E-8</v>
      </c>
      <c r="F375" s="209" t="s">
        <v>714</v>
      </c>
      <c r="G375" s="208">
        <v>4.4451164442689797E-16</v>
      </c>
      <c r="H375" s="210">
        <v>6.0758833726594574E-15</v>
      </c>
      <c r="I375" s="208">
        <v>2.6851864590663082E-24</v>
      </c>
      <c r="J375" s="208">
        <v>2.6851864590663082E-24</v>
      </c>
      <c r="K375" s="208">
        <v>2.6851864590663082E-24</v>
      </c>
      <c r="L375" s="208">
        <v>0</v>
      </c>
      <c r="M375" s="208">
        <v>0</v>
      </c>
      <c r="N375" s="208">
        <v>0</v>
      </c>
      <c r="O375" s="3">
        <v>360</v>
      </c>
      <c r="P375" s="3">
        <v>360</v>
      </c>
      <c r="Q375" s="3">
        <v>360</v>
      </c>
      <c r="S375" s="4">
        <v>0</v>
      </c>
      <c r="T375" s="4">
        <v>185.5</v>
      </c>
      <c r="U375" s="210"/>
      <c r="V375" s="210">
        <v>6.0758833726594566E-15</v>
      </c>
      <c r="W375" s="3">
        <v>0</v>
      </c>
      <c r="X375" s="3">
        <v>0</v>
      </c>
      <c r="Y375" s="3">
        <f t="shared" si="105"/>
        <v>1</v>
      </c>
      <c r="Z375" s="3">
        <f t="shared" si="106"/>
        <v>1</v>
      </c>
      <c r="AA375" s="3" t="str">
        <f t="shared" si="91"/>
        <v/>
      </c>
      <c r="AB375" s="3" t="str">
        <f t="shared" si="92"/>
        <v/>
      </c>
      <c r="AC375" s="3" t="str">
        <f t="shared" si="93"/>
        <v/>
      </c>
      <c r="AD375" s="3" t="str">
        <f t="shared" si="94"/>
        <v>0</v>
      </c>
      <c r="AE375" s="3">
        <f t="shared" si="95"/>
        <v>0</v>
      </c>
      <c r="AF375" s="3">
        <f t="shared" si="96"/>
        <v>0</v>
      </c>
      <c r="AM375" s="3" t="str">
        <f t="shared" si="97"/>
        <v/>
      </c>
      <c r="AN375" s="3" t="str">
        <f t="shared" si="98"/>
        <v/>
      </c>
      <c r="AO375" s="3" t="str">
        <f t="shared" si="99"/>
        <v/>
      </c>
      <c r="AP375" s="3">
        <f t="shared" si="100"/>
        <v>0</v>
      </c>
      <c r="AQ375" s="3">
        <f t="shared" si="101"/>
        <v>0</v>
      </c>
      <c r="AR375" s="3">
        <f t="shared" si="107"/>
        <v>0</v>
      </c>
      <c r="AS375" s="3" t="e">
        <f t="shared" si="108"/>
        <v>#REF!</v>
      </c>
      <c r="AT375" s="3" t="str">
        <f t="shared" si="102"/>
        <v/>
      </c>
      <c r="AU375" s="3">
        <f t="shared" si="103"/>
        <v>0</v>
      </c>
      <c r="AV375" s="3">
        <f t="shared" si="104"/>
        <v>0</v>
      </c>
      <c r="AW375" s="3">
        <v>742</v>
      </c>
      <c r="AX375" s="3" t="e">
        <f>IF(AND(#REF!="N",OR(AW375=$AX$1,AW375=$AX$2,AW375=$AX$3,AW375=$AX$4,AW375=$AY$1,AW375=$AY$2,AW375=$AY$3,AW375=$AY$4)),0,1)</f>
        <v>#REF!</v>
      </c>
    </row>
    <row r="376" spans="2:50" x14ac:dyDescent="0.2">
      <c r="B376" s="4">
        <v>744</v>
      </c>
      <c r="C376" s="208">
        <v>4.4194173824159217E-8</v>
      </c>
      <c r="D376" s="208">
        <v>4.4194173824159217E-8</v>
      </c>
      <c r="E376" s="208">
        <v>4.4194173824159217E-8</v>
      </c>
      <c r="F376" s="209" t="s">
        <v>714</v>
      </c>
      <c r="G376" s="208">
        <v>5.0572432434187388E-17</v>
      </c>
      <c r="H376" s="210">
        <v>6.9125793484664346E-16</v>
      </c>
      <c r="I376" s="208">
        <v>3.0549573329941888E-25</v>
      </c>
      <c r="J376" s="208">
        <v>3.0549573329941888E-25</v>
      </c>
      <c r="K376" s="208">
        <v>3.0549573329941888E-25</v>
      </c>
      <c r="L376" s="208">
        <v>0</v>
      </c>
      <c r="M376" s="208">
        <v>0</v>
      </c>
      <c r="N376" s="208">
        <v>0</v>
      </c>
      <c r="O376" s="3">
        <v>360</v>
      </c>
      <c r="P376" s="3">
        <v>360</v>
      </c>
      <c r="Q376" s="3">
        <v>360</v>
      </c>
      <c r="S376" s="4">
        <v>0</v>
      </c>
      <c r="T376" s="4">
        <v>186</v>
      </c>
      <c r="U376" s="210"/>
      <c r="V376" s="210">
        <v>6.9125793484664346E-16</v>
      </c>
      <c r="W376" s="3">
        <v>0</v>
      </c>
      <c r="X376" s="3">
        <v>0</v>
      </c>
      <c r="Y376" s="3">
        <f t="shared" si="105"/>
        <v>1</v>
      </c>
      <c r="Z376" s="3">
        <f t="shared" si="106"/>
        <v>1</v>
      </c>
      <c r="AA376" s="3" t="str">
        <f t="shared" si="91"/>
        <v/>
      </c>
      <c r="AB376" s="3" t="str">
        <f t="shared" si="92"/>
        <v/>
      </c>
      <c r="AC376" s="3" t="str">
        <f t="shared" si="93"/>
        <v/>
      </c>
      <c r="AD376" s="3" t="str">
        <f t="shared" si="94"/>
        <v>0</v>
      </c>
      <c r="AE376" s="3">
        <f t="shared" si="95"/>
        <v>0</v>
      </c>
      <c r="AF376" s="3">
        <f t="shared" si="96"/>
        <v>0</v>
      </c>
      <c r="AM376" s="3" t="str">
        <f t="shared" si="97"/>
        <v/>
      </c>
      <c r="AN376" s="3" t="str">
        <f t="shared" si="98"/>
        <v/>
      </c>
      <c r="AO376" s="3" t="str">
        <f t="shared" si="99"/>
        <v/>
      </c>
      <c r="AP376" s="3">
        <f t="shared" si="100"/>
        <v>0</v>
      </c>
      <c r="AQ376" s="3">
        <f t="shared" si="101"/>
        <v>0</v>
      </c>
      <c r="AR376" s="3">
        <f t="shared" si="107"/>
        <v>0</v>
      </c>
      <c r="AS376" s="3" t="e">
        <f t="shared" si="108"/>
        <v>#REF!</v>
      </c>
      <c r="AT376" s="3" t="str">
        <f t="shared" si="102"/>
        <v/>
      </c>
      <c r="AU376" s="3">
        <f t="shared" si="103"/>
        <v>0</v>
      </c>
      <c r="AV376" s="3">
        <f t="shared" si="104"/>
        <v>0</v>
      </c>
      <c r="AW376" s="3">
        <v>744</v>
      </c>
      <c r="AX376" s="3" t="e">
        <f>IF(AND(#REF!="N",OR(AW376=$AX$1,AW376=$AX$2,AW376=$AX$3,AW376=$AX$4,AW376=$AY$1,AW376=$AY$2,AW376=$AY$3,AW376=$AY$4)),0,1)</f>
        <v>#REF!</v>
      </c>
    </row>
    <row r="377" spans="2:50" x14ac:dyDescent="0.2">
      <c r="B377" s="4">
        <v>746</v>
      </c>
      <c r="C377" s="208">
        <v>4.4194173824159217E-8</v>
      </c>
      <c r="D377" s="208">
        <v>4.4194173824159217E-8</v>
      </c>
      <c r="E377" s="208">
        <v>4.4194173824159217E-8</v>
      </c>
      <c r="F377" s="209" t="s">
        <v>714</v>
      </c>
      <c r="G377" s="208">
        <v>6.0480425456804897E-16</v>
      </c>
      <c r="H377" s="210">
        <v>8.2668703061344231E-15</v>
      </c>
      <c r="I377" s="208">
        <v>3.6534750329108505E-24</v>
      </c>
      <c r="J377" s="208">
        <v>3.6534750329108505E-24</v>
      </c>
      <c r="K377" s="208">
        <v>3.6534750329108505E-24</v>
      </c>
      <c r="L377" s="208">
        <v>0</v>
      </c>
      <c r="M377" s="208">
        <v>0</v>
      </c>
      <c r="N377" s="208">
        <v>0</v>
      </c>
      <c r="O377" s="3">
        <v>360</v>
      </c>
      <c r="P377" s="3">
        <v>360</v>
      </c>
      <c r="Q377" s="3">
        <v>360</v>
      </c>
      <c r="S377" s="4">
        <v>0</v>
      </c>
      <c r="T377" s="4">
        <v>186.5</v>
      </c>
      <c r="U377" s="210"/>
      <c r="V377" s="210">
        <v>8.2668703061344231E-15</v>
      </c>
      <c r="W377" s="3">
        <v>0</v>
      </c>
      <c r="X377" s="3">
        <v>0</v>
      </c>
      <c r="Y377" s="3">
        <f t="shared" si="105"/>
        <v>1</v>
      </c>
      <c r="Z377" s="3">
        <f t="shared" si="106"/>
        <v>1</v>
      </c>
      <c r="AA377" s="3" t="str">
        <f t="shared" si="91"/>
        <v/>
      </c>
      <c r="AB377" s="3" t="str">
        <f t="shared" si="92"/>
        <v/>
      </c>
      <c r="AC377" s="3" t="str">
        <f t="shared" si="93"/>
        <v/>
      </c>
      <c r="AD377" s="3" t="str">
        <f t="shared" si="94"/>
        <v>0</v>
      </c>
      <c r="AE377" s="3">
        <f t="shared" si="95"/>
        <v>0</v>
      </c>
      <c r="AF377" s="3">
        <f t="shared" si="96"/>
        <v>0</v>
      </c>
      <c r="AM377" s="3" t="str">
        <f t="shared" si="97"/>
        <v/>
      </c>
      <c r="AN377" s="3" t="str">
        <f t="shared" si="98"/>
        <v/>
      </c>
      <c r="AO377" s="3" t="str">
        <f t="shared" si="99"/>
        <v/>
      </c>
      <c r="AP377" s="3">
        <f t="shared" si="100"/>
        <v>0</v>
      </c>
      <c r="AQ377" s="3">
        <f t="shared" si="101"/>
        <v>0</v>
      </c>
      <c r="AR377" s="3">
        <f t="shared" si="107"/>
        <v>0</v>
      </c>
      <c r="AS377" s="3" t="e">
        <f t="shared" si="108"/>
        <v>#REF!</v>
      </c>
      <c r="AT377" s="3" t="str">
        <f t="shared" si="102"/>
        <v/>
      </c>
      <c r="AU377" s="3">
        <f t="shared" si="103"/>
        <v>0</v>
      </c>
      <c r="AV377" s="3">
        <f t="shared" si="104"/>
        <v>0</v>
      </c>
      <c r="AW377" s="3">
        <v>746</v>
      </c>
      <c r="AX377" s="3" t="e">
        <f>IF(AND(#REF!="N",OR(AW377=$AX$1,AW377=$AX$2,AW377=$AX$3,AW377=$AX$4,AW377=$AY$1,AW377=$AY$2,AW377=$AY$3,AW377=$AY$4)),0,1)</f>
        <v>#REF!</v>
      </c>
    </row>
    <row r="378" spans="2:50" x14ac:dyDescent="0.2">
      <c r="B378" s="4">
        <v>748</v>
      </c>
      <c r="C378" s="208">
        <v>0.20533495396307108</v>
      </c>
      <c r="D378" s="208">
        <v>0.20533495396304483</v>
      </c>
      <c r="E378" s="208">
        <v>0.20533495396307455</v>
      </c>
      <c r="F378" s="209" t="s">
        <v>714</v>
      </c>
      <c r="G378" s="208">
        <v>8.3884679134378793E-3</v>
      </c>
      <c r="H378" s="210">
        <v>0.11465920714643146</v>
      </c>
      <c r="I378" s="208">
        <v>2.3543543020854735E-4</v>
      </c>
      <c r="J378" s="208">
        <v>2.3543543020851723E-4</v>
      </c>
      <c r="K378" s="208">
        <v>2.3543543020855133E-4</v>
      </c>
      <c r="L378" s="208">
        <v>4.0778612702302783E-4</v>
      </c>
      <c r="M378" s="208">
        <v>4.0778612702302398E-4</v>
      </c>
      <c r="N378" s="208">
        <v>4.077861270230243E-4</v>
      </c>
      <c r="O378" s="3">
        <v>240</v>
      </c>
      <c r="P378" s="3">
        <v>240</v>
      </c>
      <c r="Q378" s="3">
        <v>240</v>
      </c>
      <c r="R378" s="4" t="s">
        <v>168</v>
      </c>
      <c r="S378" s="4" t="s">
        <v>168</v>
      </c>
      <c r="T378" s="4">
        <v>187</v>
      </c>
      <c r="U378" s="210"/>
      <c r="V378" s="210">
        <v>0.11465920714643145</v>
      </c>
      <c r="W378" s="3">
        <v>0</v>
      </c>
      <c r="X378" s="3">
        <v>0.11465920714643113</v>
      </c>
      <c r="Y378" s="3">
        <f t="shared" si="105"/>
        <v>1</v>
      </c>
      <c r="Z378" s="3">
        <f t="shared" si="106"/>
        <v>1</v>
      </c>
      <c r="AA378" s="3">
        <f t="shared" si="91"/>
        <v>0.13791844010203022</v>
      </c>
      <c r="AB378" s="3">
        <f t="shared" si="92"/>
        <v>6.895922005101511E-2</v>
      </c>
      <c r="AC378" s="3">
        <f t="shared" si="93"/>
        <v>1.9720100675173755E-5</v>
      </c>
      <c r="AD378" s="3" t="str">
        <f t="shared" si="94"/>
        <v>2.25546568527753E-09+0.0000197189726198361i</v>
      </c>
      <c r="AE378" s="3">
        <f t="shared" si="95"/>
        <v>2.2554656852775298E-9</v>
      </c>
      <c r="AF378" s="3">
        <f t="shared" si="96"/>
        <v>1.9718972619836101E-5</v>
      </c>
      <c r="AM378" s="3" t="str">
        <f t="shared" si="97"/>
        <v>-1.35988276188748E-06+2.71976552377496E-06i</v>
      </c>
      <c r="AN378" s="3" t="str">
        <f t="shared" si="98"/>
        <v>0.13791844010203+0.0689789401516903i</v>
      </c>
      <c r="AO378" s="3" t="str">
        <f t="shared" si="99"/>
        <v>2.25546568527753E-09+0.0000197189726198361i</v>
      </c>
      <c r="AP378" s="3">
        <f t="shared" si="100"/>
        <v>2.2554656852775298E-9</v>
      </c>
      <c r="AQ378" s="3">
        <f t="shared" si="101"/>
        <v>1.9718972619836101E-5</v>
      </c>
      <c r="AR378" s="3">
        <f t="shared" si="107"/>
        <v>0.83999803571919607</v>
      </c>
      <c r="AS378" s="3" t="e">
        <f t="shared" si="108"/>
        <v>#REF!</v>
      </c>
      <c r="AT378" s="3" t="e">
        <f t="shared" si="102"/>
        <v>#REF!</v>
      </c>
      <c r="AU378" s="3" t="e">
        <f t="shared" si="103"/>
        <v>#REF!</v>
      </c>
      <c r="AV378" s="3" t="e">
        <f t="shared" si="104"/>
        <v>#REF!</v>
      </c>
      <c r="AW378" s="3">
        <v>748</v>
      </c>
      <c r="AX378" s="3" t="e">
        <f>IF(AND(#REF!="N",OR(AW378=$AX$1,AW378=$AX$2,AW378=$AX$3,AW378=$AX$4,AW378=$AY$1,AW378=$AY$2,AW378=$AY$3,AW378=$AY$4)),0,1)</f>
        <v>#REF!</v>
      </c>
    </row>
    <row r="379" spans="2:50" x14ac:dyDescent="0.2">
      <c r="B379" s="4">
        <v>750</v>
      </c>
      <c r="C379" s="208">
        <v>4.4194173824159217E-8</v>
      </c>
      <c r="D379" s="208">
        <v>4.4194173824159217E-8</v>
      </c>
      <c r="E379" s="208">
        <v>4.4194173824159217E-8</v>
      </c>
      <c r="F379" s="209" t="s">
        <v>714</v>
      </c>
      <c r="G379" s="208">
        <v>1.0313268579890599E-15</v>
      </c>
      <c r="H379" s="210">
        <v>1.4096867397729914E-14</v>
      </c>
      <c r="I379" s="208">
        <v>6.2299940815139884E-24</v>
      </c>
      <c r="J379" s="208">
        <v>6.2299940815139884E-24</v>
      </c>
      <c r="K379" s="208">
        <v>6.2299940815139884E-24</v>
      </c>
      <c r="L379" s="208">
        <v>0</v>
      </c>
      <c r="M379" s="208">
        <v>0</v>
      </c>
      <c r="N379" s="208">
        <v>0</v>
      </c>
      <c r="O379" s="3">
        <v>360</v>
      </c>
      <c r="P379" s="3">
        <v>360</v>
      </c>
      <c r="Q379" s="3">
        <v>360</v>
      </c>
      <c r="S379" s="4">
        <v>0</v>
      </c>
      <c r="T379" s="4">
        <v>187.5</v>
      </c>
      <c r="U379" s="210"/>
      <c r="V379" s="210">
        <v>1.4096867397729914E-14</v>
      </c>
      <c r="W379" s="3">
        <v>0</v>
      </c>
      <c r="X379" s="3">
        <v>0</v>
      </c>
      <c r="Y379" s="3">
        <f t="shared" si="105"/>
        <v>1</v>
      </c>
      <c r="Z379" s="3">
        <f t="shared" si="106"/>
        <v>1</v>
      </c>
      <c r="AA379" s="3" t="str">
        <f t="shared" si="91"/>
        <v/>
      </c>
      <c r="AB379" s="3" t="str">
        <f t="shared" si="92"/>
        <v/>
      </c>
      <c r="AC379" s="3" t="str">
        <f t="shared" si="93"/>
        <v/>
      </c>
      <c r="AD379" s="3" t="str">
        <f t="shared" si="94"/>
        <v>0</v>
      </c>
      <c r="AE379" s="3">
        <f t="shared" si="95"/>
        <v>0</v>
      </c>
      <c r="AF379" s="3">
        <f t="shared" si="96"/>
        <v>0</v>
      </c>
      <c r="AM379" s="3" t="str">
        <f t="shared" si="97"/>
        <v/>
      </c>
      <c r="AN379" s="3" t="str">
        <f t="shared" si="98"/>
        <v/>
      </c>
      <c r="AO379" s="3" t="str">
        <f t="shared" si="99"/>
        <v/>
      </c>
      <c r="AP379" s="3">
        <f t="shared" si="100"/>
        <v>0</v>
      </c>
      <c r="AQ379" s="3">
        <f t="shared" si="101"/>
        <v>0</v>
      </c>
      <c r="AR379" s="3">
        <f t="shared" si="107"/>
        <v>0</v>
      </c>
      <c r="AS379" s="3" t="e">
        <f t="shared" si="108"/>
        <v>#REF!</v>
      </c>
      <c r="AT379" s="3" t="str">
        <f t="shared" si="102"/>
        <v/>
      </c>
      <c r="AU379" s="3">
        <f t="shared" si="103"/>
        <v>0</v>
      </c>
      <c r="AV379" s="3">
        <f t="shared" si="104"/>
        <v>0</v>
      </c>
      <c r="AW379" s="3">
        <v>750</v>
      </c>
      <c r="AX379" s="3" t="e">
        <f>IF(AND(#REF!="N",OR(AW379=$AX$1,AW379=$AX$2,AW379=$AX$3,AW379=$AX$4,AW379=$AY$1,AW379=$AY$2,AW379=$AY$3,AW379=$AY$4)),0,1)</f>
        <v>#REF!</v>
      </c>
    </row>
    <row r="380" spans="2:50" x14ac:dyDescent="0.2">
      <c r="B380" s="4">
        <v>752</v>
      </c>
      <c r="C380" s="208">
        <v>4.4194173824159217E-8</v>
      </c>
      <c r="D380" s="208">
        <v>4.4194173824159217E-8</v>
      </c>
      <c r="E380" s="208">
        <v>4.4194173824159217E-8</v>
      </c>
      <c r="F380" s="209" t="s">
        <v>714</v>
      </c>
      <c r="G380" s="208">
        <v>4.6829151164740583E-16</v>
      </c>
      <c r="H380" s="210">
        <v>6.4009225514090123E-15</v>
      </c>
      <c r="I380" s="208">
        <v>2.8288348387195061E-24</v>
      </c>
      <c r="J380" s="208">
        <v>2.8288348387195061E-24</v>
      </c>
      <c r="K380" s="208">
        <v>2.8288348387195061E-24</v>
      </c>
      <c r="L380" s="208">
        <v>0</v>
      </c>
      <c r="M380" s="208">
        <v>0</v>
      </c>
      <c r="N380" s="208">
        <v>0</v>
      </c>
      <c r="O380" s="3">
        <v>360</v>
      </c>
      <c r="P380" s="3">
        <v>360</v>
      </c>
      <c r="Q380" s="3">
        <v>360</v>
      </c>
      <c r="S380" s="4">
        <v>0</v>
      </c>
      <c r="T380" s="4">
        <v>188</v>
      </c>
      <c r="U380" s="210"/>
      <c r="V380" s="210">
        <v>6.4009225514090123E-15</v>
      </c>
      <c r="W380" s="3">
        <v>0</v>
      </c>
      <c r="X380" s="3">
        <v>0</v>
      </c>
      <c r="Y380" s="3">
        <f t="shared" si="105"/>
        <v>1</v>
      </c>
      <c r="Z380" s="3">
        <f t="shared" si="106"/>
        <v>1</v>
      </c>
      <c r="AA380" s="3" t="str">
        <f t="shared" si="91"/>
        <v/>
      </c>
      <c r="AB380" s="3" t="str">
        <f t="shared" si="92"/>
        <v/>
      </c>
      <c r="AC380" s="3" t="str">
        <f t="shared" si="93"/>
        <v/>
      </c>
      <c r="AD380" s="3" t="str">
        <f t="shared" si="94"/>
        <v>0</v>
      </c>
      <c r="AE380" s="3">
        <f t="shared" si="95"/>
        <v>0</v>
      </c>
      <c r="AF380" s="3">
        <f t="shared" si="96"/>
        <v>0</v>
      </c>
      <c r="AM380" s="3" t="str">
        <f t="shared" si="97"/>
        <v/>
      </c>
      <c r="AN380" s="3" t="str">
        <f t="shared" si="98"/>
        <v/>
      </c>
      <c r="AO380" s="3" t="str">
        <f t="shared" si="99"/>
        <v/>
      </c>
      <c r="AP380" s="3">
        <f t="shared" si="100"/>
        <v>0</v>
      </c>
      <c r="AQ380" s="3">
        <f t="shared" si="101"/>
        <v>0</v>
      </c>
      <c r="AR380" s="3">
        <f t="shared" si="107"/>
        <v>0</v>
      </c>
      <c r="AS380" s="3" t="e">
        <f t="shared" si="108"/>
        <v>#REF!</v>
      </c>
      <c r="AT380" s="3" t="str">
        <f t="shared" si="102"/>
        <v/>
      </c>
      <c r="AU380" s="3">
        <f t="shared" si="103"/>
        <v>0</v>
      </c>
      <c r="AV380" s="3">
        <f t="shared" si="104"/>
        <v>0</v>
      </c>
      <c r="AW380" s="3">
        <v>752</v>
      </c>
      <c r="AX380" s="3" t="e">
        <f>IF(AND(#REF!="N",OR(AW380=$AX$1,AW380=$AX$2,AW380=$AX$3,AW380=$AX$4,AW380=$AY$1,AW380=$AY$2,AW380=$AY$3,AW380=$AY$4)),0,1)</f>
        <v>#REF!</v>
      </c>
    </row>
    <row r="381" spans="2:50" x14ac:dyDescent="0.2">
      <c r="B381" s="4">
        <v>754</v>
      </c>
      <c r="C381" s="208">
        <v>4.4194173824159217E-8</v>
      </c>
      <c r="D381" s="208">
        <v>4.4194173824159217E-8</v>
      </c>
      <c r="E381" s="208">
        <v>4.4194173824159217E-8</v>
      </c>
      <c r="F381" s="209" t="s">
        <v>714</v>
      </c>
      <c r="G381" s="208">
        <v>3.3650319498385385E-16</v>
      </c>
      <c r="H381" s="210">
        <v>4.5995514243168884E-15</v>
      </c>
      <c r="I381" s="208">
        <v>2.0327337515941968E-24</v>
      </c>
      <c r="J381" s="208">
        <v>2.0327337515941968E-24</v>
      </c>
      <c r="K381" s="208">
        <v>2.0327337515941968E-24</v>
      </c>
      <c r="L381" s="208">
        <v>0</v>
      </c>
      <c r="M381" s="208">
        <v>0</v>
      </c>
      <c r="N381" s="208">
        <v>0</v>
      </c>
      <c r="O381" s="3">
        <v>360</v>
      </c>
      <c r="P381" s="3">
        <v>360</v>
      </c>
      <c r="Q381" s="3">
        <v>360</v>
      </c>
      <c r="S381" s="4">
        <v>0</v>
      </c>
      <c r="T381" s="4">
        <v>188.5</v>
      </c>
      <c r="U381" s="210"/>
      <c r="V381" s="210">
        <v>4.5995514243168884E-15</v>
      </c>
      <c r="W381" s="3">
        <v>0</v>
      </c>
      <c r="X381" s="3">
        <v>0</v>
      </c>
      <c r="Y381" s="3">
        <f t="shared" si="105"/>
        <v>1</v>
      </c>
      <c r="Z381" s="3">
        <f t="shared" si="106"/>
        <v>1</v>
      </c>
      <c r="AA381" s="3" t="str">
        <f t="shared" si="91"/>
        <v/>
      </c>
      <c r="AB381" s="3" t="str">
        <f t="shared" si="92"/>
        <v/>
      </c>
      <c r="AC381" s="3" t="str">
        <f t="shared" si="93"/>
        <v/>
      </c>
      <c r="AD381" s="3" t="str">
        <f t="shared" si="94"/>
        <v>0</v>
      </c>
      <c r="AE381" s="3">
        <f t="shared" si="95"/>
        <v>0</v>
      </c>
      <c r="AF381" s="3">
        <f t="shared" si="96"/>
        <v>0</v>
      </c>
      <c r="AM381" s="3" t="str">
        <f t="shared" si="97"/>
        <v/>
      </c>
      <c r="AN381" s="3" t="str">
        <f t="shared" si="98"/>
        <v/>
      </c>
      <c r="AO381" s="3" t="str">
        <f t="shared" si="99"/>
        <v/>
      </c>
      <c r="AP381" s="3">
        <f t="shared" si="100"/>
        <v>0</v>
      </c>
      <c r="AQ381" s="3">
        <f t="shared" si="101"/>
        <v>0</v>
      </c>
      <c r="AR381" s="3">
        <f t="shared" si="107"/>
        <v>0</v>
      </c>
      <c r="AS381" s="3" t="e">
        <f t="shared" si="108"/>
        <v>#REF!</v>
      </c>
      <c r="AT381" s="3" t="str">
        <f t="shared" si="102"/>
        <v/>
      </c>
      <c r="AU381" s="3">
        <f t="shared" si="103"/>
        <v>0</v>
      </c>
      <c r="AV381" s="3">
        <f t="shared" si="104"/>
        <v>0</v>
      </c>
      <c r="AW381" s="3">
        <v>754</v>
      </c>
      <c r="AX381" s="3" t="e">
        <f>IF(AND(#REF!="N",OR(AW381=$AX$1,AW381=$AX$2,AW381=$AX$3,AW381=$AX$4,AW381=$AY$1,AW381=$AY$2,AW381=$AY$3,AW381=$AY$4)),0,1)</f>
        <v>#REF!</v>
      </c>
    </row>
    <row r="382" spans="2:50" x14ac:dyDescent="0.2">
      <c r="B382" s="4">
        <v>756</v>
      </c>
      <c r="C382" s="208">
        <v>0.65328148243819439</v>
      </c>
      <c r="D382" s="208">
        <v>0.6532814824381733</v>
      </c>
      <c r="E382" s="208">
        <v>0.65328148243818573</v>
      </c>
      <c r="F382" s="209" t="s">
        <v>714</v>
      </c>
      <c r="G382" s="208">
        <v>4.4084330835993493E-16</v>
      </c>
      <c r="H382" s="210">
        <v>6.0257420942609489E-15</v>
      </c>
      <c r="I382" s="208">
        <v>3.9365057281290226E-17</v>
      </c>
      <c r="J382" s="208">
        <v>3.9365057281288957E-17</v>
      </c>
      <c r="K382" s="208">
        <v>3.9365057281289709E-17</v>
      </c>
      <c r="L382" s="208">
        <v>1.0156950635748545E-30</v>
      </c>
      <c r="M382" s="208">
        <v>1.28924460675875E-30</v>
      </c>
      <c r="N382" s="208">
        <v>1.3339426249210144E-30</v>
      </c>
      <c r="O382" s="3">
        <v>0</v>
      </c>
      <c r="P382" s="3">
        <v>0</v>
      </c>
      <c r="Q382" s="3">
        <v>360</v>
      </c>
      <c r="S382" s="4">
        <v>0</v>
      </c>
      <c r="T382" s="4">
        <v>189</v>
      </c>
      <c r="U382" s="210"/>
      <c r="V382" s="210">
        <v>6.0257420942609489E-15</v>
      </c>
      <c r="W382" s="3">
        <v>0</v>
      </c>
      <c r="X382" s="3">
        <v>0</v>
      </c>
      <c r="Y382" s="3">
        <f t="shared" si="105"/>
        <v>1</v>
      </c>
      <c r="Z382" s="3">
        <f t="shared" si="106"/>
        <v>1</v>
      </c>
      <c r="AA382" s="3" t="str">
        <f t="shared" si="91"/>
        <v/>
      </c>
      <c r="AB382" s="3" t="str">
        <f t="shared" si="92"/>
        <v/>
      </c>
      <c r="AC382" s="3" t="str">
        <f t="shared" si="93"/>
        <v/>
      </c>
      <c r="AD382" s="3" t="str">
        <f t="shared" si="94"/>
        <v>0</v>
      </c>
      <c r="AE382" s="3">
        <f t="shared" si="95"/>
        <v>0</v>
      </c>
      <c r="AF382" s="3">
        <f t="shared" si="96"/>
        <v>0</v>
      </c>
      <c r="AM382" s="3" t="str">
        <f t="shared" si="97"/>
        <v/>
      </c>
      <c r="AN382" s="3" t="str">
        <f t="shared" si="98"/>
        <v/>
      </c>
      <c r="AO382" s="3" t="str">
        <f t="shared" si="99"/>
        <v/>
      </c>
      <c r="AP382" s="3">
        <f t="shared" si="100"/>
        <v>0</v>
      </c>
      <c r="AQ382" s="3">
        <f t="shared" si="101"/>
        <v>0</v>
      </c>
      <c r="AR382" s="3">
        <f t="shared" si="107"/>
        <v>0</v>
      </c>
      <c r="AS382" s="3" t="e">
        <f t="shared" si="108"/>
        <v>#REF!</v>
      </c>
      <c r="AT382" s="3" t="str">
        <f t="shared" si="102"/>
        <v/>
      </c>
      <c r="AU382" s="3">
        <f t="shared" si="103"/>
        <v>0</v>
      </c>
      <c r="AV382" s="3">
        <f t="shared" si="104"/>
        <v>0</v>
      </c>
      <c r="AW382" s="3">
        <v>756</v>
      </c>
      <c r="AX382" s="3" t="e">
        <f>IF(AND(#REF!="N",OR(AW382=$AX$1,AW382=$AX$2,AW382=$AX$3,AW382=$AX$4,AW382=$AY$1,AW382=$AY$2,AW382=$AY$3,AW382=$AY$4)),0,1)</f>
        <v>#REF!</v>
      </c>
    </row>
    <row r="383" spans="2:50" x14ac:dyDescent="0.2">
      <c r="B383" s="4">
        <v>758</v>
      </c>
      <c r="C383" s="208">
        <v>4.4194173824159217E-8</v>
      </c>
      <c r="D383" s="208">
        <v>4.4194173824159217E-8</v>
      </c>
      <c r="E383" s="208">
        <v>4.4194173824159217E-8</v>
      </c>
      <c r="F383" s="209" t="s">
        <v>714</v>
      </c>
      <c r="G383" s="208">
        <v>3.8218837086175999E-16</v>
      </c>
      <c r="H383" s="210">
        <v>5.2240070577603482E-15</v>
      </c>
      <c r="I383" s="208">
        <v>2.3087067596929538E-24</v>
      </c>
      <c r="J383" s="208">
        <v>2.3087067596929538E-24</v>
      </c>
      <c r="K383" s="208">
        <v>2.3087067596929538E-24</v>
      </c>
      <c r="L383" s="208">
        <v>0</v>
      </c>
      <c r="M383" s="208">
        <v>0</v>
      </c>
      <c r="N383" s="208">
        <v>0</v>
      </c>
      <c r="O383" s="3">
        <v>360</v>
      </c>
      <c r="P383" s="3">
        <v>360</v>
      </c>
      <c r="Q383" s="3">
        <v>360</v>
      </c>
      <c r="S383" s="4">
        <v>0</v>
      </c>
      <c r="T383" s="4">
        <v>189.5</v>
      </c>
      <c r="U383" s="210"/>
      <c r="V383" s="210">
        <v>5.2240070577603482E-15</v>
      </c>
      <c r="W383" s="3">
        <v>0</v>
      </c>
      <c r="X383" s="3">
        <v>0</v>
      </c>
      <c r="Y383" s="3">
        <f t="shared" si="105"/>
        <v>1</v>
      </c>
      <c r="Z383" s="3">
        <f t="shared" si="106"/>
        <v>1</v>
      </c>
      <c r="AA383" s="3" t="str">
        <f t="shared" si="91"/>
        <v/>
      </c>
      <c r="AB383" s="3" t="str">
        <f t="shared" si="92"/>
        <v/>
      </c>
      <c r="AC383" s="3" t="str">
        <f t="shared" si="93"/>
        <v/>
      </c>
      <c r="AD383" s="3" t="str">
        <f t="shared" si="94"/>
        <v>0</v>
      </c>
      <c r="AE383" s="3">
        <f t="shared" si="95"/>
        <v>0</v>
      </c>
      <c r="AF383" s="3">
        <f t="shared" si="96"/>
        <v>0</v>
      </c>
      <c r="AM383" s="3" t="str">
        <f t="shared" si="97"/>
        <v/>
      </c>
      <c r="AN383" s="3" t="str">
        <f t="shared" si="98"/>
        <v/>
      </c>
      <c r="AO383" s="3" t="str">
        <f t="shared" si="99"/>
        <v/>
      </c>
      <c r="AP383" s="3">
        <f t="shared" si="100"/>
        <v>0</v>
      </c>
      <c r="AQ383" s="3">
        <f t="shared" si="101"/>
        <v>0</v>
      </c>
      <c r="AR383" s="3">
        <f t="shared" si="107"/>
        <v>0</v>
      </c>
      <c r="AS383" s="3" t="e">
        <f t="shared" si="108"/>
        <v>#REF!</v>
      </c>
      <c r="AT383" s="3" t="str">
        <f t="shared" si="102"/>
        <v/>
      </c>
      <c r="AU383" s="3">
        <f t="shared" si="103"/>
        <v>0</v>
      </c>
      <c r="AV383" s="3">
        <f t="shared" si="104"/>
        <v>0</v>
      </c>
      <c r="AW383" s="3">
        <v>758</v>
      </c>
      <c r="AX383" s="3" t="e">
        <f>IF(AND(#REF!="N",OR(AW383=$AX$1,AW383=$AX$2,AW383=$AX$3,AW383=$AX$4,AW383=$AY$1,AW383=$AY$2,AW383=$AY$3,AW383=$AY$4)),0,1)</f>
        <v>#REF!</v>
      </c>
    </row>
    <row r="384" spans="2:50" x14ac:dyDescent="0.2">
      <c r="B384" s="4">
        <v>760</v>
      </c>
      <c r="C384" s="208">
        <v>4.4194173824159217E-8</v>
      </c>
      <c r="D384" s="208">
        <v>4.4194173824159217E-8</v>
      </c>
      <c r="E384" s="208">
        <v>4.4194173824159217E-8</v>
      </c>
      <c r="F384" s="209" t="s">
        <v>714</v>
      </c>
      <c r="G384" s="208">
        <v>8.5884800547322268E-16</v>
      </c>
      <c r="H384" s="210">
        <v>1.1739310727898511E-14</v>
      </c>
      <c r="I384" s="208">
        <v>5.1880913888456391E-24</v>
      </c>
      <c r="J384" s="208">
        <v>5.1880913888456391E-24</v>
      </c>
      <c r="K384" s="208">
        <v>5.1880913888456391E-24</v>
      </c>
      <c r="L384" s="208">
        <v>0</v>
      </c>
      <c r="M384" s="208">
        <v>0</v>
      </c>
      <c r="N384" s="208">
        <v>0</v>
      </c>
      <c r="O384" s="3">
        <v>360</v>
      </c>
      <c r="P384" s="3">
        <v>360</v>
      </c>
      <c r="Q384" s="3">
        <v>360</v>
      </c>
      <c r="S384" s="4">
        <v>0</v>
      </c>
      <c r="T384" s="4">
        <v>190</v>
      </c>
      <c r="U384" s="210"/>
      <c r="V384" s="210">
        <v>1.1739310727898511E-14</v>
      </c>
      <c r="W384" s="3">
        <v>0</v>
      </c>
      <c r="X384" s="3">
        <v>0</v>
      </c>
      <c r="Y384" s="3">
        <f t="shared" si="105"/>
        <v>1</v>
      </c>
      <c r="Z384" s="3">
        <f t="shared" si="106"/>
        <v>1</v>
      </c>
      <c r="AA384" s="3" t="str">
        <f t="shared" si="91"/>
        <v/>
      </c>
      <c r="AB384" s="3" t="str">
        <f t="shared" si="92"/>
        <v/>
      </c>
      <c r="AC384" s="3" t="str">
        <f t="shared" si="93"/>
        <v/>
      </c>
      <c r="AD384" s="3" t="str">
        <f t="shared" si="94"/>
        <v>0</v>
      </c>
      <c r="AE384" s="3">
        <f t="shared" si="95"/>
        <v>0</v>
      </c>
      <c r="AF384" s="3">
        <f t="shared" si="96"/>
        <v>0</v>
      </c>
      <c r="AM384" s="3" t="str">
        <f t="shared" si="97"/>
        <v/>
      </c>
      <c r="AN384" s="3" t="str">
        <f t="shared" si="98"/>
        <v/>
      </c>
      <c r="AO384" s="3" t="str">
        <f t="shared" si="99"/>
        <v/>
      </c>
      <c r="AP384" s="3">
        <f t="shared" si="100"/>
        <v>0</v>
      </c>
      <c r="AQ384" s="3">
        <f t="shared" si="101"/>
        <v>0</v>
      </c>
      <c r="AR384" s="3">
        <f t="shared" si="107"/>
        <v>0</v>
      </c>
      <c r="AS384" s="3" t="e">
        <f t="shared" si="108"/>
        <v>#REF!</v>
      </c>
      <c r="AT384" s="3" t="str">
        <f t="shared" si="102"/>
        <v/>
      </c>
      <c r="AU384" s="3">
        <f t="shared" si="103"/>
        <v>0</v>
      </c>
      <c r="AV384" s="3">
        <f t="shared" si="104"/>
        <v>0</v>
      </c>
      <c r="AW384" s="3">
        <v>760</v>
      </c>
      <c r="AX384" s="3" t="e">
        <f>IF(AND(#REF!="N",OR(AW384=$AX$1,AW384=$AX$2,AW384=$AX$3,AW384=$AX$4,AW384=$AY$1,AW384=$AY$2,AW384=$AY$3,AW384=$AY$4)),0,1)</f>
        <v>#REF!</v>
      </c>
    </row>
    <row r="385" spans="2:50" x14ac:dyDescent="0.2">
      <c r="B385" s="4">
        <v>762</v>
      </c>
      <c r="C385" s="208">
        <v>4.4194173824159217E-8</v>
      </c>
      <c r="D385" s="208">
        <v>4.4194173824159217E-8</v>
      </c>
      <c r="E385" s="208">
        <v>4.4194173824159217E-8</v>
      </c>
      <c r="F385" s="209" t="s">
        <v>714</v>
      </c>
      <c r="G385" s="208">
        <v>1.1378944428598839E-15</v>
      </c>
      <c r="H385" s="210">
        <v>1.5553504642443529E-14</v>
      </c>
      <c r="I385" s="208">
        <v>6.8737428774301657E-24</v>
      </c>
      <c r="J385" s="208">
        <v>6.8737428774301657E-24</v>
      </c>
      <c r="K385" s="208">
        <v>6.8737428774301657E-24</v>
      </c>
      <c r="L385" s="208">
        <v>0</v>
      </c>
      <c r="M385" s="208">
        <v>0</v>
      </c>
      <c r="N385" s="208">
        <v>0</v>
      </c>
      <c r="O385" s="3">
        <v>360</v>
      </c>
      <c r="P385" s="3">
        <v>360</v>
      </c>
      <c r="Q385" s="3">
        <v>360</v>
      </c>
      <c r="S385" s="4">
        <v>0</v>
      </c>
      <c r="T385" s="4">
        <v>190.5</v>
      </c>
      <c r="U385" s="210"/>
      <c r="V385" s="210">
        <v>1.5553504642443529E-14</v>
      </c>
      <c r="W385" s="3">
        <v>0</v>
      </c>
      <c r="X385" s="3">
        <v>0</v>
      </c>
      <c r="Y385" s="3">
        <f t="shared" si="105"/>
        <v>1</v>
      </c>
      <c r="Z385" s="3">
        <f t="shared" si="106"/>
        <v>1</v>
      </c>
      <c r="AA385" s="3" t="str">
        <f t="shared" si="91"/>
        <v/>
      </c>
      <c r="AB385" s="3" t="str">
        <f t="shared" si="92"/>
        <v/>
      </c>
      <c r="AC385" s="3" t="str">
        <f t="shared" si="93"/>
        <v/>
      </c>
      <c r="AD385" s="3" t="str">
        <f t="shared" si="94"/>
        <v>0</v>
      </c>
      <c r="AE385" s="3">
        <f t="shared" si="95"/>
        <v>0</v>
      </c>
      <c r="AF385" s="3">
        <f t="shared" si="96"/>
        <v>0</v>
      </c>
      <c r="AM385" s="3" t="str">
        <f t="shared" si="97"/>
        <v/>
      </c>
      <c r="AN385" s="3" t="str">
        <f t="shared" si="98"/>
        <v/>
      </c>
      <c r="AO385" s="3" t="str">
        <f t="shared" si="99"/>
        <v/>
      </c>
      <c r="AP385" s="3">
        <f t="shared" si="100"/>
        <v>0</v>
      </c>
      <c r="AQ385" s="3">
        <f t="shared" si="101"/>
        <v>0</v>
      </c>
      <c r="AR385" s="3">
        <f t="shared" si="107"/>
        <v>0</v>
      </c>
      <c r="AS385" s="3" t="e">
        <f t="shared" si="108"/>
        <v>#REF!</v>
      </c>
      <c r="AT385" s="3" t="str">
        <f t="shared" si="102"/>
        <v/>
      </c>
      <c r="AU385" s="3">
        <f t="shared" si="103"/>
        <v>0</v>
      </c>
      <c r="AV385" s="3">
        <f t="shared" si="104"/>
        <v>0</v>
      </c>
      <c r="AW385" s="3">
        <v>762</v>
      </c>
      <c r="AX385" s="3" t="e">
        <f>IF(AND(#REF!="N",OR(AW385=$AX$1,AW385=$AX$2,AW385=$AX$3,AW385=$AX$4,AW385=$AY$1,AW385=$AY$2,AW385=$AY$3,AW385=$AY$4)),0,1)</f>
        <v>#REF!</v>
      </c>
    </row>
    <row r="386" spans="2:50" x14ac:dyDescent="0.2">
      <c r="B386" s="4">
        <v>764</v>
      </c>
      <c r="C386" s="208">
        <v>0.95766219694254673</v>
      </c>
      <c r="D386" s="208">
        <v>0.95766219694255783</v>
      </c>
      <c r="E386" s="208">
        <v>0.95766219694255417</v>
      </c>
      <c r="F386" s="209" t="s">
        <v>714</v>
      </c>
      <c r="G386" s="208">
        <v>3.8303666376289167E-2</v>
      </c>
      <c r="H386" s="210">
        <v>0.52356020942408354</v>
      </c>
      <c r="I386" s="208">
        <v>5.0139382038876766E-3</v>
      </c>
      <c r="J386" s="208">
        <v>5.0139382038877347E-3</v>
      </c>
      <c r="K386" s="208">
        <v>5.0139382038877156E-3</v>
      </c>
      <c r="L386" s="208">
        <v>8.6843957151441342E-3</v>
      </c>
      <c r="M386" s="208">
        <v>8.6843957151441272E-3</v>
      </c>
      <c r="N386" s="208">
        <v>8.6843957151441983E-3</v>
      </c>
      <c r="O386" s="3">
        <v>120</v>
      </c>
      <c r="P386" s="3">
        <v>120</v>
      </c>
      <c r="Q386" s="3">
        <v>120</v>
      </c>
      <c r="R386" s="4" t="s">
        <v>172</v>
      </c>
      <c r="S386" s="4" t="s">
        <v>172</v>
      </c>
      <c r="T386" s="4">
        <v>191</v>
      </c>
      <c r="U386" s="210"/>
      <c r="V386" s="210">
        <v>0.52356020942408354</v>
      </c>
      <c r="W386" s="3">
        <v>0.5235602094240861</v>
      </c>
      <c r="X386" s="3">
        <v>0</v>
      </c>
      <c r="Y386" s="3">
        <f t="shared" si="105"/>
        <v>1</v>
      </c>
      <c r="Z386" s="3">
        <f t="shared" si="106"/>
        <v>1</v>
      </c>
      <c r="AA386" s="3">
        <f t="shared" si="91"/>
        <v>2.9999999999999885</v>
      </c>
      <c r="AB386" s="3">
        <f t="shared" si="92"/>
        <v>1.4999999999999942</v>
      </c>
      <c r="AC386" s="3">
        <f t="shared" si="93"/>
        <v>4.1117293933828409E-4</v>
      </c>
      <c r="AD386" s="3" t="str">
        <f t="shared" si="94"/>
        <v>4.50785729109193E-08+0.000411150393873466i</v>
      </c>
      <c r="AE386" s="3">
        <f t="shared" si="95"/>
        <v>4.5078572910919301E-8</v>
      </c>
      <c r="AF386" s="3">
        <f t="shared" si="96"/>
        <v>4.1115039387346601E-4</v>
      </c>
      <c r="AM386" s="3" t="str">
        <f t="shared" si="97"/>
        <v>-0.000616759409007422+0.00123351881801485i</v>
      </c>
      <c r="AN386" s="3" t="str">
        <f t="shared" si="98"/>
        <v>2.99999999999999+1.50041117293933i</v>
      </c>
      <c r="AO386" s="3" t="str">
        <f t="shared" si="99"/>
        <v>4.50785729109193E-08+0.000411150393873466i</v>
      </c>
      <c r="AP386" s="3">
        <f t="shared" si="100"/>
        <v>4.5078572910919301E-8</v>
      </c>
      <c r="AQ386" s="3">
        <f t="shared" si="101"/>
        <v>4.1115039387346601E-4</v>
      </c>
      <c r="AR386" s="3">
        <f t="shared" si="107"/>
        <v>-0.82240645381931765</v>
      </c>
      <c r="AS386" s="3" t="e">
        <f t="shared" si="108"/>
        <v>#REF!</v>
      </c>
      <c r="AT386" s="3" t="e">
        <f t="shared" si="102"/>
        <v>#REF!</v>
      </c>
      <c r="AU386" s="3" t="e">
        <f t="shared" si="103"/>
        <v>#REF!</v>
      </c>
      <c r="AV386" s="3" t="e">
        <f t="shared" si="104"/>
        <v>#REF!</v>
      </c>
      <c r="AW386" s="3">
        <v>764</v>
      </c>
      <c r="AX386" s="3" t="e">
        <f>IF(AND(#REF!="N",OR(AW386=$AX$1,AW386=$AX$2,AW386=$AX$3,AW386=$AX$4,AW386=$AY$1,AW386=$AY$2,AW386=$AY$3,AW386=$AY$4)),0,1)</f>
        <v>#REF!</v>
      </c>
    </row>
    <row r="387" spans="2:50" x14ac:dyDescent="0.2">
      <c r="B387" s="4">
        <v>766</v>
      </c>
      <c r="C387" s="208">
        <v>4.4194173824159217E-8</v>
      </c>
      <c r="D387" s="208">
        <v>4.4194173824159217E-8</v>
      </c>
      <c r="E387" s="208">
        <v>4.4194173824159217E-8</v>
      </c>
      <c r="F387" s="209" t="s">
        <v>714</v>
      </c>
      <c r="G387" s="208">
        <v>3.3465031057401175E-16</v>
      </c>
      <c r="H387" s="210">
        <v>4.5742249571289828E-15</v>
      </c>
      <c r="I387" s="208">
        <v>2.0215409286616551E-24</v>
      </c>
      <c r="J387" s="208">
        <v>2.0215409286616551E-24</v>
      </c>
      <c r="K387" s="208">
        <v>2.0215409286616551E-24</v>
      </c>
      <c r="L387" s="208">
        <v>0</v>
      </c>
      <c r="M387" s="208">
        <v>0</v>
      </c>
      <c r="N387" s="208">
        <v>0</v>
      </c>
      <c r="O387" s="3">
        <v>360</v>
      </c>
      <c r="P387" s="3">
        <v>360</v>
      </c>
      <c r="Q387" s="3">
        <v>360</v>
      </c>
      <c r="S387" s="4">
        <v>0</v>
      </c>
      <c r="T387" s="4">
        <v>191.5</v>
      </c>
      <c r="U387" s="210"/>
      <c r="V387" s="210">
        <v>4.5742249571289828E-15</v>
      </c>
      <c r="W387" s="3">
        <v>0</v>
      </c>
      <c r="X387" s="3">
        <v>0</v>
      </c>
      <c r="Y387" s="3">
        <f t="shared" si="105"/>
        <v>1</v>
      </c>
      <c r="Z387" s="3">
        <f t="shared" si="106"/>
        <v>1</v>
      </c>
      <c r="AA387" s="3" t="str">
        <f t="shared" si="91"/>
        <v/>
      </c>
      <c r="AB387" s="3" t="str">
        <f t="shared" si="92"/>
        <v/>
      </c>
      <c r="AC387" s="3" t="str">
        <f t="shared" si="93"/>
        <v/>
      </c>
      <c r="AD387" s="3" t="str">
        <f t="shared" si="94"/>
        <v>0</v>
      </c>
      <c r="AE387" s="3">
        <f t="shared" si="95"/>
        <v>0</v>
      </c>
      <c r="AF387" s="3">
        <f t="shared" si="96"/>
        <v>0</v>
      </c>
      <c r="AM387" s="3" t="str">
        <f t="shared" si="97"/>
        <v/>
      </c>
      <c r="AN387" s="3" t="str">
        <f t="shared" si="98"/>
        <v/>
      </c>
      <c r="AO387" s="3" t="str">
        <f t="shared" si="99"/>
        <v/>
      </c>
      <c r="AP387" s="3">
        <f t="shared" si="100"/>
        <v>0</v>
      </c>
      <c r="AQ387" s="3">
        <f t="shared" si="101"/>
        <v>0</v>
      </c>
      <c r="AR387" s="3">
        <f t="shared" si="107"/>
        <v>0</v>
      </c>
      <c r="AS387" s="3" t="e">
        <f t="shared" si="108"/>
        <v>#REF!</v>
      </c>
      <c r="AT387" s="3" t="str">
        <f t="shared" si="102"/>
        <v/>
      </c>
      <c r="AU387" s="3">
        <f t="shared" si="103"/>
        <v>0</v>
      </c>
      <c r="AV387" s="3">
        <f t="shared" si="104"/>
        <v>0</v>
      </c>
      <c r="AW387" s="3">
        <v>766</v>
      </c>
      <c r="AX387" s="3" t="e">
        <f>IF(AND(#REF!="N",OR(AW387=$AX$1,AW387=$AX$2,AW387=$AX$3,AW387=$AX$4,AW387=$AY$1,AW387=$AY$2,AW387=$AY$3,AW387=$AY$4)),0,1)</f>
        <v>#REF!</v>
      </c>
    </row>
    <row r="388" spans="2:50" x14ac:dyDescent="0.2">
      <c r="B388" s="4">
        <v>768</v>
      </c>
      <c r="C388" s="208">
        <v>4.4194173824159217E-8</v>
      </c>
      <c r="D388" s="208">
        <v>4.4194173824159217E-8</v>
      </c>
      <c r="E388" s="208">
        <v>4.4194173824159217E-8</v>
      </c>
      <c r="F388" s="209" t="s">
        <v>714</v>
      </c>
      <c r="G388" s="208">
        <v>4.5334441952628644E-16</v>
      </c>
      <c r="H388" s="210">
        <v>6.1966156685029251E-15</v>
      </c>
      <c r="I388" s="208">
        <v>2.7385430997532684E-24</v>
      </c>
      <c r="J388" s="208">
        <v>2.7385430997532684E-24</v>
      </c>
      <c r="K388" s="208">
        <v>2.7385430997532684E-24</v>
      </c>
      <c r="L388" s="208">
        <v>0</v>
      </c>
      <c r="M388" s="208">
        <v>0</v>
      </c>
      <c r="N388" s="208">
        <v>0</v>
      </c>
      <c r="O388" s="3">
        <v>360</v>
      </c>
      <c r="P388" s="3">
        <v>360</v>
      </c>
      <c r="Q388" s="3">
        <v>360</v>
      </c>
      <c r="S388" s="4">
        <v>0</v>
      </c>
      <c r="T388" s="4">
        <v>192</v>
      </c>
      <c r="U388" s="210"/>
      <c r="V388" s="210">
        <v>6.1966156685029251E-15</v>
      </c>
      <c r="W388" s="3">
        <v>0</v>
      </c>
      <c r="X388" s="3">
        <v>0</v>
      </c>
      <c r="Y388" s="3">
        <f t="shared" si="105"/>
        <v>1</v>
      </c>
      <c r="Z388" s="3">
        <f t="shared" si="106"/>
        <v>1</v>
      </c>
      <c r="AA388" s="3" t="str">
        <f t="shared" si="91"/>
        <v/>
      </c>
      <c r="AB388" s="3" t="str">
        <f t="shared" si="92"/>
        <v/>
      </c>
      <c r="AC388" s="3" t="str">
        <f t="shared" si="93"/>
        <v/>
      </c>
      <c r="AD388" s="3" t="str">
        <f t="shared" si="94"/>
        <v>0</v>
      </c>
      <c r="AE388" s="3">
        <f t="shared" si="95"/>
        <v>0</v>
      </c>
      <c r="AF388" s="3">
        <f t="shared" si="96"/>
        <v>0</v>
      </c>
      <c r="AM388" s="3" t="str">
        <f t="shared" si="97"/>
        <v/>
      </c>
      <c r="AN388" s="3" t="str">
        <f t="shared" si="98"/>
        <v/>
      </c>
      <c r="AO388" s="3" t="str">
        <f t="shared" si="99"/>
        <v/>
      </c>
      <c r="AP388" s="3">
        <f t="shared" si="100"/>
        <v>0</v>
      </c>
      <c r="AQ388" s="3">
        <f t="shared" si="101"/>
        <v>0</v>
      </c>
      <c r="AR388" s="3">
        <f t="shared" si="107"/>
        <v>0</v>
      </c>
      <c r="AS388" s="3" t="e">
        <f t="shared" si="108"/>
        <v>#REF!</v>
      </c>
      <c r="AT388" s="3" t="str">
        <f t="shared" si="102"/>
        <v/>
      </c>
      <c r="AU388" s="3">
        <f t="shared" si="103"/>
        <v>0</v>
      </c>
      <c r="AV388" s="3">
        <f t="shared" si="104"/>
        <v>0</v>
      </c>
      <c r="AW388" s="3">
        <v>768</v>
      </c>
      <c r="AX388" s="3" t="e">
        <f>IF(AND(#REF!="N",OR(AW388=$AX$1,AW388=$AX$2,AW388=$AX$3,AW388=$AX$4,AW388=$AY$1,AW388=$AY$2,AW388=$AY$3,AW388=$AY$4)),0,1)</f>
        <v>#REF!</v>
      </c>
    </row>
    <row r="389" spans="2:50" x14ac:dyDescent="0.2">
      <c r="B389" s="4">
        <v>770</v>
      </c>
      <c r="C389" s="208">
        <v>4.4194173824159217E-8</v>
      </c>
      <c r="D389" s="208">
        <v>4.4194173824159217E-8</v>
      </c>
      <c r="E389" s="208">
        <v>4.4194173824159217E-8</v>
      </c>
      <c r="F389" s="209" t="s">
        <v>714</v>
      </c>
      <c r="G389" s="208">
        <v>1.8159569645196474E-15</v>
      </c>
      <c r="H389" s="210">
        <v>2.4821718091132217E-14</v>
      </c>
      <c r="I389" s="208">
        <v>1.0969753239337747E-23</v>
      </c>
      <c r="J389" s="208">
        <v>1.0969753239337747E-23</v>
      </c>
      <c r="K389" s="208">
        <v>1.0969753239337747E-23</v>
      </c>
      <c r="L389" s="208">
        <v>0</v>
      </c>
      <c r="M389" s="208">
        <v>0</v>
      </c>
      <c r="N389" s="208">
        <v>0</v>
      </c>
      <c r="O389" s="3">
        <v>360</v>
      </c>
      <c r="P389" s="3">
        <v>360</v>
      </c>
      <c r="Q389" s="3">
        <v>360</v>
      </c>
      <c r="S389" s="4">
        <v>0</v>
      </c>
      <c r="T389" s="4">
        <v>192.5</v>
      </c>
      <c r="U389" s="210"/>
      <c r="V389" s="210">
        <v>2.4821718091132217E-14</v>
      </c>
      <c r="W389" s="3">
        <v>0</v>
      </c>
      <c r="X389" s="3">
        <v>0</v>
      </c>
      <c r="Y389" s="3">
        <f t="shared" si="105"/>
        <v>1</v>
      </c>
      <c r="Z389" s="3">
        <f t="shared" si="106"/>
        <v>1</v>
      </c>
      <c r="AA389" s="3" t="str">
        <f t="shared" ref="AA389:AA404" si="109">IF(R389="","",$AB$1*(C389/$C$3)^2)</f>
        <v/>
      </c>
      <c r="AB389" s="3" t="str">
        <f t="shared" ref="AB389:AB404" si="110">IF(R389="","",$AB$2*(C389/$C$3)^2)</f>
        <v/>
      </c>
      <c r="AC389" s="3" t="str">
        <f t="shared" ref="AC389:AC404" si="111">IF(R389="","",$AB$3*(C389/$C$3/T389)^2)</f>
        <v/>
      </c>
      <c r="AD389" s="3" t="str">
        <f t="shared" ref="AD389:AD404" si="112">IF(R389="",COMPLEX(0,0),IMDIV(IMPRODUCT(COMPLEX(AA389,AB389),COMPLEX(0,AC389)),COMPLEX(AA389,AB389+AC389)))</f>
        <v>0</v>
      </c>
      <c r="AE389" s="3">
        <f t="shared" ref="AE389:AE404" si="113">IMREAL(AD389)</f>
        <v>0</v>
      </c>
      <c r="AF389" s="3">
        <f t="shared" ref="AF389:AF404" si="114">IMAGINARY(AD389)</f>
        <v>0</v>
      </c>
      <c r="AM389" s="3" t="str">
        <f t="shared" ref="AM389:AM404" si="115">IF(R389="","",IMPRODUCT(COMPLEX(AA389,Y389*AB389),COMPLEX(0,AC389)))</f>
        <v/>
      </c>
      <c r="AN389" s="3" t="str">
        <f t="shared" ref="AN389:AN404" si="116">IF(R389="","",COMPLEX(AA389,Y389*(AB389+AC389)))</f>
        <v/>
      </c>
      <c r="AO389" s="3" t="str">
        <f t="shared" ref="AO389:AO404" si="117">IF(R389="","",IMDIV(AM389,AN389))</f>
        <v/>
      </c>
      <c r="AP389" s="3">
        <f t="shared" ref="AP389:AP404" si="118">IF(R389="",0,IMREAL(AO389))</f>
        <v>0</v>
      </c>
      <c r="AQ389" s="3">
        <f t="shared" ref="AQ389:AQ404" si="119">IF(R389="",0,IMAGINARY(AO389))</f>
        <v>0</v>
      </c>
      <c r="AR389" s="3">
        <f t="shared" si="107"/>
        <v>0</v>
      </c>
      <c r="AS389" s="3" t="e">
        <f t="shared" si="108"/>
        <v>#REF!</v>
      </c>
      <c r="AT389" s="3" t="str">
        <f t="shared" ref="AT389:AT404" si="120">IF(R389="","",IMDIV($AP$3,IMSUM(AO389,$AP$2)))</f>
        <v/>
      </c>
      <c r="AU389" s="3">
        <f t="shared" ref="AU389:AU404" si="121">IF(R389="",0,IMREAL(AT389))</f>
        <v>0</v>
      </c>
      <c r="AV389" s="3">
        <f t="shared" ref="AV389:AV404" si="122">IF(R389="",0,IMAGINARY(AT389))</f>
        <v>0</v>
      </c>
      <c r="AW389" s="3">
        <v>770</v>
      </c>
      <c r="AX389" s="3" t="e">
        <f>IF(AND(#REF!="N",OR(AW389=$AX$1,AW389=$AX$2,AW389=$AX$3,AW389=$AX$4,AW389=$AY$1,AW389=$AY$2,AW389=$AY$3,AW389=$AY$4)),0,1)</f>
        <v>#REF!</v>
      </c>
    </row>
    <row r="390" spans="2:50" x14ac:dyDescent="0.2">
      <c r="B390" s="4">
        <v>772</v>
      </c>
      <c r="C390" s="208">
        <v>0.95766219694254717</v>
      </c>
      <c r="D390" s="208">
        <v>0.95766219694255039</v>
      </c>
      <c r="E390" s="208">
        <v>0.95766219694255283</v>
      </c>
      <c r="F390" s="209" t="s">
        <v>714</v>
      </c>
      <c r="G390" s="208">
        <v>3.7906737191042504E-2</v>
      </c>
      <c r="H390" s="210">
        <v>0.51813471502590447</v>
      </c>
      <c r="I390" s="208">
        <v>4.961980295039083E-3</v>
      </c>
      <c r="J390" s="208">
        <v>4.9619802950390994E-3</v>
      </c>
      <c r="K390" s="208">
        <v>4.9619802950391124E-3</v>
      </c>
      <c r="L390" s="208">
        <v>8.5944019771633847E-3</v>
      </c>
      <c r="M390" s="208">
        <v>8.5944019771632147E-3</v>
      </c>
      <c r="N390" s="208">
        <v>8.5944019771633795E-3</v>
      </c>
      <c r="O390" s="3">
        <v>240</v>
      </c>
      <c r="P390" s="3">
        <v>240</v>
      </c>
      <c r="Q390" s="3">
        <v>240</v>
      </c>
      <c r="R390" s="4" t="s">
        <v>168</v>
      </c>
      <c r="S390" s="4" t="s">
        <v>168</v>
      </c>
      <c r="T390" s="4">
        <v>193</v>
      </c>
      <c r="U390" s="210"/>
      <c r="V390" s="210">
        <v>0.51813471502590458</v>
      </c>
      <c r="W390" s="3">
        <v>0</v>
      </c>
      <c r="X390" s="3">
        <v>0.51813471502590713</v>
      </c>
      <c r="Y390" s="3">
        <f t="shared" ref="Y390:Y404" si="123">IF($S$3="+",IF(X390&gt;W390,1-B390/$E$2*(1-$Y$1),1+B390/$E$2*(1-$Y$1)),IF(W390&gt;X390,1-B390/$E$2*(1-$Y$1),1+B390/$E$2*(1-$Y$1)))</f>
        <v>1</v>
      </c>
      <c r="Z390" s="3">
        <f t="shared" ref="Z390:Z404" si="124">2-Y390</f>
        <v>1</v>
      </c>
      <c r="AA390" s="3">
        <f t="shared" si="109"/>
        <v>2.9999999999999911</v>
      </c>
      <c r="AB390" s="3">
        <f t="shared" si="110"/>
        <v>1.4999999999999956</v>
      </c>
      <c r="AC390" s="3">
        <f t="shared" si="111"/>
        <v>4.0269537437246522E-4</v>
      </c>
      <c r="AD390" s="3" t="str">
        <f t="shared" si="112"/>
        <v>4.32389733515448E-08+0.000402673749081744i</v>
      </c>
      <c r="AE390" s="3">
        <f t="shared" si="113"/>
        <v>4.3238973351544801E-8</v>
      </c>
      <c r="AF390" s="3">
        <f t="shared" si="114"/>
        <v>4.0267374908174399E-4</v>
      </c>
      <c r="AM390" s="3" t="str">
        <f t="shared" si="115"/>
        <v>-0.000604043061558697+0.00120808612311739i</v>
      </c>
      <c r="AN390" s="3" t="str">
        <f t="shared" si="116"/>
        <v>2.99999999999999+1.50040269537437i</v>
      </c>
      <c r="AO390" s="3" t="str">
        <f t="shared" si="117"/>
        <v>4.32389733515448E-08+0.000402673749081744i</v>
      </c>
      <c r="AP390" s="3">
        <f t="shared" si="118"/>
        <v>4.3238973351544801E-8</v>
      </c>
      <c r="AQ390" s="3">
        <f t="shared" si="119"/>
        <v>4.0267374908174399E-4</v>
      </c>
      <c r="AR390" s="3">
        <f t="shared" ref="AR390:AR404" si="125">IF(R390="",0,IF(X390&gt;W390,1,-1)*2*PI()*$Y$2/(B390/2))</f>
        <v>0.81388410714761483</v>
      </c>
      <c r="AS390" s="3" t="e">
        <f t="shared" ref="AS390:AS404" si="126">IF(OR(R390="",S390=0),0,3*$AV$2^2*AP390/AR390)*AX390</f>
        <v>#REF!</v>
      </c>
      <c r="AT390" s="3" t="e">
        <f t="shared" si="120"/>
        <v>#REF!</v>
      </c>
      <c r="AU390" s="3" t="e">
        <f t="shared" si="121"/>
        <v>#REF!</v>
      </c>
      <c r="AV390" s="3" t="e">
        <f t="shared" si="122"/>
        <v>#REF!</v>
      </c>
      <c r="AW390" s="3">
        <v>772</v>
      </c>
      <c r="AX390" s="3" t="e">
        <f>IF(AND(#REF!="N",OR(AW390=$AX$1,AW390=$AX$2,AW390=$AX$3,AW390=$AX$4,AW390=$AY$1,AW390=$AY$2,AW390=$AY$3,AW390=$AY$4)),0,1)</f>
        <v>#REF!</v>
      </c>
    </row>
    <row r="391" spans="2:50" x14ac:dyDescent="0.2">
      <c r="B391" s="4">
        <v>774</v>
      </c>
      <c r="C391" s="208">
        <v>4.4194173824159217E-8</v>
      </c>
      <c r="D391" s="208">
        <v>4.4194173824159217E-8</v>
      </c>
      <c r="E391" s="208">
        <v>4.4194173824159217E-8</v>
      </c>
      <c r="F391" s="209" t="s">
        <v>714</v>
      </c>
      <c r="G391" s="208">
        <v>1.6866561421009533E-15</v>
      </c>
      <c r="H391" s="210">
        <v>2.305434770420384E-14</v>
      </c>
      <c r="I391" s="208">
        <v>1.0188678498421905E-23</v>
      </c>
      <c r="J391" s="208">
        <v>1.0188678498421905E-23</v>
      </c>
      <c r="K391" s="208">
        <v>1.0188678498421905E-23</v>
      </c>
      <c r="L391" s="208">
        <v>0</v>
      </c>
      <c r="M391" s="208">
        <v>0</v>
      </c>
      <c r="N391" s="208">
        <v>0</v>
      </c>
      <c r="O391" s="3">
        <v>360</v>
      </c>
      <c r="P391" s="3">
        <v>360</v>
      </c>
      <c r="Q391" s="3">
        <v>360</v>
      </c>
      <c r="S391" s="4">
        <v>0</v>
      </c>
      <c r="T391" s="4">
        <v>193.5</v>
      </c>
      <c r="U391" s="210"/>
      <c r="V391" s="210">
        <v>2.3054347704203837E-14</v>
      </c>
      <c r="W391" s="3">
        <v>0</v>
      </c>
      <c r="X391" s="3">
        <v>0</v>
      </c>
      <c r="Y391" s="3">
        <f t="shared" si="123"/>
        <v>1</v>
      </c>
      <c r="Z391" s="3">
        <f t="shared" si="124"/>
        <v>1</v>
      </c>
      <c r="AA391" s="3" t="str">
        <f t="shared" si="109"/>
        <v/>
      </c>
      <c r="AB391" s="3" t="str">
        <f t="shared" si="110"/>
        <v/>
      </c>
      <c r="AC391" s="3" t="str">
        <f t="shared" si="111"/>
        <v/>
      </c>
      <c r="AD391" s="3" t="str">
        <f t="shared" si="112"/>
        <v>0</v>
      </c>
      <c r="AE391" s="3">
        <f t="shared" si="113"/>
        <v>0</v>
      </c>
      <c r="AF391" s="3">
        <f t="shared" si="114"/>
        <v>0</v>
      </c>
      <c r="AM391" s="3" t="str">
        <f t="shared" si="115"/>
        <v/>
      </c>
      <c r="AN391" s="3" t="str">
        <f t="shared" si="116"/>
        <v/>
      </c>
      <c r="AO391" s="3" t="str">
        <f t="shared" si="117"/>
        <v/>
      </c>
      <c r="AP391" s="3">
        <f t="shared" si="118"/>
        <v>0</v>
      </c>
      <c r="AQ391" s="3">
        <f t="shared" si="119"/>
        <v>0</v>
      </c>
      <c r="AR391" s="3">
        <f t="shared" si="125"/>
        <v>0</v>
      </c>
      <c r="AS391" s="3" t="e">
        <f t="shared" si="126"/>
        <v>#REF!</v>
      </c>
      <c r="AT391" s="3" t="str">
        <f t="shared" si="120"/>
        <v/>
      </c>
      <c r="AU391" s="3">
        <f t="shared" si="121"/>
        <v>0</v>
      </c>
      <c r="AV391" s="3">
        <f t="shared" si="122"/>
        <v>0</v>
      </c>
      <c r="AW391" s="3">
        <v>774</v>
      </c>
      <c r="AX391" s="3" t="e">
        <f>IF(AND(#REF!="N",OR(AW391=$AX$1,AW391=$AX$2,AW391=$AX$3,AW391=$AX$4,AW391=$AY$1,AW391=$AY$2,AW391=$AY$3,AW391=$AY$4)),0,1)</f>
        <v>#REF!</v>
      </c>
    </row>
    <row r="392" spans="2:50" x14ac:dyDescent="0.2">
      <c r="B392" s="4">
        <v>776</v>
      </c>
      <c r="C392" s="208">
        <v>4.4194173824159217E-8</v>
      </c>
      <c r="D392" s="208">
        <v>4.4194173824159217E-8</v>
      </c>
      <c r="E392" s="208">
        <v>4.4194173824159217E-8</v>
      </c>
      <c r="F392" s="209" t="s">
        <v>714</v>
      </c>
      <c r="G392" s="208">
        <v>1.0078984094424396E-15</v>
      </c>
      <c r="H392" s="210">
        <v>1.3776631645176917E-14</v>
      </c>
      <c r="I392" s="208">
        <v>6.0884685363836122E-24</v>
      </c>
      <c r="J392" s="208">
        <v>6.0884685363836122E-24</v>
      </c>
      <c r="K392" s="208">
        <v>6.0884685363836122E-24</v>
      </c>
      <c r="L392" s="208">
        <v>0</v>
      </c>
      <c r="M392" s="208">
        <v>0</v>
      </c>
      <c r="N392" s="208">
        <v>0</v>
      </c>
      <c r="O392" s="3">
        <v>360</v>
      </c>
      <c r="P392" s="3">
        <v>360</v>
      </c>
      <c r="Q392" s="3">
        <v>360</v>
      </c>
      <c r="S392" s="4">
        <v>0</v>
      </c>
      <c r="T392" s="4">
        <v>194</v>
      </c>
      <c r="U392" s="210"/>
      <c r="V392" s="210">
        <v>1.3776631645176917E-14</v>
      </c>
      <c r="W392" s="3">
        <v>0</v>
      </c>
      <c r="X392" s="3">
        <v>0</v>
      </c>
      <c r="Y392" s="3">
        <f t="shared" si="123"/>
        <v>1</v>
      </c>
      <c r="Z392" s="3">
        <f t="shared" si="124"/>
        <v>1</v>
      </c>
      <c r="AA392" s="3" t="str">
        <f t="shared" si="109"/>
        <v/>
      </c>
      <c r="AB392" s="3" t="str">
        <f t="shared" si="110"/>
        <v/>
      </c>
      <c r="AC392" s="3" t="str">
        <f t="shared" si="111"/>
        <v/>
      </c>
      <c r="AD392" s="3" t="str">
        <f t="shared" si="112"/>
        <v>0</v>
      </c>
      <c r="AE392" s="3">
        <f t="shared" si="113"/>
        <v>0</v>
      </c>
      <c r="AF392" s="3">
        <f t="shared" si="114"/>
        <v>0</v>
      </c>
      <c r="AM392" s="3" t="str">
        <f t="shared" si="115"/>
        <v/>
      </c>
      <c r="AN392" s="3" t="str">
        <f t="shared" si="116"/>
        <v/>
      </c>
      <c r="AO392" s="3" t="str">
        <f t="shared" si="117"/>
        <v/>
      </c>
      <c r="AP392" s="3">
        <f t="shared" si="118"/>
        <v>0</v>
      </c>
      <c r="AQ392" s="3">
        <f t="shared" si="119"/>
        <v>0</v>
      </c>
      <c r="AR392" s="3">
        <f t="shared" si="125"/>
        <v>0</v>
      </c>
      <c r="AS392" s="3" t="e">
        <f t="shared" si="126"/>
        <v>#REF!</v>
      </c>
      <c r="AT392" s="3" t="str">
        <f t="shared" si="120"/>
        <v/>
      </c>
      <c r="AU392" s="3">
        <f t="shared" si="121"/>
        <v>0</v>
      </c>
      <c r="AV392" s="3">
        <f t="shared" si="122"/>
        <v>0</v>
      </c>
      <c r="AW392" s="3">
        <v>776</v>
      </c>
      <c r="AX392" s="3" t="e">
        <f>IF(AND(#REF!="N",OR(AW392=$AX$1,AW392=$AX$2,AW392=$AX$3,AW392=$AX$4,AW392=$AY$1,AW392=$AY$2,AW392=$AY$3,AW392=$AY$4)),0,1)</f>
        <v>#REF!</v>
      </c>
    </row>
    <row r="393" spans="2:50" x14ac:dyDescent="0.2">
      <c r="B393" s="4">
        <v>778</v>
      </c>
      <c r="C393" s="208">
        <v>4.4194173824159217E-8</v>
      </c>
      <c r="D393" s="208">
        <v>4.4194173824159217E-8</v>
      </c>
      <c r="E393" s="208">
        <v>4.4194173824159217E-8</v>
      </c>
      <c r="F393" s="209" t="s">
        <v>714</v>
      </c>
      <c r="G393" s="208">
        <v>3.4640441272984322E-16</v>
      </c>
      <c r="H393" s="210">
        <v>4.7348879110572956E-15</v>
      </c>
      <c r="I393" s="208">
        <v>2.0925445937917624E-24</v>
      </c>
      <c r="J393" s="208">
        <v>2.0925445937917624E-24</v>
      </c>
      <c r="K393" s="208">
        <v>2.0925445937917624E-24</v>
      </c>
      <c r="L393" s="208">
        <v>0</v>
      </c>
      <c r="M393" s="208">
        <v>0</v>
      </c>
      <c r="N393" s="208">
        <v>0</v>
      </c>
      <c r="O393" s="3">
        <v>360</v>
      </c>
      <c r="P393" s="3">
        <v>360</v>
      </c>
      <c r="Q393" s="3">
        <v>360</v>
      </c>
      <c r="S393" s="4">
        <v>0</v>
      </c>
      <c r="T393" s="4">
        <v>194.5</v>
      </c>
      <c r="U393" s="210"/>
      <c r="V393" s="210">
        <v>4.7348879110572956E-15</v>
      </c>
      <c r="W393" s="3">
        <v>0</v>
      </c>
      <c r="X393" s="3">
        <v>0</v>
      </c>
      <c r="Y393" s="3">
        <f t="shared" si="123"/>
        <v>1</v>
      </c>
      <c r="Z393" s="3">
        <f t="shared" si="124"/>
        <v>1</v>
      </c>
      <c r="AA393" s="3" t="str">
        <f t="shared" si="109"/>
        <v/>
      </c>
      <c r="AB393" s="3" t="str">
        <f t="shared" si="110"/>
        <v/>
      </c>
      <c r="AC393" s="3" t="str">
        <f t="shared" si="111"/>
        <v/>
      </c>
      <c r="AD393" s="3" t="str">
        <f t="shared" si="112"/>
        <v>0</v>
      </c>
      <c r="AE393" s="3">
        <f t="shared" si="113"/>
        <v>0</v>
      </c>
      <c r="AF393" s="3">
        <f t="shared" si="114"/>
        <v>0</v>
      </c>
      <c r="AM393" s="3" t="str">
        <f t="shared" si="115"/>
        <v/>
      </c>
      <c r="AN393" s="3" t="str">
        <f t="shared" si="116"/>
        <v/>
      </c>
      <c r="AO393" s="3" t="str">
        <f t="shared" si="117"/>
        <v/>
      </c>
      <c r="AP393" s="3">
        <f t="shared" si="118"/>
        <v>0</v>
      </c>
      <c r="AQ393" s="3">
        <f t="shared" si="119"/>
        <v>0</v>
      </c>
      <c r="AR393" s="3">
        <f t="shared" si="125"/>
        <v>0</v>
      </c>
      <c r="AS393" s="3" t="e">
        <f t="shared" si="126"/>
        <v>#REF!</v>
      </c>
      <c r="AT393" s="3" t="str">
        <f t="shared" si="120"/>
        <v/>
      </c>
      <c r="AU393" s="3">
        <f t="shared" si="121"/>
        <v>0</v>
      </c>
      <c r="AV393" s="3">
        <f t="shared" si="122"/>
        <v>0</v>
      </c>
      <c r="AW393" s="3">
        <v>778</v>
      </c>
      <c r="AX393" s="3" t="e">
        <f>IF(AND(#REF!="N",OR(AW393=$AX$1,AW393=$AX$2,AW393=$AX$3,AW393=$AX$4,AW393=$AY$1,AW393=$AY$2,AW393=$AY$3,AW393=$AY$4)),0,1)</f>
        <v>#REF!</v>
      </c>
    </row>
    <row r="394" spans="2:50" x14ac:dyDescent="0.2">
      <c r="B394" s="4">
        <v>780</v>
      </c>
      <c r="C394" s="208">
        <v>0.6532814824381975</v>
      </c>
      <c r="D394" s="208">
        <v>0.65328148243816919</v>
      </c>
      <c r="E394" s="208">
        <v>0.65328148243818884</v>
      </c>
      <c r="F394" s="209" t="s">
        <v>714</v>
      </c>
      <c r="G394" s="208">
        <v>5.8949089579008007E-16</v>
      </c>
      <c r="H394" s="210">
        <v>8.0575570448393497E-15</v>
      </c>
      <c r="I394" s="208">
        <v>5.2638528110829923E-17</v>
      </c>
      <c r="J394" s="208">
        <v>5.2638528110827643E-17</v>
      </c>
      <c r="K394" s="208">
        <v>5.2638528110829227E-17</v>
      </c>
      <c r="L394" s="208">
        <v>7.0979316556781363E-31</v>
      </c>
      <c r="M394" s="208">
        <v>3.1031363571353116E-30</v>
      </c>
      <c r="N394" s="208">
        <v>2.7285440097649591E-30</v>
      </c>
      <c r="O394" s="3">
        <v>0</v>
      </c>
      <c r="P394" s="3">
        <v>0</v>
      </c>
      <c r="Q394" s="3">
        <v>360</v>
      </c>
      <c r="S394" s="4">
        <v>0</v>
      </c>
      <c r="T394" s="4">
        <v>195</v>
      </c>
      <c r="U394" s="210"/>
      <c r="V394" s="210">
        <v>8.0575570448393497E-15</v>
      </c>
      <c r="W394" s="3">
        <v>0</v>
      </c>
      <c r="X394" s="3">
        <v>0</v>
      </c>
      <c r="Y394" s="3">
        <f t="shared" si="123"/>
        <v>1</v>
      </c>
      <c r="Z394" s="3">
        <f t="shared" si="124"/>
        <v>1</v>
      </c>
      <c r="AA394" s="3" t="str">
        <f t="shared" si="109"/>
        <v/>
      </c>
      <c r="AB394" s="3" t="str">
        <f t="shared" si="110"/>
        <v/>
      </c>
      <c r="AC394" s="3" t="str">
        <f t="shared" si="111"/>
        <v/>
      </c>
      <c r="AD394" s="3" t="str">
        <f t="shared" si="112"/>
        <v>0</v>
      </c>
      <c r="AE394" s="3">
        <f t="shared" si="113"/>
        <v>0</v>
      </c>
      <c r="AF394" s="3">
        <f t="shared" si="114"/>
        <v>0</v>
      </c>
      <c r="AM394" s="3" t="str">
        <f t="shared" si="115"/>
        <v/>
      </c>
      <c r="AN394" s="3" t="str">
        <f t="shared" si="116"/>
        <v/>
      </c>
      <c r="AO394" s="3" t="str">
        <f t="shared" si="117"/>
        <v/>
      </c>
      <c r="AP394" s="3">
        <f t="shared" si="118"/>
        <v>0</v>
      </c>
      <c r="AQ394" s="3">
        <f t="shared" si="119"/>
        <v>0</v>
      </c>
      <c r="AR394" s="3">
        <f t="shared" si="125"/>
        <v>0</v>
      </c>
      <c r="AS394" s="3" t="e">
        <f t="shared" si="126"/>
        <v>#REF!</v>
      </c>
      <c r="AT394" s="3" t="str">
        <f t="shared" si="120"/>
        <v/>
      </c>
      <c r="AU394" s="3">
        <f t="shared" si="121"/>
        <v>0</v>
      </c>
      <c r="AV394" s="3">
        <f t="shared" si="122"/>
        <v>0</v>
      </c>
      <c r="AW394" s="3">
        <v>780</v>
      </c>
      <c r="AX394" s="3" t="e">
        <f>IF(AND(#REF!="N",OR(AW394=$AX$1,AW394=$AX$2,AW394=$AX$3,AW394=$AX$4,AW394=$AY$1,AW394=$AY$2,AW394=$AY$3,AW394=$AY$4)),0,1)</f>
        <v>#REF!</v>
      </c>
    </row>
    <row r="395" spans="2:50" x14ac:dyDescent="0.2">
      <c r="B395" s="4">
        <v>782</v>
      </c>
      <c r="C395" s="208">
        <v>4.4194173824159217E-8</v>
      </c>
      <c r="D395" s="208">
        <v>4.4194173824159217E-8</v>
      </c>
      <c r="E395" s="208">
        <v>4.4194173824159217E-8</v>
      </c>
      <c r="F395" s="209" t="s">
        <v>714</v>
      </c>
      <c r="G395" s="208">
        <v>3.3837899046822839E-17</v>
      </c>
      <c r="H395" s="210">
        <v>4.6251910554422206E-16</v>
      </c>
      <c r="I395" s="208">
        <v>2.0440649747415995E-25</v>
      </c>
      <c r="J395" s="208">
        <v>2.0440649747415995E-25</v>
      </c>
      <c r="K395" s="208">
        <v>2.0440649747415995E-25</v>
      </c>
      <c r="L395" s="208">
        <v>0</v>
      </c>
      <c r="M395" s="208">
        <v>0</v>
      </c>
      <c r="N395" s="208">
        <v>0</v>
      </c>
      <c r="O395" s="3">
        <v>360</v>
      </c>
      <c r="P395" s="3">
        <v>360</v>
      </c>
      <c r="Q395" s="3">
        <v>360</v>
      </c>
      <c r="S395" s="4">
        <v>0</v>
      </c>
      <c r="T395" s="4">
        <v>195.5</v>
      </c>
      <c r="U395" s="210"/>
      <c r="V395" s="210">
        <v>4.6251910554422216E-16</v>
      </c>
      <c r="W395" s="3">
        <v>0</v>
      </c>
      <c r="X395" s="3">
        <v>0</v>
      </c>
      <c r="Y395" s="3">
        <f t="shared" si="123"/>
        <v>1</v>
      </c>
      <c r="Z395" s="3">
        <f t="shared" si="124"/>
        <v>1</v>
      </c>
      <c r="AA395" s="3" t="str">
        <f t="shared" si="109"/>
        <v/>
      </c>
      <c r="AB395" s="3" t="str">
        <f t="shared" si="110"/>
        <v/>
      </c>
      <c r="AC395" s="3" t="str">
        <f t="shared" si="111"/>
        <v/>
      </c>
      <c r="AD395" s="3" t="str">
        <f t="shared" si="112"/>
        <v>0</v>
      </c>
      <c r="AE395" s="3">
        <f t="shared" si="113"/>
        <v>0</v>
      </c>
      <c r="AF395" s="3">
        <f t="shared" si="114"/>
        <v>0</v>
      </c>
      <c r="AM395" s="3" t="str">
        <f t="shared" si="115"/>
        <v/>
      </c>
      <c r="AN395" s="3" t="str">
        <f t="shared" si="116"/>
        <v/>
      </c>
      <c r="AO395" s="3" t="str">
        <f t="shared" si="117"/>
        <v/>
      </c>
      <c r="AP395" s="3">
        <f t="shared" si="118"/>
        <v>0</v>
      </c>
      <c r="AQ395" s="3">
        <f t="shared" si="119"/>
        <v>0</v>
      </c>
      <c r="AR395" s="3">
        <f t="shared" si="125"/>
        <v>0</v>
      </c>
      <c r="AS395" s="3" t="e">
        <f t="shared" si="126"/>
        <v>#REF!</v>
      </c>
      <c r="AT395" s="3" t="str">
        <f t="shared" si="120"/>
        <v/>
      </c>
      <c r="AU395" s="3">
        <f t="shared" si="121"/>
        <v>0</v>
      </c>
      <c r="AV395" s="3">
        <f t="shared" si="122"/>
        <v>0</v>
      </c>
      <c r="AW395" s="3">
        <v>782</v>
      </c>
      <c r="AX395" s="3" t="e">
        <f>IF(AND(#REF!="N",OR(AW395=$AX$1,AW395=$AX$2,AW395=$AX$3,AW395=$AX$4,AW395=$AY$1,AW395=$AY$2,AW395=$AY$3,AW395=$AY$4)),0,1)</f>
        <v>#REF!</v>
      </c>
    </row>
    <row r="396" spans="2:50" x14ac:dyDescent="0.2">
      <c r="B396" s="4">
        <v>784</v>
      </c>
      <c r="C396" s="208">
        <v>4.4194173824159217E-8</v>
      </c>
      <c r="D396" s="208">
        <v>4.4194173824159217E-8</v>
      </c>
      <c r="E396" s="208">
        <v>4.4194173824159217E-8</v>
      </c>
      <c r="F396" s="209" t="s">
        <v>714</v>
      </c>
      <c r="G396" s="208">
        <v>6.4832571227270206E-16</v>
      </c>
      <c r="H396" s="210">
        <v>8.8617507879776619E-15</v>
      </c>
      <c r="I396" s="208">
        <v>3.9163775471026473E-24</v>
      </c>
      <c r="J396" s="208">
        <v>3.9163775471026473E-24</v>
      </c>
      <c r="K396" s="208">
        <v>3.9163775471026473E-24</v>
      </c>
      <c r="L396" s="208">
        <v>0</v>
      </c>
      <c r="M396" s="208">
        <v>0</v>
      </c>
      <c r="N396" s="208">
        <v>0</v>
      </c>
      <c r="O396" s="3">
        <v>360</v>
      </c>
      <c r="P396" s="3">
        <v>360</v>
      </c>
      <c r="Q396" s="3">
        <v>360</v>
      </c>
      <c r="S396" s="4">
        <v>0</v>
      </c>
      <c r="T396" s="4">
        <v>196</v>
      </c>
      <c r="U396" s="210"/>
      <c r="V396" s="210">
        <v>8.8617507879776619E-15</v>
      </c>
      <c r="W396" s="3">
        <v>0</v>
      </c>
      <c r="X396" s="3">
        <v>0</v>
      </c>
      <c r="Y396" s="3">
        <f t="shared" si="123"/>
        <v>1</v>
      </c>
      <c r="Z396" s="3">
        <f t="shared" si="124"/>
        <v>1</v>
      </c>
      <c r="AA396" s="3" t="str">
        <f t="shared" si="109"/>
        <v/>
      </c>
      <c r="AB396" s="3" t="str">
        <f t="shared" si="110"/>
        <v/>
      </c>
      <c r="AC396" s="3" t="str">
        <f t="shared" si="111"/>
        <v/>
      </c>
      <c r="AD396" s="3" t="str">
        <f t="shared" si="112"/>
        <v>0</v>
      </c>
      <c r="AE396" s="3">
        <f t="shared" si="113"/>
        <v>0</v>
      </c>
      <c r="AF396" s="3">
        <f t="shared" si="114"/>
        <v>0</v>
      </c>
      <c r="AM396" s="3" t="str">
        <f t="shared" si="115"/>
        <v/>
      </c>
      <c r="AN396" s="3" t="str">
        <f t="shared" si="116"/>
        <v/>
      </c>
      <c r="AO396" s="3" t="str">
        <f t="shared" si="117"/>
        <v/>
      </c>
      <c r="AP396" s="3">
        <f t="shared" si="118"/>
        <v>0</v>
      </c>
      <c r="AQ396" s="3">
        <f t="shared" si="119"/>
        <v>0</v>
      </c>
      <c r="AR396" s="3">
        <f t="shared" si="125"/>
        <v>0</v>
      </c>
      <c r="AS396" s="3" t="e">
        <f t="shared" si="126"/>
        <v>#REF!</v>
      </c>
      <c r="AT396" s="3" t="str">
        <f t="shared" si="120"/>
        <v/>
      </c>
      <c r="AU396" s="3">
        <f t="shared" si="121"/>
        <v>0</v>
      </c>
      <c r="AV396" s="3">
        <f t="shared" si="122"/>
        <v>0</v>
      </c>
      <c r="AW396" s="3">
        <v>784</v>
      </c>
      <c r="AX396" s="3" t="e">
        <f>IF(AND(#REF!="N",OR(AW396=$AX$1,AW396=$AX$2,AW396=$AX$3,AW396=$AX$4,AW396=$AY$1,AW396=$AY$2,AW396=$AY$3,AW396=$AY$4)),0,1)</f>
        <v>#REF!</v>
      </c>
    </row>
    <row r="397" spans="2:50" x14ac:dyDescent="0.2">
      <c r="B397" s="4">
        <v>786</v>
      </c>
      <c r="C397" s="208">
        <v>4.4194173824159217E-8</v>
      </c>
      <c r="D397" s="208">
        <v>4.4194173824159217E-8</v>
      </c>
      <c r="E397" s="208">
        <v>4.4194173824159217E-8</v>
      </c>
      <c r="F397" s="209" t="s">
        <v>714</v>
      </c>
      <c r="G397" s="208">
        <v>5.2846166449882455E-16</v>
      </c>
      <c r="H397" s="210">
        <v>7.2233685678944947E-15</v>
      </c>
      <c r="I397" s="208">
        <v>3.1923080608549731E-24</v>
      </c>
      <c r="J397" s="208">
        <v>3.1923080608549731E-24</v>
      </c>
      <c r="K397" s="208">
        <v>3.1923080608549731E-24</v>
      </c>
      <c r="L397" s="208">
        <v>0</v>
      </c>
      <c r="M397" s="208">
        <v>0</v>
      </c>
      <c r="N397" s="208">
        <v>0</v>
      </c>
      <c r="O397" s="3">
        <v>360</v>
      </c>
      <c r="P397" s="3">
        <v>360</v>
      </c>
      <c r="Q397" s="3">
        <v>360</v>
      </c>
      <c r="S397" s="4">
        <v>0</v>
      </c>
      <c r="T397" s="4">
        <v>196.5</v>
      </c>
      <c r="U397" s="210"/>
      <c r="V397" s="210">
        <v>7.2233685678944931E-15</v>
      </c>
      <c r="W397" s="3">
        <v>0</v>
      </c>
      <c r="X397" s="3">
        <v>0</v>
      </c>
      <c r="Y397" s="3">
        <f t="shared" si="123"/>
        <v>1</v>
      </c>
      <c r="Z397" s="3">
        <f t="shared" si="124"/>
        <v>1</v>
      </c>
      <c r="AA397" s="3" t="str">
        <f t="shared" si="109"/>
        <v/>
      </c>
      <c r="AB397" s="3" t="str">
        <f t="shared" si="110"/>
        <v/>
      </c>
      <c r="AC397" s="3" t="str">
        <f t="shared" si="111"/>
        <v/>
      </c>
      <c r="AD397" s="3" t="str">
        <f t="shared" si="112"/>
        <v>0</v>
      </c>
      <c r="AE397" s="3">
        <f t="shared" si="113"/>
        <v>0</v>
      </c>
      <c r="AF397" s="3">
        <f t="shared" si="114"/>
        <v>0</v>
      </c>
      <c r="AM397" s="3" t="str">
        <f t="shared" si="115"/>
        <v/>
      </c>
      <c r="AN397" s="3" t="str">
        <f t="shared" si="116"/>
        <v/>
      </c>
      <c r="AO397" s="3" t="str">
        <f t="shared" si="117"/>
        <v/>
      </c>
      <c r="AP397" s="3">
        <f t="shared" si="118"/>
        <v>0</v>
      </c>
      <c r="AQ397" s="3">
        <f t="shared" si="119"/>
        <v>0</v>
      </c>
      <c r="AR397" s="3">
        <f t="shared" si="125"/>
        <v>0</v>
      </c>
      <c r="AS397" s="3" t="e">
        <f t="shared" si="126"/>
        <v>#REF!</v>
      </c>
      <c r="AT397" s="3" t="str">
        <f t="shared" si="120"/>
        <v/>
      </c>
      <c r="AU397" s="3">
        <f t="shared" si="121"/>
        <v>0</v>
      </c>
      <c r="AV397" s="3">
        <f t="shared" si="122"/>
        <v>0</v>
      </c>
      <c r="AW397" s="3">
        <v>786</v>
      </c>
      <c r="AX397" s="3" t="e">
        <f>IF(AND(#REF!="N",OR(AW397=$AX$1,AW397=$AX$2,AW397=$AX$3,AW397=$AX$4,AW397=$AY$1,AW397=$AY$2,AW397=$AY$3,AW397=$AY$4)),0,1)</f>
        <v>#REF!</v>
      </c>
    </row>
    <row r="398" spans="2:50" x14ac:dyDescent="0.2">
      <c r="B398" s="4">
        <v>788</v>
      </c>
      <c r="C398" s="208">
        <v>0.20533495396307255</v>
      </c>
      <c r="D398" s="208">
        <v>0.20533495396306448</v>
      </c>
      <c r="E398" s="208">
        <v>0.20533495396309911</v>
      </c>
      <c r="F398" s="209" t="s">
        <v>714</v>
      </c>
      <c r="G398" s="208">
        <v>7.9626573594568165E-3</v>
      </c>
      <c r="H398" s="210">
        <v>0.10883894282428518</v>
      </c>
      <c r="I398" s="208">
        <v>2.2348439314214081E-4</v>
      </c>
      <c r="J398" s="208">
        <v>2.2348439314213203E-4</v>
      </c>
      <c r="K398" s="208">
        <v>2.2348439314216973E-4</v>
      </c>
      <c r="L398" s="208">
        <v>3.8708632362092219E-4</v>
      </c>
      <c r="M398" s="208">
        <v>3.8708632362087145E-4</v>
      </c>
      <c r="N398" s="208">
        <v>3.8708632362089758E-4</v>
      </c>
      <c r="O398" s="3">
        <v>120</v>
      </c>
      <c r="P398" s="3">
        <v>120</v>
      </c>
      <c r="Q398" s="3">
        <v>120</v>
      </c>
      <c r="R398" s="4" t="s">
        <v>172</v>
      </c>
      <c r="S398" s="4" t="s">
        <v>172</v>
      </c>
      <c r="T398" s="4">
        <v>197</v>
      </c>
      <c r="U398" s="210"/>
      <c r="V398" s="210">
        <v>0.10883894282428516</v>
      </c>
      <c r="W398" s="3">
        <v>0.10883894282428545</v>
      </c>
      <c r="X398" s="3">
        <v>0</v>
      </c>
      <c r="Y398" s="3">
        <f t="shared" si="123"/>
        <v>1</v>
      </c>
      <c r="Z398" s="3">
        <f t="shared" si="124"/>
        <v>1</v>
      </c>
      <c r="AA398" s="3">
        <f t="shared" si="109"/>
        <v>0.13791844010203219</v>
      </c>
      <c r="AB398" s="3">
        <f t="shared" si="110"/>
        <v>6.8959220051016096E-2</v>
      </c>
      <c r="AC398" s="3">
        <f t="shared" si="111"/>
        <v>1.7768873212661006E-5</v>
      </c>
      <c r="AD398" s="3" t="str">
        <f t="shared" si="112"/>
        <v>1.83122901879148E-09+0.0000177679573622232i</v>
      </c>
      <c r="AE398" s="3">
        <f t="shared" si="113"/>
        <v>1.8312290187914801E-9</v>
      </c>
      <c r="AF398" s="3">
        <f t="shared" si="114"/>
        <v>1.77679573622232E-5</v>
      </c>
      <c r="AM398" s="3" t="str">
        <f t="shared" si="115"/>
        <v>-0.0000012253276379305+2.45065527586099E-06i</v>
      </c>
      <c r="AN398" s="3" t="str">
        <f t="shared" si="116"/>
        <v>0.137918440102032+0.0689769889242288i</v>
      </c>
      <c r="AO398" s="3" t="str">
        <f t="shared" si="117"/>
        <v>1.83122901879148E-09+0.0000177679573622232i</v>
      </c>
      <c r="AP398" s="3">
        <f t="shared" si="118"/>
        <v>1.8312290187914801E-9</v>
      </c>
      <c r="AQ398" s="3">
        <f t="shared" si="119"/>
        <v>1.77679573622232E-5</v>
      </c>
      <c r="AR398" s="3">
        <f t="shared" si="125"/>
        <v>-0.7973585415202521</v>
      </c>
      <c r="AS398" s="3" t="e">
        <f t="shared" si="126"/>
        <v>#REF!</v>
      </c>
      <c r="AT398" s="3" t="e">
        <f t="shared" si="120"/>
        <v>#REF!</v>
      </c>
      <c r="AU398" s="3" t="e">
        <f t="shared" si="121"/>
        <v>#REF!</v>
      </c>
      <c r="AV398" s="3" t="e">
        <f t="shared" si="122"/>
        <v>#REF!</v>
      </c>
      <c r="AW398" s="3">
        <v>788</v>
      </c>
      <c r="AX398" s="3" t="e">
        <f>IF(AND(#REF!="N",OR(AW398=$AX$1,AW398=$AX$2,AW398=$AX$3,AW398=$AX$4,AW398=$AY$1,AW398=$AY$2,AW398=$AY$3,AW398=$AY$4)),0,1)</f>
        <v>#REF!</v>
      </c>
    </row>
    <row r="399" spans="2:50" x14ac:dyDescent="0.2">
      <c r="B399" s="4">
        <v>790</v>
      </c>
      <c r="C399" s="208">
        <v>4.4194173824159217E-8</v>
      </c>
      <c r="D399" s="208">
        <v>4.4194173824159217E-8</v>
      </c>
      <c r="E399" s="208">
        <v>4.4194173824159217E-8</v>
      </c>
      <c r="F399" s="209" t="s">
        <v>714</v>
      </c>
      <c r="G399" s="208">
        <v>4.0851485207994298E-16</v>
      </c>
      <c r="H399" s="210">
        <v>5.5838550651177699E-15</v>
      </c>
      <c r="I399" s="208">
        <v>2.467738613567266E-24</v>
      </c>
      <c r="J399" s="208">
        <v>2.467738613567266E-24</v>
      </c>
      <c r="K399" s="208">
        <v>2.467738613567266E-24</v>
      </c>
      <c r="L399" s="208">
        <v>0</v>
      </c>
      <c r="M399" s="208">
        <v>0</v>
      </c>
      <c r="N399" s="208">
        <v>0</v>
      </c>
      <c r="O399" s="3">
        <v>360</v>
      </c>
      <c r="P399" s="3">
        <v>360</v>
      </c>
      <c r="Q399" s="3">
        <v>360</v>
      </c>
      <c r="S399" s="4">
        <v>0</v>
      </c>
      <c r="T399" s="4">
        <v>197.5</v>
      </c>
      <c r="U399" s="210"/>
      <c r="V399" s="210">
        <v>5.5838550651177691E-15</v>
      </c>
      <c r="W399" s="3">
        <v>0</v>
      </c>
      <c r="X399" s="3">
        <v>0</v>
      </c>
      <c r="Y399" s="3">
        <f t="shared" si="123"/>
        <v>1</v>
      </c>
      <c r="Z399" s="3">
        <f t="shared" si="124"/>
        <v>1</v>
      </c>
      <c r="AA399" s="3" t="str">
        <f t="shared" si="109"/>
        <v/>
      </c>
      <c r="AB399" s="3" t="str">
        <f t="shared" si="110"/>
        <v/>
      </c>
      <c r="AC399" s="3" t="str">
        <f t="shared" si="111"/>
        <v/>
      </c>
      <c r="AD399" s="3" t="str">
        <f t="shared" si="112"/>
        <v>0</v>
      </c>
      <c r="AE399" s="3">
        <f t="shared" si="113"/>
        <v>0</v>
      </c>
      <c r="AF399" s="3">
        <f t="shared" si="114"/>
        <v>0</v>
      </c>
      <c r="AM399" s="3" t="str">
        <f t="shared" si="115"/>
        <v/>
      </c>
      <c r="AN399" s="3" t="str">
        <f t="shared" si="116"/>
        <v/>
      </c>
      <c r="AO399" s="3" t="str">
        <f t="shared" si="117"/>
        <v/>
      </c>
      <c r="AP399" s="3">
        <f t="shared" si="118"/>
        <v>0</v>
      </c>
      <c r="AQ399" s="3">
        <f t="shared" si="119"/>
        <v>0</v>
      </c>
      <c r="AR399" s="3">
        <f t="shared" si="125"/>
        <v>0</v>
      </c>
      <c r="AS399" s="3" t="e">
        <f t="shared" si="126"/>
        <v>#REF!</v>
      </c>
      <c r="AT399" s="3" t="str">
        <f t="shared" si="120"/>
        <v/>
      </c>
      <c r="AU399" s="3">
        <f t="shared" si="121"/>
        <v>0</v>
      </c>
      <c r="AV399" s="3">
        <f t="shared" si="122"/>
        <v>0</v>
      </c>
      <c r="AW399" s="3">
        <v>790</v>
      </c>
      <c r="AX399" s="3" t="e">
        <f>IF(AND(#REF!="N",OR(AW399=$AX$1,AW399=$AX$2,AW399=$AX$3,AW399=$AX$4,AW399=$AY$1,AW399=$AY$2,AW399=$AY$3,AW399=$AY$4)),0,1)</f>
        <v>#REF!</v>
      </c>
    </row>
    <row r="400" spans="2:50" x14ac:dyDescent="0.2">
      <c r="B400" s="4">
        <v>792</v>
      </c>
      <c r="C400" s="208">
        <v>4.4194173824159217E-8</v>
      </c>
      <c r="D400" s="208">
        <v>4.4194173824159217E-8</v>
      </c>
      <c r="E400" s="208">
        <v>4.4194173824159217E-8</v>
      </c>
      <c r="F400" s="209" t="s">
        <v>714</v>
      </c>
      <c r="G400" s="208">
        <v>1.1492151445568757E-17</v>
      </c>
      <c r="H400" s="210">
        <v>1.5708243588138128E-16</v>
      </c>
      <c r="I400" s="208">
        <v>6.9421284760641092E-26</v>
      </c>
      <c r="J400" s="208">
        <v>6.9421284760641092E-26</v>
      </c>
      <c r="K400" s="208">
        <v>6.9421284760641092E-26</v>
      </c>
      <c r="L400" s="208">
        <v>0</v>
      </c>
      <c r="M400" s="208">
        <v>0</v>
      </c>
      <c r="N400" s="208">
        <v>0</v>
      </c>
      <c r="O400" s="3">
        <v>360</v>
      </c>
      <c r="P400" s="3">
        <v>360</v>
      </c>
      <c r="Q400" s="3">
        <v>360</v>
      </c>
      <c r="S400" s="4">
        <v>0</v>
      </c>
      <c r="T400" s="4">
        <v>198</v>
      </c>
      <c r="U400" s="210"/>
      <c r="V400" s="210">
        <v>1.5708243588138126E-16</v>
      </c>
      <c r="W400" s="3">
        <v>0</v>
      </c>
      <c r="X400" s="3">
        <v>0</v>
      </c>
      <c r="Y400" s="3">
        <f t="shared" si="123"/>
        <v>1</v>
      </c>
      <c r="Z400" s="3">
        <f t="shared" si="124"/>
        <v>1</v>
      </c>
      <c r="AA400" s="3" t="str">
        <f t="shared" si="109"/>
        <v/>
      </c>
      <c r="AB400" s="3" t="str">
        <f t="shared" si="110"/>
        <v/>
      </c>
      <c r="AC400" s="3" t="str">
        <f t="shared" si="111"/>
        <v/>
      </c>
      <c r="AD400" s="3" t="str">
        <f t="shared" si="112"/>
        <v>0</v>
      </c>
      <c r="AE400" s="3">
        <f t="shared" si="113"/>
        <v>0</v>
      </c>
      <c r="AF400" s="3">
        <f t="shared" si="114"/>
        <v>0</v>
      </c>
      <c r="AM400" s="3" t="str">
        <f t="shared" si="115"/>
        <v/>
      </c>
      <c r="AN400" s="3" t="str">
        <f t="shared" si="116"/>
        <v/>
      </c>
      <c r="AO400" s="3" t="str">
        <f t="shared" si="117"/>
        <v/>
      </c>
      <c r="AP400" s="3">
        <f t="shared" si="118"/>
        <v>0</v>
      </c>
      <c r="AQ400" s="3">
        <f t="shared" si="119"/>
        <v>0</v>
      </c>
      <c r="AR400" s="3">
        <f t="shared" si="125"/>
        <v>0</v>
      </c>
      <c r="AS400" s="3" t="e">
        <f t="shared" si="126"/>
        <v>#REF!</v>
      </c>
      <c r="AT400" s="3" t="str">
        <f t="shared" si="120"/>
        <v/>
      </c>
      <c r="AU400" s="3">
        <f t="shared" si="121"/>
        <v>0</v>
      </c>
      <c r="AV400" s="3">
        <f t="shared" si="122"/>
        <v>0</v>
      </c>
      <c r="AW400" s="3">
        <v>792</v>
      </c>
      <c r="AX400" s="3" t="e">
        <f>IF(AND(#REF!="N",OR(AW400=$AX$1,AW400=$AX$2,AW400=$AX$3,AW400=$AX$4,AW400=$AY$1,AW400=$AY$2,AW400=$AY$3,AW400=$AY$4)),0,1)</f>
        <v>#REF!</v>
      </c>
    </row>
    <row r="401" spans="2:50" x14ac:dyDescent="0.2">
      <c r="B401" s="4">
        <v>794</v>
      </c>
      <c r="C401" s="208">
        <v>4.4194173824159217E-8</v>
      </c>
      <c r="D401" s="208">
        <v>4.4194173824159217E-8</v>
      </c>
      <c r="E401" s="208">
        <v>4.4194173824159217E-8</v>
      </c>
      <c r="F401" s="209" t="s">
        <v>714</v>
      </c>
      <c r="G401" s="208">
        <v>6.0023068815678702E-16</v>
      </c>
      <c r="H401" s="210">
        <v>8.2043557320836868E-15</v>
      </c>
      <c r="I401" s="208">
        <v>3.6258472333894348E-24</v>
      </c>
      <c r="J401" s="208">
        <v>3.6258472333894348E-24</v>
      </c>
      <c r="K401" s="208">
        <v>3.6258472333894348E-24</v>
      </c>
      <c r="L401" s="208">
        <v>0</v>
      </c>
      <c r="M401" s="208">
        <v>0</v>
      </c>
      <c r="N401" s="208">
        <v>0</v>
      </c>
      <c r="O401" s="3">
        <v>360</v>
      </c>
      <c r="P401" s="3">
        <v>360</v>
      </c>
      <c r="Q401" s="3">
        <v>360</v>
      </c>
      <c r="S401" s="4">
        <v>0</v>
      </c>
      <c r="T401" s="4">
        <v>198.5</v>
      </c>
      <c r="U401" s="210"/>
      <c r="V401" s="210">
        <v>8.2043557320836868E-15</v>
      </c>
      <c r="W401" s="3">
        <v>0</v>
      </c>
      <c r="X401" s="3">
        <v>0</v>
      </c>
      <c r="Y401" s="3">
        <f t="shared" si="123"/>
        <v>1</v>
      </c>
      <c r="Z401" s="3">
        <f t="shared" si="124"/>
        <v>1</v>
      </c>
      <c r="AA401" s="3" t="str">
        <f t="shared" si="109"/>
        <v/>
      </c>
      <c r="AB401" s="3" t="str">
        <f t="shared" si="110"/>
        <v/>
      </c>
      <c r="AC401" s="3" t="str">
        <f t="shared" si="111"/>
        <v/>
      </c>
      <c r="AD401" s="3" t="str">
        <f t="shared" si="112"/>
        <v>0</v>
      </c>
      <c r="AE401" s="3">
        <f t="shared" si="113"/>
        <v>0</v>
      </c>
      <c r="AF401" s="3">
        <f t="shared" si="114"/>
        <v>0</v>
      </c>
      <c r="AM401" s="3" t="str">
        <f t="shared" si="115"/>
        <v/>
      </c>
      <c r="AN401" s="3" t="str">
        <f t="shared" si="116"/>
        <v/>
      </c>
      <c r="AO401" s="3" t="str">
        <f t="shared" si="117"/>
        <v/>
      </c>
      <c r="AP401" s="3">
        <f t="shared" si="118"/>
        <v>0</v>
      </c>
      <c r="AQ401" s="3">
        <f t="shared" si="119"/>
        <v>0</v>
      </c>
      <c r="AR401" s="3">
        <f t="shared" si="125"/>
        <v>0</v>
      </c>
      <c r="AS401" s="3" t="e">
        <f t="shared" si="126"/>
        <v>#REF!</v>
      </c>
      <c r="AT401" s="3" t="str">
        <f t="shared" si="120"/>
        <v/>
      </c>
      <c r="AU401" s="3">
        <f t="shared" si="121"/>
        <v>0</v>
      </c>
      <c r="AV401" s="3">
        <f t="shared" si="122"/>
        <v>0</v>
      </c>
      <c r="AW401" s="3">
        <v>794</v>
      </c>
      <c r="AX401" s="3" t="e">
        <f>IF(AND(#REF!="N",OR(AW401=$AX$1,AW401=$AX$2,AW401=$AX$3,AW401=$AX$4,AW401=$AY$1,AW401=$AY$2,AW401=$AY$3,AW401=$AY$4)),0,1)</f>
        <v>#REF!</v>
      </c>
    </row>
    <row r="402" spans="2:50" x14ac:dyDescent="0.2">
      <c r="B402" s="4">
        <v>796</v>
      </c>
      <c r="C402" s="208">
        <v>0.15755905175129617</v>
      </c>
      <c r="D402" s="208">
        <v>0.15755905175129234</v>
      </c>
      <c r="E402" s="208">
        <v>0.15755905175128493</v>
      </c>
      <c r="F402" s="209" t="s">
        <v>714</v>
      </c>
      <c r="G402" s="208">
        <v>6.0485552358007285E-3</v>
      </c>
      <c r="H402" s="210">
        <v>8.267571085386427E-2</v>
      </c>
      <c r="I402" s="208">
        <v>1.3026306604999198E-4</v>
      </c>
      <c r="J402" s="208">
        <v>1.3026306604998881E-4</v>
      </c>
      <c r="K402" s="208">
        <v>1.3026306604998269E-4</v>
      </c>
      <c r="L402" s="208">
        <v>2.2562224874828182E-4</v>
      </c>
      <c r="M402" s="208">
        <v>2.2562224874828407E-4</v>
      </c>
      <c r="N402" s="208">
        <v>2.2562224874827236E-4</v>
      </c>
      <c r="O402" s="3">
        <v>240</v>
      </c>
      <c r="P402" s="3">
        <v>240</v>
      </c>
      <c r="Q402" s="3">
        <v>240</v>
      </c>
      <c r="R402" s="4" t="s">
        <v>168</v>
      </c>
      <c r="S402" s="4" t="s">
        <v>168</v>
      </c>
      <c r="T402" s="4">
        <v>199</v>
      </c>
      <c r="U402" s="210"/>
      <c r="V402" s="210">
        <v>8.267571085386427E-2</v>
      </c>
      <c r="W402" s="3">
        <v>0</v>
      </c>
      <c r="X402" s="3">
        <v>8.2675710853861578E-2</v>
      </c>
      <c r="Y402" s="3">
        <f t="shared" si="123"/>
        <v>1</v>
      </c>
      <c r="Z402" s="3">
        <f t="shared" si="124"/>
        <v>1</v>
      </c>
      <c r="AA402" s="3">
        <f t="shared" si="109"/>
        <v>8.1205095784427833E-2</v>
      </c>
      <c r="AB402" s="3">
        <f t="shared" si="110"/>
        <v>4.0602547892213917E-2</v>
      </c>
      <c r="AC402" s="3">
        <f t="shared" si="111"/>
        <v>1.0252909747787661E-5</v>
      </c>
      <c r="AD402" s="3" t="str">
        <f t="shared" si="112"/>
        <v>1.03551668900936E-09+0.0000102523918586994i</v>
      </c>
      <c r="AE402" s="3">
        <f t="shared" si="113"/>
        <v>1.0355166890093599E-9</v>
      </c>
      <c r="AF402" s="3">
        <f t="shared" si="114"/>
        <v>1.02523918586994E-5</v>
      </c>
      <c r="AM402" s="3" t="str">
        <f t="shared" si="115"/>
        <v>-4.16294259069097E-07+8.32588518138194E-07i</v>
      </c>
      <c r="AN402" s="3" t="str">
        <f t="shared" si="116"/>
        <v>0.0812050957844278+0.0406128008019617i</v>
      </c>
      <c r="AO402" s="3" t="str">
        <f t="shared" si="117"/>
        <v>1.03551668900936E-09+0.0000102523918586994i</v>
      </c>
      <c r="AP402" s="3">
        <f t="shared" si="118"/>
        <v>1.0355166890093599E-9</v>
      </c>
      <c r="AQ402" s="3">
        <f t="shared" si="119"/>
        <v>1.02523918586994E-5</v>
      </c>
      <c r="AR402" s="3">
        <f t="shared" si="125"/>
        <v>0.78934488783663148</v>
      </c>
      <c r="AS402" s="3" t="e">
        <f t="shared" si="126"/>
        <v>#REF!</v>
      </c>
      <c r="AT402" s="3" t="e">
        <f t="shared" si="120"/>
        <v>#REF!</v>
      </c>
      <c r="AU402" s="3" t="e">
        <f t="shared" si="121"/>
        <v>#REF!</v>
      </c>
      <c r="AV402" s="3" t="e">
        <f t="shared" si="122"/>
        <v>#REF!</v>
      </c>
      <c r="AW402" s="3">
        <v>796</v>
      </c>
      <c r="AX402" s="3" t="e">
        <f>IF(AND(#REF!="N",OR(AW402=$AX$1,AW402=$AX$2,AW402=$AX$3,AW402=$AX$4,AW402=$AY$1,AW402=$AY$2,AW402=$AY$3,AW402=$AY$4)),0,1)</f>
        <v>#REF!</v>
      </c>
    </row>
    <row r="403" spans="2:50" x14ac:dyDescent="0.2">
      <c r="B403" s="4">
        <v>798</v>
      </c>
      <c r="C403" s="208">
        <v>4.4194173824159217E-8</v>
      </c>
      <c r="D403" s="208">
        <v>4.4194173824159217E-8</v>
      </c>
      <c r="E403" s="208">
        <v>4.4194173824159217E-8</v>
      </c>
      <c r="F403" s="209" t="s">
        <v>714</v>
      </c>
      <c r="G403" s="208">
        <v>6.4853950163949305E-16</v>
      </c>
      <c r="H403" s="210">
        <v>8.8646730044712518E-15</v>
      </c>
      <c r="I403" s="208">
        <v>3.9176689965393422E-24</v>
      </c>
      <c r="J403" s="208">
        <v>3.9176689965393422E-24</v>
      </c>
      <c r="K403" s="208">
        <v>3.9176689965393422E-24</v>
      </c>
      <c r="L403" s="208">
        <v>0</v>
      </c>
      <c r="M403" s="208">
        <v>0</v>
      </c>
      <c r="N403" s="208">
        <v>0</v>
      </c>
      <c r="O403" s="3">
        <v>360</v>
      </c>
      <c r="P403" s="3">
        <v>360</v>
      </c>
      <c r="Q403" s="3">
        <v>360</v>
      </c>
      <c r="S403" s="4">
        <v>0</v>
      </c>
      <c r="T403" s="4">
        <v>199.5</v>
      </c>
      <c r="U403" s="210"/>
      <c r="V403" s="210">
        <v>8.8646730044712518E-15</v>
      </c>
      <c r="W403" s="3">
        <v>0</v>
      </c>
      <c r="X403" s="3">
        <v>0</v>
      </c>
      <c r="Y403" s="3">
        <f t="shared" si="123"/>
        <v>1</v>
      </c>
      <c r="Z403" s="3">
        <f t="shared" si="124"/>
        <v>1</v>
      </c>
      <c r="AA403" s="3" t="str">
        <f t="shared" si="109"/>
        <v/>
      </c>
      <c r="AB403" s="3" t="str">
        <f t="shared" si="110"/>
        <v/>
      </c>
      <c r="AC403" s="3" t="str">
        <f t="shared" si="111"/>
        <v/>
      </c>
      <c r="AD403" s="3" t="str">
        <f t="shared" si="112"/>
        <v>0</v>
      </c>
      <c r="AE403" s="3">
        <f t="shared" si="113"/>
        <v>0</v>
      </c>
      <c r="AF403" s="3">
        <f t="shared" si="114"/>
        <v>0</v>
      </c>
      <c r="AM403" s="3" t="str">
        <f t="shared" si="115"/>
        <v/>
      </c>
      <c r="AN403" s="3" t="str">
        <f t="shared" si="116"/>
        <v/>
      </c>
      <c r="AO403" s="3" t="str">
        <f t="shared" si="117"/>
        <v/>
      </c>
      <c r="AP403" s="3">
        <f t="shared" si="118"/>
        <v>0</v>
      </c>
      <c r="AQ403" s="3">
        <f t="shared" si="119"/>
        <v>0</v>
      </c>
      <c r="AR403" s="3">
        <f t="shared" si="125"/>
        <v>0</v>
      </c>
      <c r="AS403" s="3" t="e">
        <f t="shared" si="126"/>
        <v>#REF!</v>
      </c>
      <c r="AT403" s="3" t="str">
        <f t="shared" si="120"/>
        <v/>
      </c>
      <c r="AU403" s="3">
        <f t="shared" si="121"/>
        <v>0</v>
      </c>
      <c r="AV403" s="3">
        <f t="shared" si="122"/>
        <v>0</v>
      </c>
      <c r="AW403" s="3">
        <v>798</v>
      </c>
      <c r="AX403" s="3" t="e">
        <f>IF(AND(#REF!="N",OR(AW403=$AX$1,AW403=$AX$2,AW403=$AX$3,AW403=$AX$4,AW403=$AY$1,AW403=$AY$2,AW403=$AY$3,AW403=$AY$4)),0,1)</f>
        <v>#REF!</v>
      </c>
    </row>
    <row r="404" spans="2:50" x14ac:dyDescent="0.2">
      <c r="B404" s="4">
        <v>800</v>
      </c>
      <c r="C404" s="208">
        <v>4.4194173824159217E-8</v>
      </c>
      <c r="D404" s="208">
        <v>4.4194173824159217E-8</v>
      </c>
      <c r="E404" s="208">
        <v>4.4194173824159217E-8</v>
      </c>
      <c r="F404" s="209" t="s">
        <v>714</v>
      </c>
      <c r="G404" s="208">
        <v>5.7354719425550259E-16</v>
      </c>
      <c r="H404" s="210">
        <v>7.8396278358588293E-15</v>
      </c>
      <c r="I404" s="208">
        <v>3.464658752946622E-24</v>
      </c>
      <c r="J404" s="208">
        <v>3.464658752946622E-24</v>
      </c>
      <c r="K404" s="208">
        <v>3.464658752946622E-24</v>
      </c>
      <c r="L404" s="208">
        <v>0</v>
      </c>
      <c r="M404" s="208">
        <v>0</v>
      </c>
      <c r="N404" s="208">
        <v>0</v>
      </c>
      <c r="O404" s="3">
        <v>360</v>
      </c>
      <c r="P404" s="3">
        <v>360</v>
      </c>
      <c r="Q404" s="3">
        <v>360</v>
      </c>
      <c r="S404" s="4">
        <v>0</v>
      </c>
      <c r="T404" s="4">
        <v>200</v>
      </c>
      <c r="U404" s="210"/>
      <c r="V404" s="210">
        <v>7.8396278358588293E-15</v>
      </c>
      <c r="W404" s="3">
        <v>0</v>
      </c>
      <c r="X404" s="3">
        <v>0</v>
      </c>
      <c r="Y404" s="3">
        <f t="shared" si="123"/>
        <v>1</v>
      </c>
      <c r="Z404" s="3">
        <f t="shared" si="124"/>
        <v>1</v>
      </c>
      <c r="AA404" s="3" t="str">
        <f t="shared" si="109"/>
        <v/>
      </c>
      <c r="AB404" s="3" t="str">
        <f t="shared" si="110"/>
        <v/>
      </c>
      <c r="AC404" s="3" t="str">
        <f t="shared" si="111"/>
        <v/>
      </c>
      <c r="AD404" s="3" t="str">
        <f t="shared" si="112"/>
        <v>0</v>
      </c>
      <c r="AE404" s="3">
        <f t="shared" si="113"/>
        <v>0</v>
      </c>
      <c r="AF404" s="3">
        <f t="shared" si="114"/>
        <v>0</v>
      </c>
      <c r="AM404" s="3" t="str">
        <f t="shared" si="115"/>
        <v/>
      </c>
      <c r="AN404" s="3" t="str">
        <f t="shared" si="116"/>
        <v/>
      </c>
      <c r="AO404" s="3" t="str">
        <f t="shared" si="117"/>
        <v/>
      </c>
      <c r="AP404" s="3">
        <f t="shared" si="118"/>
        <v>0</v>
      </c>
      <c r="AQ404" s="3">
        <f t="shared" si="119"/>
        <v>0</v>
      </c>
      <c r="AR404" s="3">
        <f t="shared" si="125"/>
        <v>0</v>
      </c>
      <c r="AS404" s="3" t="e">
        <f t="shared" si="126"/>
        <v>#REF!</v>
      </c>
      <c r="AT404" s="3" t="str">
        <f t="shared" si="120"/>
        <v/>
      </c>
      <c r="AU404" s="3">
        <f t="shared" si="121"/>
        <v>0</v>
      </c>
      <c r="AV404" s="3">
        <f t="shared" si="122"/>
        <v>0</v>
      </c>
      <c r="AW404" s="3">
        <v>800</v>
      </c>
      <c r="AX404" s="3" t="e">
        <f>IF(AND(#REF!="N",OR(AW404=$AX$1,AW404=$AX$2,AW404=$AX$3,AW404=$AX$4,AW404=$AY$1,AW404=$AY$2,AW404=$AY$3,AW404=$AY$4)),0,1)</f>
        <v>#REF!</v>
      </c>
    </row>
    <row r="405" spans="2:50" x14ac:dyDescent="0.2">
      <c r="C405" s="208"/>
      <c r="D405" s="208"/>
      <c r="E405" s="208"/>
      <c r="G405" s="208"/>
      <c r="H405" s="210"/>
      <c r="I405" s="208"/>
      <c r="J405" s="208"/>
      <c r="K405" s="208"/>
      <c r="L405" s="208"/>
      <c r="M405" s="208"/>
      <c r="N405" s="208"/>
      <c r="U405" s="210"/>
      <c r="V405" s="210"/>
    </row>
    <row r="406" spans="2:50" x14ac:dyDescent="0.2">
      <c r="C406" s="208"/>
      <c r="D406" s="208"/>
      <c r="E406" s="208"/>
      <c r="G406" s="208"/>
      <c r="H406" s="210"/>
      <c r="I406" s="208"/>
      <c r="J406" s="208"/>
      <c r="K406" s="208"/>
      <c r="L406" s="208"/>
      <c r="M406" s="208"/>
      <c r="N406" s="208"/>
      <c r="U406" s="210"/>
      <c r="V406" s="210"/>
    </row>
    <row r="407" spans="2:50" x14ac:dyDescent="0.2">
      <c r="C407" s="208"/>
      <c r="D407" s="208"/>
      <c r="E407" s="208"/>
      <c r="G407" s="208"/>
      <c r="H407" s="210"/>
      <c r="I407" s="208"/>
      <c r="J407" s="208"/>
      <c r="K407" s="208"/>
      <c r="L407" s="208"/>
      <c r="M407" s="208"/>
      <c r="N407" s="208"/>
      <c r="U407" s="210"/>
      <c r="V407" s="210"/>
    </row>
    <row r="408" spans="2:50" x14ac:dyDescent="0.2">
      <c r="C408" s="208"/>
      <c r="D408" s="208"/>
      <c r="E408" s="208"/>
      <c r="G408" s="208"/>
      <c r="H408" s="210"/>
      <c r="I408" s="208"/>
      <c r="J408" s="208"/>
      <c r="K408" s="208"/>
      <c r="L408" s="208"/>
      <c r="M408" s="208"/>
      <c r="N408" s="208"/>
      <c r="U408" s="210"/>
      <c r="V408" s="210"/>
    </row>
    <row r="409" spans="2:50" x14ac:dyDescent="0.2">
      <c r="C409" s="208"/>
      <c r="D409" s="208"/>
      <c r="E409" s="208"/>
      <c r="G409" s="208"/>
      <c r="H409" s="210"/>
      <c r="I409" s="208"/>
      <c r="J409" s="208"/>
      <c r="K409" s="208"/>
      <c r="L409" s="208"/>
      <c r="M409" s="208"/>
      <c r="N409" s="208"/>
      <c r="U409" s="210"/>
      <c r="V409" s="210"/>
    </row>
    <row r="410" spans="2:50" x14ac:dyDescent="0.2">
      <c r="C410" s="208"/>
      <c r="D410" s="208"/>
      <c r="E410" s="208"/>
      <c r="G410" s="208"/>
      <c r="H410" s="210"/>
      <c r="I410" s="208"/>
      <c r="J410" s="208"/>
      <c r="K410" s="208"/>
      <c r="L410" s="208"/>
      <c r="M410" s="208"/>
      <c r="N410" s="208"/>
      <c r="U410" s="210"/>
      <c r="V410" s="210"/>
    </row>
    <row r="411" spans="2:50" x14ac:dyDescent="0.2">
      <c r="C411" s="208"/>
      <c r="D411" s="208"/>
      <c r="E411" s="208"/>
      <c r="G411" s="208"/>
      <c r="H411" s="210"/>
      <c r="I411" s="208"/>
      <c r="J411" s="208"/>
      <c r="K411" s="208"/>
      <c r="L411" s="208"/>
      <c r="M411" s="208"/>
      <c r="N411" s="208"/>
      <c r="U411" s="210"/>
      <c r="V411" s="210"/>
    </row>
    <row r="412" spans="2:50" x14ac:dyDescent="0.2">
      <c r="C412" s="208"/>
      <c r="D412" s="208"/>
      <c r="E412" s="208"/>
      <c r="G412" s="208"/>
      <c r="H412" s="210"/>
      <c r="I412" s="208"/>
      <c r="J412" s="208"/>
      <c r="K412" s="208"/>
      <c r="L412" s="208"/>
      <c r="M412" s="208"/>
      <c r="N412" s="208"/>
      <c r="U412" s="210"/>
      <c r="V412" s="210"/>
    </row>
    <row r="413" spans="2:50" x14ac:dyDescent="0.2">
      <c r="C413" s="208"/>
      <c r="D413" s="208"/>
      <c r="E413" s="208"/>
      <c r="G413" s="208"/>
      <c r="H413" s="210"/>
      <c r="I413" s="208"/>
      <c r="J413" s="208"/>
      <c r="K413" s="208"/>
      <c r="L413" s="208"/>
      <c r="M413" s="208"/>
      <c r="N413" s="208"/>
      <c r="U413" s="210"/>
      <c r="V413" s="210"/>
    </row>
    <row r="414" spans="2:50" x14ac:dyDescent="0.2">
      <c r="C414" s="208"/>
      <c r="D414" s="208"/>
      <c r="E414" s="208"/>
      <c r="G414" s="208"/>
      <c r="H414" s="210"/>
      <c r="I414" s="208"/>
      <c r="J414" s="208"/>
      <c r="K414" s="208"/>
      <c r="L414" s="208"/>
      <c r="M414" s="208"/>
      <c r="N414" s="208"/>
      <c r="U414" s="210"/>
      <c r="V414" s="210"/>
    </row>
    <row r="415" spans="2:50" x14ac:dyDescent="0.2">
      <c r="C415" s="208"/>
      <c r="D415" s="208"/>
      <c r="E415" s="208"/>
      <c r="G415" s="208"/>
      <c r="H415" s="210"/>
      <c r="I415" s="208"/>
      <c r="J415" s="208"/>
      <c r="K415" s="208"/>
      <c r="L415" s="208"/>
      <c r="M415" s="208"/>
      <c r="N415" s="208"/>
      <c r="U415" s="210"/>
      <c r="V415" s="210"/>
    </row>
    <row r="416" spans="2:50" x14ac:dyDescent="0.2">
      <c r="C416" s="208"/>
      <c r="D416" s="208"/>
      <c r="E416" s="208"/>
      <c r="G416" s="208"/>
      <c r="H416" s="210"/>
      <c r="I416" s="208"/>
      <c r="J416" s="208"/>
      <c r="K416" s="208"/>
      <c r="L416" s="208"/>
      <c r="M416" s="208"/>
      <c r="N416" s="208"/>
      <c r="U416" s="210"/>
      <c r="V416" s="210"/>
    </row>
    <row r="417" spans="3:22" x14ac:dyDescent="0.2">
      <c r="C417" s="208"/>
      <c r="D417" s="208"/>
      <c r="E417" s="208"/>
      <c r="G417" s="208"/>
      <c r="H417" s="210"/>
      <c r="I417" s="208"/>
      <c r="J417" s="208"/>
      <c r="K417" s="208"/>
      <c r="L417" s="208"/>
      <c r="M417" s="208"/>
      <c r="N417" s="208"/>
      <c r="U417" s="210"/>
      <c r="V417" s="210"/>
    </row>
    <row r="418" spans="3:22" x14ac:dyDescent="0.2">
      <c r="C418" s="208"/>
      <c r="D418" s="208"/>
      <c r="E418" s="208"/>
      <c r="G418" s="208"/>
      <c r="H418" s="210"/>
      <c r="I418" s="208"/>
      <c r="J418" s="208"/>
      <c r="K418" s="208"/>
      <c r="L418" s="208"/>
      <c r="M418" s="208"/>
      <c r="N418" s="208"/>
      <c r="U418" s="210"/>
      <c r="V418" s="210"/>
    </row>
    <row r="419" spans="3:22" x14ac:dyDescent="0.2">
      <c r="C419" s="208"/>
      <c r="D419" s="208"/>
      <c r="E419" s="208"/>
      <c r="G419" s="208"/>
      <c r="H419" s="210"/>
      <c r="I419" s="208"/>
      <c r="J419" s="208"/>
      <c r="K419" s="208"/>
      <c r="L419" s="208"/>
      <c r="M419" s="208"/>
      <c r="N419" s="208"/>
      <c r="U419" s="210"/>
      <c r="V419" s="210"/>
    </row>
    <row r="420" spans="3:22" x14ac:dyDescent="0.2">
      <c r="C420" s="208"/>
      <c r="D420" s="208"/>
      <c r="E420" s="208"/>
      <c r="G420" s="208"/>
      <c r="H420" s="210"/>
      <c r="I420" s="208"/>
      <c r="J420" s="208"/>
      <c r="K420" s="208"/>
      <c r="L420" s="208"/>
      <c r="M420" s="208"/>
      <c r="N420" s="208"/>
      <c r="U420" s="210"/>
      <c r="V420" s="210"/>
    </row>
    <row r="421" spans="3:22" x14ac:dyDescent="0.2">
      <c r="C421" s="208"/>
      <c r="D421" s="208"/>
      <c r="E421" s="208"/>
      <c r="G421" s="208"/>
      <c r="H421" s="210"/>
      <c r="I421" s="208"/>
      <c r="J421" s="208"/>
      <c r="K421" s="208"/>
      <c r="L421" s="208"/>
      <c r="M421" s="208"/>
      <c r="N421" s="208"/>
      <c r="U421" s="210"/>
      <c r="V421" s="210"/>
    </row>
    <row r="422" spans="3:22" x14ac:dyDescent="0.2">
      <c r="C422" s="208"/>
      <c r="D422" s="208"/>
      <c r="E422" s="208"/>
      <c r="G422" s="208"/>
      <c r="H422" s="210"/>
      <c r="I422" s="208"/>
      <c r="J422" s="208"/>
      <c r="K422" s="208"/>
      <c r="L422" s="208"/>
      <c r="M422" s="208"/>
      <c r="N422" s="208"/>
      <c r="U422" s="210"/>
      <c r="V422" s="210"/>
    </row>
    <row r="423" spans="3:22" x14ac:dyDescent="0.2">
      <c r="C423" s="208"/>
      <c r="D423" s="208"/>
      <c r="E423" s="208"/>
      <c r="G423" s="208"/>
      <c r="H423" s="210"/>
      <c r="I423" s="208"/>
      <c r="J423" s="208"/>
      <c r="K423" s="208"/>
      <c r="L423" s="208"/>
      <c r="M423" s="208"/>
      <c r="N423" s="208"/>
      <c r="U423" s="210"/>
      <c r="V423" s="210"/>
    </row>
    <row r="424" spans="3:22" x14ac:dyDescent="0.2">
      <c r="C424" s="208"/>
      <c r="D424" s="208"/>
      <c r="E424" s="208"/>
      <c r="G424" s="208"/>
      <c r="H424" s="210"/>
      <c r="I424" s="208"/>
      <c r="J424" s="208"/>
      <c r="K424" s="208"/>
      <c r="L424" s="208"/>
      <c r="M424" s="208"/>
      <c r="N424" s="208"/>
      <c r="U424" s="210"/>
      <c r="V424" s="210"/>
    </row>
    <row r="425" spans="3:22" x14ac:dyDescent="0.2">
      <c r="C425" s="208"/>
      <c r="D425" s="208"/>
      <c r="E425" s="208"/>
      <c r="G425" s="208"/>
      <c r="H425" s="210"/>
      <c r="I425" s="208"/>
      <c r="J425" s="208"/>
      <c r="K425" s="208"/>
      <c r="L425" s="208"/>
      <c r="M425" s="208"/>
      <c r="N425" s="208"/>
      <c r="U425" s="210"/>
      <c r="V425" s="210"/>
    </row>
    <row r="426" spans="3:22" x14ac:dyDescent="0.2">
      <c r="C426" s="208"/>
      <c r="D426" s="208"/>
      <c r="E426" s="208"/>
      <c r="G426" s="208"/>
      <c r="H426" s="210"/>
      <c r="I426" s="208"/>
      <c r="J426" s="208"/>
      <c r="K426" s="208"/>
      <c r="L426" s="208"/>
      <c r="M426" s="208"/>
      <c r="N426" s="208"/>
      <c r="U426" s="210"/>
      <c r="V426" s="210"/>
    </row>
    <row r="427" spans="3:22" x14ac:dyDescent="0.2">
      <c r="C427" s="208"/>
      <c r="D427" s="208"/>
      <c r="E427" s="208"/>
      <c r="G427" s="208"/>
      <c r="H427" s="210"/>
      <c r="I427" s="208"/>
      <c r="J427" s="208"/>
      <c r="K427" s="208"/>
      <c r="L427" s="208"/>
      <c r="M427" s="208"/>
      <c r="N427" s="208"/>
      <c r="U427" s="210"/>
      <c r="V427" s="210"/>
    </row>
    <row r="428" spans="3:22" x14ac:dyDescent="0.2">
      <c r="C428" s="208"/>
      <c r="D428" s="208"/>
      <c r="E428" s="208"/>
      <c r="G428" s="208"/>
      <c r="H428" s="210"/>
      <c r="I428" s="208"/>
      <c r="J428" s="208"/>
      <c r="K428" s="208"/>
      <c r="L428" s="208"/>
      <c r="M428" s="208"/>
      <c r="N428" s="208"/>
      <c r="U428" s="210"/>
      <c r="V428" s="210"/>
    </row>
    <row r="429" spans="3:22" x14ac:dyDescent="0.2">
      <c r="C429" s="208"/>
      <c r="D429" s="208"/>
      <c r="E429" s="208"/>
      <c r="G429" s="208"/>
      <c r="H429" s="210"/>
      <c r="I429" s="208"/>
      <c r="J429" s="208"/>
      <c r="K429" s="208"/>
      <c r="L429" s="208"/>
      <c r="M429" s="208"/>
      <c r="N429" s="208"/>
      <c r="U429" s="210"/>
      <c r="V429" s="210"/>
    </row>
    <row r="430" spans="3:22" x14ac:dyDescent="0.2">
      <c r="C430" s="208"/>
      <c r="D430" s="208"/>
      <c r="E430" s="208"/>
      <c r="G430" s="208"/>
      <c r="H430" s="210"/>
      <c r="I430" s="208"/>
      <c r="J430" s="208"/>
      <c r="K430" s="208"/>
      <c r="L430" s="208"/>
      <c r="M430" s="208"/>
      <c r="N430" s="208"/>
      <c r="U430" s="210"/>
      <c r="V430" s="210"/>
    </row>
    <row r="431" spans="3:22" x14ac:dyDescent="0.2">
      <c r="C431" s="208"/>
      <c r="D431" s="208"/>
      <c r="E431" s="208"/>
      <c r="G431" s="208"/>
      <c r="H431" s="210"/>
      <c r="I431" s="208"/>
      <c r="J431" s="208"/>
      <c r="K431" s="208"/>
      <c r="L431" s="208"/>
      <c r="M431" s="208"/>
      <c r="N431" s="208"/>
      <c r="U431" s="210"/>
      <c r="V431" s="210"/>
    </row>
    <row r="432" spans="3:22" x14ac:dyDescent="0.2">
      <c r="C432" s="208"/>
      <c r="D432" s="208"/>
      <c r="E432" s="208"/>
      <c r="G432" s="208"/>
      <c r="H432" s="210"/>
      <c r="I432" s="208"/>
      <c r="J432" s="208"/>
      <c r="K432" s="208"/>
      <c r="L432" s="208"/>
      <c r="M432" s="208"/>
      <c r="N432" s="208"/>
      <c r="U432" s="210"/>
      <c r="V432" s="210"/>
    </row>
    <row r="433" spans="3:22" x14ac:dyDescent="0.2">
      <c r="C433" s="208"/>
      <c r="D433" s="208"/>
      <c r="E433" s="208"/>
      <c r="G433" s="208"/>
      <c r="H433" s="210"/>
      <c r="I433" s="208"/>
      <c r="J433" s="208"/>
      <c r="K433" s="208"/>
      <c r="L433" s="208"/>
      <c r="M433" s="208"/>
      <c r="N433" s="208"/>
      <c r="U433" s="210"/>
      <c r="V433" s="210"/>
    </row>
    <row r="434" spans="3:22" x14ac:dyDescent="0.2">
      <c r="C434" s="208"/>
      <c r="D434" s="208"/>
      <c r="E434" s="208"/>
      <c r="G434" s="208"/>
      <c r="H434" s="210"/>
      <c r="I434" s="208"/>
      <c r="J434" s="208"/>
      <c r="K434" s="208"/>
      <c r="L434" s="208"/>
      <c r="M434" s="208"/>
      <c r="N434" s="208"/>
      <c r="U434" s="210"/>
      <c r="V434" s="210"/>
    </row>
    <row r="435" spans="3:22" x14ac:dyDescent="0.2">
      <c r="C435" s="208"/>
      <c r="D435" s="208"/>
      <c r="E435" s="208"/>
      <c r="G435" s="208"/>
      <c r="H435" s="210"/>
      <c r="I435" s="208"/>
      <c r="J435" s="208"/>
      <c r="K435" s="208"/>
      <c r="L435" s="208"/>
      <c r="M435" s="208"/>
      <c r="N435" s="208"/>
      <c r="U435" s="210"/>
      <c r="V435" s="210"/>
    </row>
    <row r="436" spans="3:22" x14ac:dyDescent="0.2">
      <c r="C436" s="208"/>
      <c r="D436" s="208"/>
      <c r="E436" s="208"/>
      <c r="G436" s="208"/>
      <c r="H436" s="210"/>
      <c r="I436" s="208"/>
      <c r="J436" s="208"/>
      <c r="K436" s="208"/>
      <c r="L436" s="208"/>
      <c r="M436" s="208"/>
      <c r="N436" s="208"/>
      <c r="U436" s="210"/>
      <c r="V436" s="210"/>
    </row>
    <row r="437" spans="3:22" x14ac:dyDescent="0.2">
      <c r="C437" s="208"/>
      <c r="D437" s="208"/>
      <c r="E437" s="208"/>
      <c r="G437" s="208"/>
      <c r="H437" s="210"/>
      <c r="I437" s="208"/>
      <c r="J437" s="208"/>
      <c r="K437" s="208"/>
      <c r="L437" s="208"/>
      <c r="M437" s="208"/>
      <c r="N437" s="208"/>
      <c r="U437" s="210"/>
      <c r="V437" s="210"/>
    </row>
    <row r="438" spans="3:22" x14ac:dyDescent="0.2">
      <c r="C438" s="208"/>
      <c r="D438" s="208"/>
      <c r="E438" s="208"/>
      <c r="G438" s="208"/>
      <c r="H438" s="210"/>
      <c r="I438" s="208"/>
      <c r="J438" s="208"/>
      <c r="K438" s="208"/>
      <c r="L438" s="208"/>
      <c r="M438" s="208"/>
      <c r="N438" s="208"/>
      <c r="U438" s="210"/>
      <c r="V438" s="210"/>
    </row>
    <row r="439" spans="3:22" x14ac:dyDescent="0.2">
      <c r="C439" s="208"/>
      <c r="D439" s="208"/>
      <c r="E439" s="208"/>
      <c r="G439" s="208"/>
      <c r="H439" s="210"/>
      <c r="I439" s="208"/>
      <c r="J439" s="208"/>
      <c r="K439" s="208"/>
      <c r="L439" s="208"/>
      <c r="M439" s="208"/>
      <c r="N439" s="208"/>
      <c r="U439" s="210"/>
      <c r="V439" s="210"/>
    </row>
    <row r="440" spans="3:22" x14ac:dyDescent="0.2">
      <c r="C440" s="208"/>
      <c r="D440" s="208"/>
      <c r="E440" s="208"/>
      <c r="G440" s="208"/>
      <c r="H440" s="210"/>
      <c r="I440" s="208"/>
      <c r="J440" s="208"/>
      <c r="K440" s="208"/>
      <c r="L440" s="208"/>
      <c r="M440" s="208"/>
      <c r="N440" s="208"/>
      <c r="U440" s="210"/>
      <c r="V440" s="210"/>
    </row>
    <row r="441" spans="3:22" x14ac:dyDescent="0.2">
      <c r="C441" s="208"/>
      <c r="D441" s="208"/>
      <c r="E441" s="208"/>
      <c r="G441" s="208"/>
      <c r="H441" s="210"/>
      <c r="I441" s="208"/>
      <c r="J441" s="208"/>
      <c r="K441" s="208"/>
      <c r="L441" s="208"/>
      <c r="M441" s="208"/>
      <c r="N441" s="208"/>
      <c r="U441" s="210"/>
      <c r="V441" s="210"/>
    </row>
    <row r="442" spans="3:22" x14ac:dyDescent="0.2">
      <c r="C442" s="208"/>
      <c r="D442" s="208"/>
      <c r="E442" s="208"/>
      <c r="G442" s="208"/>
      <c r="H442" s="210"/>
      <c r="I442" s="208"/>
      <c r="J442" s="208"/>
      <c r="K442" s="208"/>
      <c r="L442" s="208"/>
      <c r="M442" s="208"/>
      <c r="N442" s="208"/>
      <c r="U442" s="210"/>
      <c r="V442" s="210"/>
    </row>
    <row r="443" spans="3:22" x14ac:dyDescent="0.2">
      <c r="C443" s="208"/>
      <c r="D443" s="208"/>
      <c r="E443" s="208"/>
      <c r="G443" s="208"/>
      <c r="H443" s="210"/>
      <c r="I443" s="208"/>
      <c r="J443" s="208"/>
      <c r="K443" s="208"/>
      <c r="L443" s="208"/>
      <c r="M443" s="208"/>
      <c r="N443" s="208"/>
      <c r="U443" s="210"/>
      <c r="V443" s="210"/>
    </row>
    <row r="444" spans="3:22" x14ac:dyDescent="0.2">
      <c r="C444" s="208"/>
      <c r="D444" s="208"/>
      <c r="E444" s="208"/>
      <c r="G444" s="208"/>
      <c r="H444" s="210"/>
      <c r="I444" s="208"/>
      <c r="J444" s="208"/>
      <c r="K444" s="208"/>
      <c r="L444" s="208"/>
      <c r="M444" s="208"/>
      <c r="N444" s="208"/>
      <c r="U444" s="210"/>
      <c r="V444" s="210"/>
    </row>
    <row r="445" spans="3:22" x14ac:dyDescent="0.2">
      <c r="C445" s="208"/>
      <c r="D445" s="208"/>
      <c r="E445" s="208"/>
      <c r="G445" s="208"/>
      <c r="H445" s="210"/>
      <c r="I445" s="208"/>
      <c r="J445" s="208"/>
      <c r="K445" s="208"/>
      <c r="L445" s="208"/>
      <c r="M445" s="208"/>
      <c r="N445" s="208"/>
      <c r="U445" s="210"/>
      <c r="V445" s="210"/>
    </row>
    <row r="446" spans="3:22" x14ac:dyDescent="0.2">
      <c r="C446" s="208"/>
      <c r="D446" s="208"/>
      <c r="E446" s="208"/>
      <c r="G446" s="208"/>
      <c r="H446" s="210"/>
      <c r="I446" s="208"/>
      <c r="J446" s="208"/>
      <c r="K446" s="208"/>
      <c r="L446" s="208"/>
      <c r="M446" s="208"/>
      <c r="N446" s="208"/>
      <c r="U446" s="210"/>
      <c r="V446" s="210"/>
    </row>
    <row r="447" spans="3:22" x14ac:dyDescent="0.2">
      <c r="C447" s="208"/>
      <c r="D447" s="208"/>
      <c r="E447" s="208"/>
      <c r="G447" s="208"/>
      <c r="H447" s="210"/>
      <c r="I447" s="208"/>
      <c r="J447" s="208"/>
      <c r="K447" s="208"/>
      <c r="L447" s="208"/>
      <c r="M447" s="208"/>
      <c r="N447" s="208"/>
      <c r="U447" s="210"/>
      <c r="V447" s="210"/>
    </row>
    <row r="448" spans="3:22" x14ac:dyDescent="0.2">
      <c r="C448" s="208"/>
      <c r="D448" s="208"/>
      <c r="E448" s="208"/>
      <c r="G448" s="208"/>
      <c r="H448" s="210"/>
      <c r="I448" s="208"/>
      <c r="J448" s="208"/>
      <c r="K448" s="208"/>
      <c r="L448" s="208"/>
      <c r="M448" s="208"/>
      <c r="N448" s="208"/>
      <c r="U448" s="210"/>
      <c r="V448" s="210"/>
    </row>
    <row r="449" spans="3:22" x14ac:dyDescent="0.2">
      <c r="C449" s="208"/>
      <c r="D449" s="208"/>
      <c r="E449" s="208"/>
      <c r="G449" s="208"/>
      <c r="H449" s="210"/>
      <c r="I449" s="208"/>
      <c r="J449" s="208"/>
      <c r="K449" s="208"/>
      <c r="L449" s="208"/>
      <c r="M449" s="208"/>
      <c r="N449" s="208"/>
      <c r="U449" s="210"/>
      <c r="V449" s="210"/>
    </row>
    <row r="450" spans="3:22" x14ac:dyDescent="0.2">
      <c r="C450" s="208"/>
      <c r="D450" s="208"/>
      <c r="E450" s="208"/>
      <c r="G450" s="208"/>
      <c r="H450" s="210"/>
      <c r="I450" s="208"/>
      <c r="J450" s="208"/>
      <c r="K450" s="208"/>
      <c r="L450" s="208"/>
      <c r="M450" s="208"/>
      <c r="N450" s="208"/>
      <c r="U450" s="210"/>
      <c r="V450" s="210"/>
    </row>
    <row r="451" spans="3:22" x14ac:dyDescent="0.2">
      <c r="C451" s="208"/>
      <c r="D451" s="208"/>
      <c r="E451" s="208"/>
      <c r="G451" s="208"/>
      <c r="H451" s="210"/>
      <c r="I451" s="208"/>
      <c r="J451" s="208"/>
      <c r="K451" s="208"/>
      <c r="L451" s="208"/>
      <c r="M451" s="208"/>
      <c r="N451" s="208"/>
      <c r="U451" s="210"/>
      <c r="V451" s="210"/>
    </row>
    <row r="452" spans="3:22" x14ac:dyDescent="0.2">
      <c r="C452" s="208"/>
      <c r="D452" s="208"/>
      <c r="E452" s="208"/>
      <c r="G452" s="208"/>
      <c r="H452" s="210"/>
      <c r="I452" s="208"/>
      <c r="J452" s="208"/>
      <c r="K452" s="208"/>
      <c r="L452" s="208"/>
      <c r="M452" s="208"/>
      <c r="N452" s="208"/>
      <c r="U452" s="210"/>
      <c r="V452" s="210"/>
    </row>
    <row r="453" spans="3:22" x14ac:dyDescent="0.2">
      <c r="C453" s="208"/>
      <c r="D453" s="208"/>
      <c r="E453" s="208"/>
      <c r="G453" s="208"/>
      <c r="H453" s="210"/>
      <c r="I453" s="208"/>
      <c r="J453" s="208"/>
      <c r="K453" s="208"/>
      <c r="L453" s="208"/>
      <c r="M453" s="208"/>
      <c r="N453" s="208"/>
      <c r="U453" s="210"/>
      <c r="V453" s="210"/>
    </row>
    <row r="454" spans="3:22" x14ac:dyDescent="0.2">
      <c r="C454" s="208"/>
      <c r="D454" s="208"/>
      <c r="E454" s="208"/>
      <c r="G454" s="208"/>
      <c r="H454" s="210"/>
      <c r="I454" s="208"/>
      <c r="J454" s="208"/>
      <c r="K454" s="208"/>
      <c r="L454" s="208"/>
      <c r="M454" s="208"/>
      <c r="N454" s="208"/>
      <c r="U454" s="210"/>
      <c r="V454" s="210"/>
    </row>
    <row r="455" spans="3:22" x14ac:dyDescent="0.2">
      <c r="C455" s="208"/>
      <c r="D455" s="208"/>
      <c r="E455" s="208"/>
      <c r="G455" s="208"/>
      <c r="H455" s="210"/>
      <c r="I455" s="208"/>
      <c r="J455" s="208"/>
      <c r="K455" s="208"/>
      <c r="L455" s="208"/>
      <c r="M455" s="208"/>
      <c r="N455" s="208"/>
      <c r="U455" s="210"/>
      <c r="V455" s="210"/>
    </row>
    <row r="456" spans="3:22" x14ac:dyDescent="0.2">
      <c r="C456" s="208"/>
      <c r="D456" s="208"/>
      <c r="E456" s="208"/>
      <c r="G456" s="208"/>
      <c r="H456" s="210"/>
      <c r="I456" s="208"/>
      <c r="J456" s="208"/>
      <c r="K456" s="208"/>
      <c r="L456" s="208"/>
      <c r="M456" s="208"/>
      <c r="N456" s="208"/>
      <c r="U456" s="210"/>
      <c r="V456" s="210"/>
    </row>
    <row r="457" spans="3:22" x14ac:dyDescent="0.2">
      <c r="C457" s="208"/>
      <c r="D457" s="208"/>
      <c r="E457" s="208"/>
      <c r="G457" s="208"/>
      <c r="H457" s="210"/>
      <c r="I457" s="208"/>
      <c r="J457" s="208"/>
      <c r="K457" s="208"/>
      <c r="L457" s="208"/>
      <c r="M457" s="208"/>
      <c r="N457" s="208"/>
      <c r="U457" s="210"/>
      <c r="V457" s="210"/>
    </row>
    <row r="458" spans="3:22" x14ac:dyDescent="0.2">
      <c r="C458" s="208"/>
      <c r="D458" s="208"/>
      <c r="E458" s="208"/>
      <c r="G458" s="208"/>
      <c r="H458" s="210"/>
      <c r="I458" s="208"/>
      <c r="J458" s="208"/>
      <c r="K458" s="208"/>
      <c r="L458" s="208"/>
      <c r="M458" s="208"/>
      <c r="N458" s="208"/>
      <c r="U458" s="210"/>
      <c r="V458" s="210"/>
    </row>
    <row r="459" spans="3:22" x14ac:dyDescent="0.2">
      <c r="C459" s="208"/>
      <c r="D459" s="208"/>
      <c r="E459" s="208"/>
      <c r="G459" s="208"/>
      <c r="H459" s="210"/>
      <c r="I459" s="208"/>
      <c r="J459" s="208"/>
      <c r="K459" s="208"/>
      <c r="L459" s="208"/>
      <c r="M459" s="208"/>
      <c r="N459" s="208"/>
      <c r="U459" s="210"/>
      <c r="V459" s="210"/>
    </row>
    <row r="460" spans="3:22" x14ac:dyDescent="0.2">
      <c r="C460" s="208"/>
      <c r="D460" s="208"/>
      <c r="E460" s="208"/>
      <c r="G460" s="208"/>
      <c r="H460" s="210"/>
      <c r="I460" s="208"/>
      <c r="J460" s="208"/>
      <c r="K460" s="208"/>
      <c r="L460" s="208"/>
      <c r="M460" s="208"/>
      <c r="N460" s="208"/>
      <c r="U460" s="210"/>
      <c r="V460" s="210"/>
    </row>
    <row r="461" spans="3:22" x14ac:dyDescent="0.2">
      <c r="C461" s="208"/>
      <c r="D461" s="208"/>
      <c r="E461" s="208"/>
      <c r="G461" s="208"/>
      <c r="H461" s="210"/>
      <c r="I461" s="208"/>
      <c r="J461" s="208"/>
      <c r="K461" s="208"/>
      <c r="L461" s="208"/>
      <c r="M461" s="208"/>
      <c r="N461" s="208"/>
      <c r="U461" s="210"/>
      <c r="V461" s="210"/>
    </row>
    <row r="462" spans="3:22" x14ac:dyDescent="0.2">
      <c r="C462" s="208"/>
      <c r="D462" s="208"/>
      <c r="E462" s="208"/>
      <c r="G462" s="208"/>
      <c r="H462" s="210"/>
      <c r="I462" s="208"/>
      <c r="J462" s="208"/>
      <c r="K462" s="208"/>
      <c r="L462" s="208"/>
      <c r="M462" s="208"/>
      <c r="N462" s="208"/>
      <c r="U462" s="210"/>
      <c r="V462" s="210"/>
    </row>
    <row r="463" spans="3:22" x14ac:dyDescent="0.2">
      <c r="C463" s="208"/>
      <c r="D463" s="208"/>
      <c r="E463" s="208"/>
      <c r="G463" s="208"/>
      <c r="H463" s="210"/>
      <c r="I463" s="208"/>
      <c r="J463" s="208"/>
      <c r="K463" s="208"/>
      <c r="L463" s="208"/>
      <c r="M463" s="208"/>
      <c r="N463" s="208"/>
      <c r="U463" s="210"/>
      <c r="V463" s="210"/>
    </row>
    <row r="464" spans="3:22" x14ac:dyDescent="0.2">
      <c r="C464" s="208"/>
      <c r="D464" s="208"/>
      <c r="E464" s="208"/>
      <c r="G464" s="208"/>
      <c r="H464" s="210"/>
      <c r="I464" s="208"/>
      <c r="J464" s="208"/>
      <c r="K464" s="208"/>
      <c r="L464" s="208"/>
      <c r="M464" s="208"/>
      <c r="N464" s="208"/>
      <c r="U464" s="210"/>
      <c r="V464" s="210"/>
    </row>
    <row r="465" spans="3:22" x14ac:dyDescent="0.2">
      <c r="C465" s="208"/>
      <c r="D465" s="208"/>
      <c r="E465" s="208"/>
      <c r="G465" s="208"/>
      <c r="H465" s="210"/>
      <c r="I465" s="208"/>
      <c r="J465" s="208"/>
      <c r="K465" s="208"/>
      <c r="L465" s="208"/>
      <c r="M465" s="208"/>
      <c r="N465" s="208"/>
      <c r="U465" s="210"/>
      <c r="V465" s="210"/>
    </row>
    <row r="466" spans="3:22" x14ac:dyDescent="0.2">
      <c r="C466" s="208"/>
      <c r="D466" s="208"/>
      <c r="E466" s="208"/>
      <c r="G466" s="208"/>
      <c r="H466" s="210"/>
      <c r="I466" s="208"/>
      <c r="J466" s="208"/>
      <c r="K466" s="208"/>
      <c r="L466" s="208"/>
      <c r="M466" s="208"/>
      <c r="N466" s="208"/>
      <c r="U466" s="210"/>
      <c r="V466" s="210"/>
    </row>
    <row r="467" spans="3:22" x14ac:dyDescent="0.2">
      <c r="C467" s="208"/>
      <c r="D467" s="208"/>
      <c r="E467" s="208"/>
      <c r="G467" s="208"/>
      <c r="H467" s="210"/>
      <c r="I467" s="208"/>
      <c r="J467" s="208"/>
      <c r="K467" s="208"/>
      <c r="L467" s="208"/>
      <c r="M467" s="208"/>
      <c r="N467" s="208"/>
      <c r="U467" s="210"/>
      <c r="V467" s="210"/>
    </row>
    <row r="468" spans="3:22" x14ac:dyDescent="0.2">
      <c r="C468" s="208"/>
      <c r="D468" s="208"/>
      <c r="E468" s="208"/>
      <c r="G468" s="208"/>
      <c r="H468" s="210"/>
      <c r="I468" s="208"/>
      <c r="J468" s="208"/>
      <c r="K468" s="208"/>
      <c r="L468" s="208"/>
      <c r="M468" s="208"/>
      <c r="N468" s="208"/>
      <c r="U468" s="210"/>
      <c r="V468" s="210"/>
    </row>
    <row r="469" spans="3:22" x14ac:dyDescent="0.2">
      <c r="C469" s="208"/>
      <c r="D469" s="208"/>
      <c r="E469" s="208"/>
      <c r="G469" s="208"/>
      <c r="H469" s="210"/>
      <c r="I469" s="208"/>
      <c r="J469" s="208"/>
      <c r="K469" s="208"/>
      <c r="L469" s="208"/>
      <c r="M469" s="208"/>
      <c r="N469" s="208"/>
      <c r="U469" s="210"/>
      <c r="V469" s="210"/>
    </row>
    <row r="470" spans="3:22" x14ac:dyDescent="0.2">
      <c r="C470" s="208"/>
      <c r="D470" s="208"/>
      <c r="E470" s="208"/>
      <c r="G470" s="208"/>
      <c r="H470" s="210"/>
      <c r="I470" s="208"/>
      <c r="J470" s="208"/>
      <c r="K470" s="208"/>
      <c r="L470" s="208"/>
      <c r="M470" s="208"/>
      <c r="N470" s="208"/>
      <c r="U470" s="210"/>
      <c r="V470" s="210"/>
    </row>
    <row r="471" spans="3:22" x14ac:dyDescent="0.2">
      <c r="C471" s="208"/>
      <c r="D471" s="208"/>
      <c r="E471" s="208"/>
      <c r="G471" s="208"/>
      <c r="H471" s="210"/>
      <c r="I471" s="208"/>
      <c r="J471" s="208"/>
      <c r="K471" s="208"/>
      <c r="L471" s="208"/>
      <c r="M471" s="208"/>
      <c r="N471" s="208"/>
      <c r="U471" s="210"/>
      <c r="V471" s="210"/>
    </row>
    <row r="472" spans="3:22" x14ac:dyDescent="0.2">
      <c r="C472" s="208"/>
      <c r="D472" s="208"/>
      <c r="E472" s="208"/>
      <c r="G472" s="208"/>
      <c r="H472" s="210"/>
      <c r="I472" s="208"/>
      <c r="J472" s="208"/>
      <c r="K472" s="208"/>
      <c r="L472" s="208"/>
      <c r="M472" s="208"/>
      <c r="N472" s="208"/>
      <c r="U472" s="210"/>
      <c r="V472" s="210"/>
    </row>
    <row r="473" spans="3:22" x14ac:dyDescent="0.2">
      <c r="C473" s="208"/>
      <c r="D473" s="208"/>
      <c r="E473" s="208"/>
      <c r="G473" s="208"/>
      <c r="H473" s="210"/>
      <c r="I473" s="208"/>
      <c r="J473" s="208"/>
      <c r="K473" s="208"/>
      <c r="L473" s="208"/>
      <c r="M473" s="208"/>
      <c r="N473" s="208"/>
      <c r="U473" s="210"/>
      <c r="V473" s="210"/>
    </row>
    <row r="474" spans="3:22" x14ac:dyDescent="0.2">
      <c r="C474" s="208"/>
      <c r="D474" s="208"/>
      <c r="E474" s="208"/>
      <c r="G474" s="208"/>
      <c r="H474" s="210"/>
      <c r="I474" s="208"/>
      <c r="J474" s="208"/>
      <c r="K474" s="208"/>
      <c r="L474" s="208"/>
      <c r="M474" s="208"/>
      <c r="N474" s="208"/>
      <c r="U474" s="210"/>
      <c r="V474" s="210"/>
    </row>
    <row r="475" spans="3:22" x14ac:dyDescent="0.2">
      <c r="C475" s="208"/>
      <c r="D475" s="208"/>
      <c r="E475" s="208"/>
      <c r="G475" s="208"/>
      <c r="H475" s="210"/>
      <c r="I475" s="208"/>
      <c r="J475" s="208"/>
      <c r="K475" s="208"/>
      <c r="L475" s="208"/>
      <c r="M475" s="208"/>
      <c r="N475" s="208"/>
      <c r="U475" s="210"/>
      <c r="V475" s="210"/>
    </row>
    <row r="476" spans="3:22" x14ac:dyDescent="0.2">
      <c r="C476" s="208"/>
      <c r="D476" s="208"/>
      <c r="E476" s="208"/>
      <c r="G476" s="208"/>
      <c r="H476" s="210"/>
      <c r="I476" s="208"/>
      <c r="J476" s="208"/>
      <c r="K476" s="208"/>
      <c r="L476" s="208"/>
      <c r="M476" s="208"/>
      <c r="N476" s="208"/>
      <c r="U476" s="210"/>
      <c r="V476" s="210"/>
    </row>
    <row r="477" spans="3:22" x14ac:dyDescent="0.2">
      <c r="C477" s="208"/>
      <c r="D477" s="208"/>
      <c r="E477" s="208"/>
      <c r="G477" s="208"/>
      <c r="H477" s="210"/>
      <c r="I477" s="208"/>
      <c r="J477" s="208"/>
      <c r="K477" s="208"/>
      <c r="L477" s="208"/>
      <c r="M477" s="208"/>
      <c r="N477" s="208"/>
      <c r="U477" s="210"/>
      <c r="V477" s="210"/>
    </row>
    <row r="478" spans="3:22" x14ac:dyDescent="0.2">
      <c r="C478" s="208"/>
      <c r="D478" s="208"/>
      <c r="E478" s="208"/>
      <c r="G478" s="208"/>
      <c r="H478" s="210"/>
      <c r="I478" s="208"/>
      <c r="J478" s="208"/>
      <c r="K478" s="208"/>
      <c r="L478" s="208"/>
      <c r="M478" s="208"/>
      <c r="N478" s="208"/>
      <c r="U478" s="210"/>
      <c r="V478" s="210"/>
    </row>
    <row r="479" spans="3:22" x14ac:dyDescent="0.2">
      <c r="C479" s="208"/>
      <c r="D479" s="208"/>
      <c r="E479" s="208"/>
      <c r="G479" s="208"/>
      <c r="H479" s="210"/>
      <c r="I479" s="208"/>
      <c r="J479" s="208"/>
      <c r="K479" s="208"/>
      <c r="L479" s="208"/>
      <c r="M479" s="208"/>
      <c r="N479" s="208"/>
      <c r="U479" s="210"/>
      <c r="V479" s="210"/>
    </row>
    <row r="480" spans="3:22" x14ac:dyDescent="0.2">
      <c r="C480" s="208"/>
      <c r="D480" s="208"/>
      <c r="E480" s="208"/>
      <c r="G480" s="208"/>
      <c r="H480" s="210"/>
      <c r="I480" s="208"/>
      <c r="J480" s="208"/>
      <c r="K480" s="208"/>
      <c r="L480" s="208"/>
      <c r="M480" s="208"/>
      <c r="N480" s="208"/>
      <c r="U480" s="210"/>
      <c r="V480" s="210"/>
    </row>
    <row r="481" spans="3:22" x14ac:dyDescent="0.2">
      <c r="C481" s="208"/>
      <c r="D481" s="208"/>
      <c r="E481" s="208"/>
      <c r="G481" s="208"/>
      <c r="H481" s="210"/>
      <c r="I481" s="208"/>
      <c r="J481" s="208"/>
      <c r="K481" s="208"/>
      <c r="L481" s="208"/>
      <c r="M481" s="208"/>
      <c r="N481" s="208"/>
      <c r="U481" s="210"/>
      <c r="V481" s="210"/>
    </row>
    <row r="482" spans="3:22" x14ac:dyDescent="0.2">
      <c r="C482" s="208"/>
      <c r="D482" s="208"/>
      <c r="E482" s="208"/>
      <c r="G482" s="208"/>
      <c r="H482" s="210"/>
      <c r="I482" s="208"/>
      <c r="J482" s="208"/>
      <c r="K482" s="208"/>
      <c r="L482" s="208"/>
      <c r="M482" s="208"/>
      <c r="N482" s="208"/>
      <c r="U482" s="210"/>
      <c r="V482" s="210"/>
    </row>
    <row r="483" spans="3:22" x14ac:dyDescent="0.2">
      <c r="C483" s="208"/>
      <c r="D483" s="208"/>
      <c r="E483" s="208"/>
      <c r="G483" s="208"/>
      <c r="H483" s="210"/>
      <c r="I483" s="208"/>
      <c r="J483" s="208"/>
      <c r="K483" s="208"/>
      <c r="L483" s="208"/>
      <c r="M483" s="208"/>
      <c r="N483" s="208"/>
      <c r="U483" s="210"/>
      <c r="V483" s="210"/>
    </row>
    <row r="484" spans="3:22" x14ac:dyDescent="0.2">
      <c r="C484" s="208"/>
      <c r="D484" s="208"/>
      <c r="E484" s="208"/>
      <c r="G484" s="208"/>
      <c r="H484" s="210"/>
      <c r="I484" s="208"/>
      <c r="J484" s="208"/>
      <c r="K484" s="208"/>
      <c r="L484" s="208"/>
      <c r="M484" s="208"/>
      <c r="N484" s="208"/>
      <c r="U484" s="210"/>
      <c r="V484" s="210"/>
    </row>
    <row r="485" spans="3:22" x14ac:dyDescent="0.2">
      <c r="C485" s="208"/>
      <c r="D485" s="208"/>
      <c r="E485" s="208"/>
      <c r="G485" s="208"/>
      <c r="H485" s="210"/>
      <c r="I485" s="208"/>
      <c r="J485" s="208"/>
      <c r="K485" s="208"/>
      <c r="L485" s="208"/>
      <c r="M485" s="208"/>
      <c r="N485" s="208"/>
      <c r="U485" s="210"/>
      <c r="V485" s="210"/>
    </row>
    <row r="486" spans="3:22" x14ac:dyDescent="0.2">
      <c r="C486" s="208"/>
      <c r="D486" s="208"/>
      <c r="E486" s="208"/>
      <c r="G486" s="208"/>
      <c r="H486" s="210"/>
      <c r="I486" s="208"/>
      <c r="J486" s="208"/>
      <c r="K486" s="208"/>
      <c r="L486" s="208"/>
      <c r="M486" s="208"/>
      <c r="N486" s="208"/>
      <c r="U486" s="210"/>
      <c r="V486" s="210"/>
    </row>
    <row r="487" spans="3:22" x14ac:dyDescent="0.2">
      <c r="C487" s="208"/>
      <c r="D487" s="208"/>
      <c r="E487" s="208"/>
      <c r="G487" s="208"/>
      <c r="H487" s="210"/>
      <c r="I487" s="208"/>
      <c r="J487" s="208"/>
      <c r="K487" s="208"/>
      <c r="L487" s="208"/>
      <c r="M487" s="208"/>
      <c r="N487" s="208"/>
      <c r="U487" s="210"/>
      <c r="V487" s="210"/>
    </row>
    <row r="488" spans="3:22" x14ac:dyDescent="0.2">
      <c r="C488" s="208"/>
      <c r="D488" s="208"/>
      <c r="E488" s="208"/>
      <c r="G488" s="208"/>
      <c r="H488" s="210"/>
      <c r="I488" s="208"/>
      <c r="J488" s="208"/>
      <c r="K488" s="208"/>
      <c r="L488" s="208"/>
      <c r="M488" s="208"/>
      <c r="N488" s="208"/>
      <c r="U488" s="210"/>
      <c r="V488" s="210"/>
    </row>
    <row r="489" spans="3:22" x14ac:dyDescent="0.2">
      <c r="C489" s="208"/>
      <c r="D489" s="208"/>
      <c r="E489" s="208"/>
      <c r="G489" s="208"/>
      <c r="H489" s="210"/>
      <c r="I489" s="208"/>
      <c r="J489" s="208"/>
      <c r="K489" s="208"/>
      <c r="L489" s="208"/>
      <c r="M489" s="208"/>
      <c r="N489" s="208"/>
      <c r="U489" s="210"/>
      <c r="V489" s="210"/>
    </row>
    <row r="490" spans="3:22" x14ac:dyDescent="0.2">
      <c r="C490" s="208"/>
      <c r="D490" s="208"/>
      <c r="E490" s="208"/>
      <c r="G490" s="208"/>
      <c r="H490" s="210"/>
      <c r="I490" s="208"/>
      <c r="J490" s="208"/>
      <c r="K490" s="208"/>
      <c r="L490" s="208"/>
      <c r="M490" s="208"/>
      <c r="N490" s="208"/>
      <c r="U490" s="210"/>
      <c r="V490" s="210"/>
    </row>
    <row r="491" spans="3:22" x14ac:dyDescent="0.2">
      <c r="C491" s="208"/>
      <c r="D491" s="208"/>
      <c r="E491" s="208"/>
      <c r="G491" s="208"/>
      <c r="H491" s="210"/>
      <c r="I491" s="208"/>
      <c r="J491" s="208"/>
      <c r="K491" s="208"/>
      <c r="L491" s="208"/>
      <c r="M491" s="208"/>
      <c r="N491" s="208"/>
      <c r="U491" s="210"/>
      <c r="V491" s="210"/>
    </row>
    <row r="492" spans="3:22" x14ac:dyDescent="0.2">
      <c r="C492" s="208"/>
      <c r="D492" s="208"/>
      <c r="E492" s="208"/>
      <c r="G492" s="208"/>
      <c r="H492" s="210"/>
      <c r="I492" s="208"/>
      <c r="J492" s="208"/>
      <c r="K492" s="208"/>
      <c r="L492" s="208"/>
      <c r="M492" s="208"/>
      <c r="N492" s="208"/>
      <c r="U492" s="210"/>
      <c r="V492" s="210"/>
    </row>
    <row r="493" spans="3:22" x14ac:dyDescent="0.2">
      <c r="C493" s="208"/>
      <c r="D493" s="208"/>
      <c r="E493" s="208"/>
      <c r="G493" s="208"/>
      <c r="H493" s="210"/>
      <c r="I493" s="208"/>
      <c r="J493" s="208"/>
      <c r="K493" s="208"/>
      <c r="L493" s="208"/>
      <c r="M493" s="208"/>
      <c r="N493" s="208"/>
      <c r="U493" s="210"/>
      <c r="V493" s="210"/>
    </row>
    <row r="494" spans="3:22" x14ac:dyDescent="0.2">
      <c r="C494" s="208"/>
      <c r="D494" s="208"/>
      <c r="E494" s="208"/>
      <c r="G494" s="208"/>
      <c r="H494" s="210"/>
      <c r="I494" s="208"/>
      <c r="J494" s="208"/>
      <c r="K494" s="208"/>
      <c r="L494" s="208"/>
      <c r="M494" s="208"/>
      <c r="N494" s="208"/>
      <c r="U494" s="210"/>
      <c r="V494" s="210"/>
    </row>
    <row r="495" spans="3:22" x14ac:dyDescent="0.2">
      <c r="C495" s="208"/>
      <c r="D495" s="208"/>
      <c r="E495" s="208"/>
      <c r="G495" s="208"/>
      <c r="H495" s="210"/>
      <c r="I495" s="208"/>
      <c r="J495" s="208"/>
      <c r="K495" s="208"/>
      <c r="L495" s="208"/>
      <c r="M495" s="208"/>
      <c r="N495" s="208"/>
      <c r="U495" s="210"/>
      <c r="V495" s="210"/>
    </row>
    <row r="496" spans="3:22" x14ac:dyDescent="0.2">
      <c r="C496" s="208"/>
      <c r="D496" s="208"/>
      <c r="E496" s="208"/>
      <c r="G496" s="208"/>
      <c r="H496" s="210"/>
      <c r="I496" s="208"/>
      <c r="J496" s="208"/>
      <c r="K496" s="208"/>
      <c r="L496" s="208"/>
      <c r="M496" s="208"/>
      <c r="N496" s="208"/>
      <c r="U496" s="210"/>
      <c r="V496" s="210"/>
    </row>
    <row r="497" spans="3:22" x14ac:dyDescent="0.2">
      <c r="C497" s="208"/>
      <c r="D497" s="208"/>
      <c r="E497" s="208"/>
      <c r="G497" s="208"/>
      <c r="H497" s="210"/>
      <c r="I497" s="208"/>
      <c r="J497" s="208"/>
      <c r="K497" s="208"/>
      <c r="L497" s="208"/>
      <c r="M497" s="208"/>
      <c r="N497" s="208"/>
      <c r="U497" s="210"/>
      <c r="V497" s="210"/>
    </row>
    <row r="498" spans="3:22" x14ac:dyDescent="0.2">
      <c r="C498" s="208"/>
      <c r="D498" s="208"/>
      <c r="E498" s="208"/>
      <c r="G498" s="208"/>
      <c r="H498" s="210"/>
      <c r="I498" s="208"/>
      <c r="J498" s="208"/>
      <c r="K498" s="208"/>
      <c r="L498" s="208"/>
      <c r="M498" s="208"/>
      <c r="N498" s="208"/>
      <c r="U498" s="210"/>
      <c r="V498" s="210"/>
    </row>
    <row r="499" spans="3:22" x14ac:dyDescent="0.2">
      <c r="C499" s="208"/>
      <c r="D499" s="208"/>
      <c r="E499" s="208"/>
      <c r="G499" s="208"/>
      <c r="H499" s="210"/>
      <c r="I499" s="208"/>
      <c r="J499" s="208"/>
      <c r="K499" s="208"/>
      <c r="L499" s="208"/>
      <c r="M499" s="208"/>
      <c r="N499" s="208"/>
      <c r="U499" s="210"/>
      <c r="V499" s="210"/>
    </row>
    <row r="500" spans="3:22" x14ac:dyDescent="0.2">
      <c r="C500" s="208"/>
      <c r="D500" s="208"/>
      <c r="E500" s="208"/>
      <c r="G500" s="208"/>
      <c r="H500" s="210"/>
      <c r="I500" s="208"/>
      <c r="J500" s="208"/>
      <c r="K500" s="208"/>
      <c r="L500" s="208"/>
      <c r="M500" s="208"/>
      <c r="N500" s="208"/>
      <c r="U500" s="210"/>
      <c r="V500" s="210"/>
    </row>
    <row r="501" spans="3:22" x14ac:dyDescent="0.2">
      <c r="C501" s="208"/>
      <c r="D501" s="208"/>
      <c r="E501" s="208"/>
      <c r="G501" s="208"/>
      <c r="H501" s="210"/>
      <c r="I501" s="208"/>
      <c r="J501" s="208"/>
      <c r="K501" s="208"/>
      <c r="L501" s="208"/>
      <c r="M501" s="208"/>
      <c r="N501" s="208"/>
      <c r="U501" s="210"/>
      <c r="V501" s="210"/>
    </row>
    <row r="502" spans="3:22" x14ac:dyDescent="0.2">
      <c r="C502" s="208"/>
      <c r="D502" s="208"/>
      <c r="E502" s="208"/>
      <c r="G502" s="208"/>
      <c r="H502" s="210"/>
      <c r="I502" s="208"/>
      <c r="J502" s="208"/>
      <c r="K502" s="208"/>
      <c r="L502" s="208"/>
      <c r="M502" s="208"/>
      <c r="N502" s="208"/>
      <c r="U502" s="210"/>
      <c r="V502" s="210"/>
    </row>
    <row r="503" spans="3:22" x14ac:dyDescent="0.2">
      <c r="C503" s="208"/>
      <c r="D503" s="208"/>
      <c r="E503" s="208"/>
      <c r="G503" s="208"/>
      <c r="H503" s="210"/>
      <c r="I503" s="208"/>
      <c r="J503" s="208"/>
      <c r="K503" s="208"/>
      <c r="L503" s="208"/>
      <c r="M503" s="208"/>
      <c r="N503" s="208"/>
      <c r="U503" s="210"/>
      <c r="V503" s="210"/>
    </row>
    <row r="504" spans="3:22" x14ac:dyDescent="0.2">
      <c r="C504" s="208"/>
      <c r="D504" s="208"/>
      <c r="E504" s="208"/>
      <c r="G504" s="208"/>
      <c r="H504" s="210"/>
      <c r="I504" s="208"/>
      <c r="J504" s="208"/>
      <c r="K504" s="208"/>
      <c r="L504" s="208"/>
      <c r="M504" s="208"/>
      <c r="N504" s="208"/>
      <c r="U504" s="210"/>
      <c r="V504" s="210"/>
    </row>
    <row r="505" spans="3:22" x14ac:dyDescent="0.2">
      <c r="C505" s="208"/>
      <c r="D505" s="208"/>
      <c r="E505" s="208"/>
      <c r="G505" s="208"/>
      <c r="H505" s="210"/>
      <c r="I505" s="208"/>
      <c r="J505" s="208"/>
      <c r="K505" s="208"/>
      <c r="L505" s="208"/>
      <c r="M505" s="208"/>
      <c r="N505" s="208"/>
      <c r="U505" s="210"/>
      <c r="V505" s="210"/>
    </row>
    <row r="506" spans="3:22" x14ac:dyDescent="0.2">
      <c r="C506" s="4"/>
      <c r="D506" s="4"/>
      <c r="E506" s="4"/>
      <c r="G506" s="4"/>
      <c r="H506" s="211"/>
      <c r="I506" s="4"/>
      <c r="J506" s="4"/>
      <c r="K506" s="4"/>
      <c r="L506" s="4"/>
      <c r="M506" s="4"/>
      <c r="N506" s="4"/>
      <c r="O506" s="4"/>
      <c r="P506" s="4"/>
      <c r="Q506" s="4"/>
      <c r="U506" s="211"/>
      <c r="V506" s="211"/>
    </row>
    <row r="507" spans="3:22" x14ac:dyDescent="0.2">
      <c r="H507" s="210"/>
      <c r="U507" s="210"/>
      <c r="V507" s="210"/>
    </row>
    <row r="508" spans="3:22" x14ac:dyDescent="0.2">
      <c r="H508" s="210"/>
      <c r="U508" s="210"/>
      <c r="V508" s="210"/>
    </row>
    <row r="509" spans="3:22" x14ac:dyDescent="0.2">
      <c r="H509" s="210"/>
      <c r="U509" s="210"/>
      <c r="V509" s="210"/>
    </row>
    <row r="510" spans="3:22" x14ac:dyDescent="0.2">
      <c r="H510" s="210"/>
      <c r="U510" s="210"/>
      <c r="V510" s="210"/>
    </row>
    <row r="511" spans="3:22" x14ac:dyDescent="0.2">
      <c r="H511" s="210"/>
      <c r="U511" s="210"/>
      <c r="V511" s="210"/>
    </row>
    <row r="512" spans="3:22" x14ac:dyDescent="0.2">
      <c r="H512" s="210"/>
      <c r="U512" s="210"/>
      <c r="V512" s="210"/>
    </row>
    <row r="513" spans="8:22" x14ac:dyDescent="0.2">
      <c r="H513" s="210"/>
      <c r="U513" s="210"/>
      <c r="V513" s="210"/>
    </row>
    <row r="514" spans="8:22" x14ac:dyDescent="0.2">
      <c r="H514" s="210"/>
      <c r="U514" s="210"/>
      <c r="V514" s="210"/>
    </row>
    <row r="515" spans="8:22" x14ac:dyDescent="0.2">
      <c r="H515" s="210"/>
      <c r="U515" s="210"/>
      <c r="V515" s="210"/>
    </row>
    <row r="516" spans="8:22" x14ac:dyDescent="0.2">
      <c r="H516" s="210"/>
      <c r="U516" s="210"/>
      <c r="V516" s="210"/>
    </row>
    <row r="517" spans="8:22" x14ac:dyDescent="0.2">
      <c r="H517" s="210"/>
      <c r="U517" s="210"/>
      <c r="V517" s="210"/>
    </row>
    <row r="518" spans="8:22" x14ac:dyDescent="0.2">
      <c r="H518" s="210"/>
      <c r="U518" s="210"/>
      <c r="V518" s="210"/>
    </row>
    <row r="519" spans="8:22" x14ac:dyDescent="0.2">
      <c r="H519" s="210"/>
      <c r="U519" s="210"/>
      <c r="V519" s="210"/>
    </row>
    <row r="520" spans="8:22" x14ac:dyDescent="0.2">
      <c r="H520" s="210"/>
      <c r="U520" s="210"/>
      <c r="V520" s="210"/>
    </row>
    <row r="521" spans="8:22" x14ac:dyDescent="0.2">
      <c r="H521" s="210"/>
      <c r="U521" s="210"/>
      <c r="V521" s="210"/>
    </row>
    <row r="522" spans="8:22" x14ac:dyDescent="0.2">
      <c r="H522" s="210"/>
      <c r="U522" s="210"/>
      <c r="V522" s="210"/>
    </row>
    <row r="523" spans="8:22" x14ac:dyDescent="0.2">
      <c r="H523" s="210"/>
      <c r="U523" s="210"/>
      <c r="V523" s="210"/>
    </row>
    <row r="524" spans="8:22" x14ac:dyDescent="0.2">
      <c r="H524" s="210"/>
      <c r="U524" s="210"/>
      <c r="V524" s="210"/>
    </row>
    <row r="525" spans="8:22" x14ac:dyDescent="0.2">
      <c r="H525" s="210"/>
      <c r="U525" s="210"/>
      <c r="V525" s="210"/>
    </row>
    <row r="526" spans="8:22" x14ac:dyDescent="0.2">
      <c r="H526" s="210"/>
      <c r="U526" s="210"/>
      <c r="V526" s="210"/>
    </row>
    <row r="527" spans="8:22" x14ac:dyDescent="0.2">
      <c r="H527" s="210"/>
      <c r="U527" s="210"/>
      <c r="V527" s="210"/>
    </row>
    <row r="528" spans="8:22" x14ac:dyDescent="0.2">
      <c r="H528" s="210"/>
      <c r="U528" s="210"/>
      <c r="V528" s="210"/>
    </row>
    <row r="529" spans="8:22" x14ac:dyDescent="0.2">
      <c r="H529" s="210"/>
      <c r="U529" s="210"/>
      <c r="V529" s="210"/>
    </row>
    <row r="530" spans="8:22" x14ac:dyDescent="0.2">
      <c r="H530" s="210"/>
      <c r="U530" s="210"/>
      <c r="V530" s="210"/>
    </row>
    <row r="531" spans="8:22" x14ac:dyDescent="0.2">
      <c r="H531" s="210"/>
      <c r="U531" s="210"/>
      <c r="V531" s="210"/>
    </row>
    <row r="532" spans="8:22" x14ac:dyDescent="0.2">
      <c r="H532" s="210"/>
      <c r="U532" s="210"/>
      <c r="V532" s="210"/>
    </row>
    <row r="533" spans="8:22" x14ac:dyDescent="0.2">
      <c r="H533" s="210"/>
      <c r="U533" s="210"/>
      <c r="V533" s="210"/>
    </row>
    <row r="534" spans="8:22" x14ac:dyDescent="0.2">
      <c r="H534" s="210"/>
      <c r="U534" s="210"/>
      <c r="V534" s="210"/>
    </row>
    <row r="535" spans="8:22" x14ac:dyDescent="0.2">
      <c r="H535" s="210"/>
      <c r="U535" s="210"/>
      <c r="V535" s="210"/>
    </row>
    <row r="536" spans="8:22" x14ac:dyDescent="0.2">
      <c r="H536" s="210"/>
      <c r="U536" s="210"/>
      <c r="V536" s="210"/>
    </row>
    <row r="537" spans="8:22" x14ac:dyDescent="0.2">
      <c r="H537" s="210"/>
      <c r="U537" s="210"/>
      <c r="V537" s="210"/>
    </row>
    <row r="538" spans="8:22" x14ac:dyDescent="0.2">
      <c r="H538" s="210"/>
      <c r="U538" s="210"/>
      <c r="V538" s="210"/>
    </row>
    <row r="539" spans="8:22" x14ac:dyDescent="0.2">
      <c r="H539" s="210"/>
      <c r="U539" s="210"/>
      <c r="V539" s="210"/>
    </row>
    <row r="540" spans="8:22" x14ac:dyDescent="0.2">
      <c r="H540" s="210"/>
      <c r="U540" s="210"/>
      <c r="V540" s="210"/>
    </row>
    <row r="541" spans="8:22" x14ac:dyDescent="0.2">
      <c r="H541" s="210"/>
      <c r="U541" s="210"/>
      <c r="V541" s="210"/>
    </row>
    <row r="542" spans="8:22" x14ac:dyDescent="0.2">
      <c r="H542" s="210"/>
      <c r="U542" s="210"/>
      <c r="V542" s="210"/>
    </row>
    <row r="543" spans="8:22" x14ac:dyDescent="0.2">
      <c r="H543" s="210"/>
      <c r="U543" s="210"/>
      <c r="V543" s="210"/>
    </row>
    <row r="544" spans="8:22" x14ac:dyDescent="0.2">
      <c r="H544" s="210"/>
      <c r="U544" s="210"/>
      <c r="V544" s="210"/>
    </row>
    <row r="545" spans="8:22" x14ac:dyDescent="0.2">
      <c r="H545" s="210"/>
      <c r="U545" s="210"/>
      <c r="V545" s="210"/>
    </row>
    <row r="546" spans="8:22" x14ac:dyDescent="0.2">
      <c r="H546" s="210"/>
      <c r="U546" s="210"/>
      <c r="V546" s="210"/>
    </row>
    <row r="547" spans="8:22" x14ac:dyDescent="0.2">
      <c r="H547" s="210"/>
      <c r="U547" s="210"/>
      <c r="V547" s="210"/>
    </row>
    <row r="548" spans="8:22" x14ac:dyDescent="0.2">
      <c r="H548" s="210"/>
      <c r="U548" s="210"/>
      <c r="V548" s="210"/>
    </row>
    <row r="549" spans="8:22" x14ac:dyDescent="0.2">
      <c r="H549" s="210"/>
      <c r="U549" s="210"/>
      <c r="V549" s="210"/>
    </row>
    <row r="550" spans="8:22" x14ac:dyDescent="0.2">
      <c r="H550" s="210"/>
      <c r="U550" s="210"/>
      <c r="V550" s="210"/>
    </row>
    <row r="551" spans="8:22" x14ac:dyDescent="0.2">
      <c r="H551" s="210"/>
      <c r="U551" s="210"/>
      <c r="V551" s="210"/>
    </row>
    <row r="552" spans="8:22" x14ac:dyDescent="0.2">
      <c r="H552" s="210"/>
      <c r="U552" s="210"/>
      <c r="V552" s="210"/>
    </row>
    <row r="553" spans="8:22" x14ac:dyDescent="0.2">
      <c r="H553" s="210"/>
      <c r="U553" s="210"/>
      <c r="V553" s="210"/>
    </row>
    <row r="554" spans="8:22" x14ac:dyDescent="0.2">
      <c r="H554" s="210"/>
      <c r="U554" s="210"/>
      <c r="V554" s="210"/>
    </row>
    <row r="555" spans="8:22" x14ac:dyDescent="0.2">
      <c r="H555" s="210"/>
      <c r="U555" s="210"/>
      <c r="V555" s="210"/>
    </row>
    <row r="556" spans="8:22" x14ac:dyDescent="0.2">
      <c r="H556" s="210"/>
      <c r="U556" s="210"/>
      <c r="V556" s="210"/>
    </row>
    <row r="557" spans="8:22" x14ac:dyDescent="0.2">
      <c r="H557" s="210"/>
      <c r="U557" s="210"/>
      <c r="V557" s="210"/>
    </row>
    <row r="558" spans="8:22" x14ac:dyDescent="0.2">
      <c r="H558" s="210"/>
      <c r="U558" s="210"/>
      <c r="V558" s="210"/>
    </row>
    <row r="559" spans="8:22" x14ac:dyDescent="0.2">
      <c r="H559" s="210"/>
      <c r="U559" s="210"/>
      <c r="V559" s="210"/>
    </row>
    <row r="560" spans="8:22" x14ac:dyDescent="0.2">
      <c r="H560" s="210"/>
      <c r="U560" s="210"/>
      <c r="V560" s="210"/>
    </row>
    <row r="561" spans="8:22" x14ac:dyDescent="0.2">
      <c r="H561" s="210"/>
      <c r="U561" s="210"/>
      <c r="V561" s="210"/>
    </row>
    <row r="562" spans="8:22" x14ac:dyDescent="0.2">
      <c r="H562" s="210"/>
      <c r="U562" s="210"/>
      <c r="V562" s="210"/>
    </row>
    <row r="563" spans="8:22" x14ac:dyDescent="0.2">
      <c r="H563" s="210"/>
      <c r="U563" s="210"/>
      <c r="V563" s="210"/>
    </row>
    <row r="564" spans="8:22" x14ac:dyDescent="0.2">
      <c r="H564" s="210"/>
      <c r="U564" s="210"/>
      <c r="V564" s="210"/>
    </row>
    <row r="565" spans="8:22" x14ac:dyDescent="0.2">
      <c r="H565" s="210"/>
      <c r="U565" s="210"/>
      <c r="V565" s="210"/>
    </row>
    <row r="566" spans="8:22" x14ac:dyDescent="0.2">
      <c r="H566" s="210"/>
      <c r="U566" s="210"/>
      <c r="V566" s="210"/>
    </row>
    <row r="567" spans="8:22" x14ac:dyDescent="0.2">
      <c r="H567" s="210"/>
      <c r="U567" s="210"/>
      <c r="V567" s="210"/>
    </row>
    <row r="568" spans="8:22" x14ac:dyDescent="0.2">
      <c r="H568" s="210"/>
      <c r="U568" s="210"/>
      <c r="V568" s="210"/>
    </row>
    <row r="569" spans="8:22" x14ac:dyDescent="0.2">
      <c r="H569" s="210"/>
      <c r="U569" s="210"/>
      <c r="V569" s="210"/>
    </row>
    <row r="570" spans="8:22" x14ac:dyDescent="0.2">
      <c r="H570" s="210"/>
      <c r="U570" s="210"/>
      <c r="V570" s="210"/>
    </row>
    <row r="571" spans="8:22" x14ac:dyDescent="0.2">
      <c r="H571" s="210"/>
      <c r="U571" s="210"/>
      <c r="V571" s="210"/>
    </row>
    <row r="572" spans="8:22" x14ac:dyDescent="0.2">
      <c r="H572" s="210"/>
      <c r="U572" s="210"/>
      <c r="V572" s="210"/>
    </row>
    <row r="573" spans="8:22" x14ac:dyDescent="0.2">
      <c r="H573" s="210"/>
      <c r="U573" s="210"/>
      <c r="V573" s="210"/>
    </row>
    <row r="574" spans="8:22" x14ac:dyDescent="0.2">
      <c r="H574" s="210"/>
      <c r="U574" s="210"/>
      <c r="V574" s="210"/>
    </row>
    <row r="575" spans="8:22" x14ac:dyDescent="0.2">
      <c r="H575" s="210"/>
      <c r="U575" s="210"/>
      <c r="V575" s="210"/>
    </row>
    <row r="576" spans="8:22" x14ac:dyDescent="0.2">
      <c r="H576" s="210"/>
      <c r="U576" s="210"/>
      <c r="V576" s="210"/>
    </row>
    <row r="577" spans="8:22" x14ac:dyDescent="0.2">
      <c r="H577" s="210"/>
      <c r="U577" s="210"/>
      <c r="V577" s="210"/>
    </row>
    <row r="578" spans="8:22" x14ac:dyDescent="0.2">
      <c r="H578" s="210"/>
      <c r="U578" s="210"/>
      <c r="V578" s="210"/>
    </row>
    <row r="579" spans="8:22" x14ac:dyDescent="0.2">
      <c r="H579" s="210"/>
      <c r="U579" s="210"/>
      <c r="V579" s="210"/>
    </row>
    <row r="580" spans="8:22" x14ac:dyDescent="0.2">
      <c r="H580" s="210"/>
      <c r="U580" s="210"/>
      <c r="V580" s="210"/>
    </row>
    <row r="581" spans="8:22" x14ac:dyDescent="0.2">
      <c r="H581" s="210"/>
      <c r="U581" s="210"/>
      <c r="V581" s="210"/>
    </row>
    <row r="582" spans="8:22" x14ac:dyDescent="0.2">
      <c r="H582" s="210"/>
      <c r="U582" s="210"/>
      <c r="V582" s="210"/>
    </row>
    <row r="583" spans="8:22" x14ac:dyDescent="0.2">
      <c r="H583" s="210"/>
      <c r="U583" s="210"/>
      <c r="V583" s="210"/>
    </row>
    <row r="584" spans="8:22" x14ac:dyDescent="0.2">
      <c r="H584" s="210"/>
      <c r="U584" s="210"/>
      <c r="V584" s="210"/>
    </row>
    <row r="585" spans="8:22" x14ac:dyDescent="0.2">
      <c r="H585" s="210"/>
      <c r="U585" s="210"/>
      <c r="V585" s="210"/>
    </row>
    <row r="586" spans="8:22" x14ac:dyDescent="0.2">
      <c r="H586" s="210"/>
      <c r="U586" s="210"/>
      <c r="V586" s="210"/>
    </row>
    <row r="587" spans="8:22" x14ac:dyDescent="0.2">
      <c r="H587" s="210"/>
      <c r="U587" s="210"/>
      <c r="V587" s="210"/>
    </row>
    <row r="588" spans="8:22" x14ac:dyDescent="0.2">
      <c r="H588" s="210"/>
      <c r="U588" s="210"/>
      <c r="V588" s="210"/>
    </row>
    <row r="589" spans="8:22" x14ac:dyDescent="0.2">
      <c r="H589" s="210"/>
      <c r="U589" s="210"/>
      <c r="V589" s="210"/>
    </row>
    <row r="590" spans="8:22" x14ac:dyDescent="0.2">
      <c r="H590" s="210"/>
      <c r="U590" s="210"/>
      <c r="V590" s="210"/>
    </row>
    <row r="591" spans="8:22" x14ac:dyDescent="0.2">
      <c r="H591" s="210"/>
      <c r="U591" s="210"/>
      <c r="V591" s="210"/>
    </row>
    <row r="592" spans="8:22" x14ac:dyDescent="0.2">
      <c r="H592" s="210"/>
      <c r="U592" s="210"/>
      <c r="V592" s="210"/>
    </row>
    <row r="593" spans="8:22" x14ac:dyDescent="0.2">
      <c r="H593" s="210"/>
      <c r="U593" s="210"/>
      <c r="V593" s="210"/>
    </row>
    <row r="594" spans="8:22" x14ac:dyDescent="0.2">
      <c r="H594" s="210"/>
      <c r="U594" s="210"/>
      <c r="V594" s="210"/>
    </row>
    <row r="595" spans="8:22" x14ac:dyDescent="0.2">
      <c r="H595" s="210"/>
      <c r="U595" s="210"/>
      <c r="V595" s="210"/>
    </row>
    <row r="596" spans="8:22" x14ac:dyDescent="0.2">
      <c r="H596" s="210"/>
      <c r="U596" s="210"/>
      <c r="V596" s="210"/>
    </row>
    <row r="597" spans="8:22" x14ac:dyDescent="0.2">
      <c r="H597" s="210"/>
      <c r="U597" s="210"/>
      <c r="V597" s="210"/>
    </row>
    <row r="598" spans="8:22" x14ac:dyDescent="0.2">
      <c r="H598" s="210"/>
      <c r="U598" s="210"/>
      <c r="V598" s="210"/>
    </row>
    <row r="599" spans="8:22" x14ac:dyDescent="0.2">
      <c r="H599" s="210"/>
      <c r="U599" s="210"/>
      <c r="V599" s="210"/>
    </row>
    <row r="600" spans="8:22" x14ac:dyDescent="0.2">
      <c r="H600" s="210"/>
      <c r="U600" s="210"/>
      <c r="V600" s="210"/>
    </row>
    <row r="601" spans="8:22" x14ac:dyDescent="0.2">
      <c r="H601" s="210"/>
      <c r="U601" s="210"/>
      <c r="V601" s="210"/>
    </row>
    <row r="602" spans="8:22" x14ac:dyDescent="0.2">
      <c r="H602" s="210"/>
      <c r="U602" s="210"/>
      <c r="V602" s="210"/>
    </row>
    <row r="603" spans="8:22" x14ac:dyDescent="0.2">
      <c r="H603" s="210"/>
      <c r="U603" s="210"/>
      <c r="V603" s="210"/>
    </row>
    <row r="604" spans="8:22" x14ac:dyDescent="0.2">
      <c r="H604" s="210"/>
      <c r="U604" s="210"/>
      <c r="V604" s="210"/>
    </row>
    <row r="605" spans="8:22" x14ac:dyDescent="0.2">
      <c r="H605" s="210"/>
      <c r="U605" s="210"/>
      <c r="V605" s="210"/>
    </row>
    <row r="606" spans="8:22" x14ac:dyDescent="0.2">
      <c r="H606" s="210"/>
      <c r="U606" s="210"/>
      <c r="V606" s="210"/>
    </row>
    <row r="607" spans="8:22" x14ac:dyDescent="0.2">
      <c r="H607" s="210"/>
      <c r="U607" s="210"/>
      <c r="V607" s="210"/>
    </row>
    <row r="608" spans="8:22" x14ac:dyDescent="0.2">
      <c r="H608" s="210"/>
      <c r="U608" s="210"/>
      <c r="V608" s="210"/>
    </row>
    <row r="609" spans="8:22" x14ac:dyDescent="0.2">
      <c r="H609" s="210"/>
      <c r="U609" s="210"/>
      <c r="V609" s="210"/>
    </row>
    <row r="610" spans="8:22" x14ac:dyDescent="0.2">
      <c r="H610" s="210"/>
      <c r="U610" s="210"/>
      <c r="V610" s="210"/>
    </row>
    <row r="611" spans="8:22" x14ac:dyDescent="0.2">
      <c r="H611" s="210"/>
      <c r="U611" s="210"/>
      <c r="V611" s="210"/>
    </row>
    <row r="612" spans="8:22" x14ac:dyDescent="0.2">
      <c r="H612" s="210"/>
      <c r="U612" s="210"/>
      <c r="V612" s="210"/>
    </row>
    <row r="613" spans="8:22" x14ac:dyDescent="0.2">
      <c r="H613" s="210"/>
      <c r="U613" s="210"/>
      <c r="V613" s="210"/>
    </row>
    <row r="614" spans="8:22" x14ac:dyDescent="0.2">
      <c r="H614" s="210"/>
      <c r="U614" s="210"/>
      <c r="V614" s="210"/>
    </row>
    <row r="615" spans="8:22" x14ac:dyDescent="0.2">
      <c r="H615" s="210"/>
      <c r="U615" s="210"/>
      <c r="V615" s="210"/>
    </row>
    <row r="616" spans="8:22" x14ac:dyDescent="0.2">
      <c r="H616" s="210"/>
      <c r="U616" s="210"/>
      <c r="V616" s="210"/>
    </row>
    <row r="617" spans="8:22" x14ac:dyDescent="0.2">
      <c r="H617" s="210"/>
      <c r="U617" s="210"/>
      <c r="V617" s="210"/>
    </row>
    <row r="618" spans="8:22" x14ac:dyDescent="0.2">
      <c r="H618" s="210"/>
      <c r="U618" s="210"/>
      <c r="V618" s="210"/>
    </row>
    <row r="619" spans="8:22" x14ac:dyDescent="0.2">
      <c r="H619" s="210"/>
      <c r="U619" s="210"/>
      <c r="V619" s="210"/>
    </row>
    <row r="620" spans="8:22" x14ac:dyDescent="0.2">
      <c r="H620" s="210"/>
      <c r="U620" s="210"/>
      <c r="V620" s="210"/>
    </row>
    <row r="621" spans="8:22" x14ac:dyDescent="0.2">
      <c r="H621" s="210"/>
      <c r="U621" s="210"/>
      <c r="V621" s="210"/>
    </row>
    <row r="622" spans="8:22" x14ac:dyDescent="0.2">
      <c r="H622" s="210"/>
      <c r="U622" s="210"/>
      <c r="V622" s="210"/>
    </row>
    <row r="623" spans="8:22" x14ac:dyDescent="0.2">
      <c r="H623" s="210"/>
      <c r="U623" s="210"/>
      <c r="V623" s="210"/>
    </row>
    <row r="624" spans="8:22" x14ac:dyDescent="0.2">
      <c r="H624" s="210"/>
      <c r="U624" s="210"/>
      <c r="V624" s="210"/>
    </row>
    <row r="625" spans="8:22" x14ac:dyDescent="0.2">
      <c r="H625" s="210"/>
      <c r="U625" s="210"/>
      <c r="V625" s="210"/>
    </row>
    <row r="626" spans="8:22" x14ac:dyDescent="0.2">
      <c r="H626" s="210"/>
      <c r="U626" s="210"/>
      <c r="V626" s="210"/>
    </row>
    <row r="627" spans="8:22" x14ac:dyDescent="0.2">
      <c r="H627" s="210"/>
      <c r="U627" s="210"/>
      <c r="V627" s="210"/>
    </row>
    <row r="628" spans="8:22" x14ac:dyDescent="0.2">
      <c r="H628" s="210"/>
      <c r="U628" s="210"/>
      <c r="V628" s="210"/>
    </row>
    <row r="629" spans="8:22" x14ac:dyDescent="0.2">
      <c r="H629" s="210"/>
      <c r="U629" s="210"/>
      <c r="V629" s="210"/>
    </row>
    <row r="630" spans="8:22" x14ac:dyDescent="0.2">
      <c r="H630" s="210"/>
      <c r="U630" s="210"/>
      <c r="V630" s="210"/>
    </row>
    <row r="631" spans="8:22" x14ac:dyDescent="0.2">
      <c r="H631" s="210"/>
      <c r="U631" s="210"/>
      <c r="V631" s="210"/>
    </row>
    <row r="632" spans="8:22" x14ac:dyDescent="0.2">
      <c r="H632" s="210"/>
      <c r="U632" s="210"/>
      <c r="V632" s="210"/>
    </row>
    <row r="633" spans="8:22" x14ac:dyDescent="0.2">
      <c r="H633" s="210"/>
      <c r="U633" s="210"/>
      <c r="V633" s="210"/>
    </row>
    <row r="634" spans="8:22" x14ac:dyDescent="0.2">
      <c r="H634" s="210"/>
      <c r="U634" s="210"/>
      <c r="V634" s="210"/>
    </row>
    <row r="635" spans="8:22" x14ac:dyDescent="0.2">
      <c r="H635" s="210"/>
      <c r="U635" s="210"/>
      <c r="V635" s="210"/>
    </row>
    <row r="636" spans="8:22" x14ac:dyDescent="0.2">
      <c r="H636" s="210"/>
      <c r="U636" s="210"/>
      <c r="V636" s="210"/>
    </row>
    <row r="637" spans="8:22" x14ac:dyDescent="0.2">
      <c r="H637" s="210"/>
      <c r="U637" s="210"/>
      <c r="V637" s="210"/>
    </row>
    <row r="638" spans="8:22" x14ac:dyDescent="0.2">
      <c r="H638" s="210"/>
      <c r="U638" s="210"/>
      <c r="V638" s="210"/>
    </row>
    <row r="639" spans="8:22" x14ac:dyDescent="0.2">
      <c r="H639" s="210"/>
      <c r="U639" s="210"/>
      <c r="V639" s="210"/>
    </row>
    <row r="640" spans="8:22" x14ac:dyDescent="0.2">
      <c r="H640" s="210"/>
      <c r="U640" s="210"/>
      <c r="V640" s="210"/>
    </row>
    <row r="641" spans="8:22" x14ac:dyDescent="0.2">
      <c r="H641" s="210"/>
      <c r="U641" s="210"/>
      <c r="V641" s="210"/>
    </row>
    <row r="642" spans="8:22" x14ac:dyDescent="0.2">
      <c r="H642" s="210"/>
      <c r="U642" s="210"/>
      <c r="V642" s="210"/>
    </row>
    <row r="643" spans="8:22" x14ac:dyDescent="0.2">
      <c r="H643" s="210"/>
      <c r="U643" s="210"/>
      <c r="V643" s="210"/>
    </row>
    <row r="644" spans="8:22" x14ac:dyDescent="0.2">
      <c r="H644" s="210"/>
      <c r="U644" s="210"/>
      <c r="V644" s="210"/>
    </row>
    <row r="645" spans="8:22" x14ac:dyDescent="0.2">
      <c r="H645" s="210"/>
      <c r="U645" s="210"/>
      <c r="V645" s="210"/>
    </row>
    <row r="646" spans="8:22" x14ac:dyDescent="0.2">
      <c r="H646" s="210"/>
      <c r="U646" s="210"/>
      <c r="V646" s="210"/>
    </row>
    <row r="647" spans="8:22" x14ac:dyDescent="0.2">
      <c r="H647" s="210"/>
      <c r="U647" s="210"/>
      <c r="V647" s="210"/>
    </row>
    <row r="648" spans="8:22" x14ac:dyDescent="0.2">
      <c r="H648" s="210"/>
      <c r="U648" s="210"/>
      <c r="V648" s="210"/>
    </row>
    <row r="649" spans="8:22" x14ac:dyDescent="0.2">
      <c r="H649" s="210"/>
      <c r="U649" s="210"/>
      <c r="V649" s="210"/>
    </row>
    <row r="650" spans="8:22" x14ac:dyDescent="0.2">
      <c r="H650" s="210"/>
      <c r="U650" s="210"/>
      <c r="V650" s="210"/>
    </row>
    <row r="651" spans="8:22" x14ac:dyDescent="0.2">
      <c r="H651" s="210"/>
      <c r="U651" s="210"/>
      <c r="V651" s="210"/>
    </row>
    <row r="652" spans="8:22" x14ac:dyDescent="0.2">
      <c r="H652" s="210"/>
      <c r="U652" s="210"/>
      <c r="V652" s="210"/>
    </row>
    <row r="653" spans="8:22" x14ac:dyDescent="0.2">
      <c r="H653" s="210"/>
      <c r="U653" s="210"/>
      <c r="V653" s="210"/>
    </row>
    <row r="654" spans="8:22" x14ac:dyDescent="0.2">
      <c r="H654" s="210"/>
      <c r="U654" s="210"/>
      <c r="V654" s="210"/>
    </row>
    <row r="655" spans="8:22" x14ac:dyDescent="0.2">
      <c r="H655" s="210"/>
      <c r="U655" s="210"/>
      <c r="V655" s="210"/>
    </row>
    <row r="656" spans="8:22" x14ac:dyDescent="0.2">
      <c r="H656" s="210"/>
      <c r="U656" s="210"/>
      <c r="V656" s="210"/>
    </row>
    <row r="657" spans="8:22" x14ac:dyDescent="0.2">
      <c r="H657" s="210"/>
      <c r="U657" s="210"/>
      <c r="V657" s="210"/>
    </row>
    <row r="658" spans="8:22" x14ac:dyDescent="0.2">
      <c r="H658" s="210"/>
      <c r="U658" s="210"/>
      <c r="V658" s="210"/>
    </row>
    <row r="659" spans="8:22" x14ac:dyDescent="0.2">
      <c r="H659" s="210"/>
      <c r="U659" s="210"/>
      <c r="V659" s="210"/>
    </row>
    <row r="660" spans="8:22" x14ac:dyDescent="0.2">
      <c r="H660" s="210"/>
      <c r="U660" s="210"/>
      <c r="V660" s="210"/>
    </row>
    <row r="661" spans="8:22" x14ac:dyDescent="0.2">
      <c r="H661" s="210"/>
      <c r="U661" s="210"/>
      <c r="V661" s="210"/>
    </row>
    <row r="662" spans="8:22" x14ac:dyDescent="0.2">
      <c r="H662" s="210"/>
      <c r="U662" s="210"/>
      <c r="V662" s="210"/>
    </row>
    <row r="663" spans="8:22" x14ac:dyDescent="0.2">
      <c r="H663" s="210"/>
      <c r="U663" s="210"/>
      <c r="V663" s="210"/>
    </row>
    <row r="664" spans="8:22" x14ac:dyDescent="0.2">
      <c r="H664" s="210"/>
      <c r="U664" s="210"/>
      <c r="V664" s="210"/>
    </row>
    <row r="665" spans="8:22" x14ac:dyDescent="0.2">
      <c r="H665" s="210"/>
      <c r="U665" s="210"/>
      <c r="V665" s="210"/>
    </row>
    <row r="666" spans="8:22" x14ac:dyDescent="0.2">
      <c r="H666" s="210"/>
      <c r="U666" s="210"/>
      <c r="V666" s="210"/>
    </row>
    <row r="667" spans="8:22" x14ac:dyDescent="0.2">
      <c r="H667" s="210"/>
      <c r="U667" s="210"/>
      <c r="V667" s="210"/>
    </row>
    <row r="668" spans="8:22" x14ac:dyDescent="0.2">
      <c r="H668" s="210"/>
      <c r="U668" s="210"/>
      <c r="V668" s="210"/>
    </row>
    <row r="669" spans="8:22" x14ac:dyDescent="0.2">
      <c r="H669" s="210"/>
      <c r="U669" s="210"/>
      <c r="V669" s="210"/>
    </row>
    <row r="670" spans="8:22" x14ac:dyDescent="0.2">
      <c r="H670" s="210"/>
      <c r="U670" s="210"/>
      <c r="V670" s="210"/>
    </row>
    <row r="671" spans="8:22" x14ac:dyDescent="0.2">
      <c r="H671" s="210"/>
      <c r="U671" s="210"/>
      <c r="V671" s="210"/>
    </row>
    <row r="672" spans="8:22" x14ac:dyDescent="0.2">
      <c r="H672" s="210"/>
      <c r="U672" s="210"/>
      <c r="V672" s="210"/>
    </row>
    <row r="673" spans="8:22" x14ac:dyDescent="0.2">
      <c r="H673" s="210"/>
      <c r="U673" s="210"/>
      <c r="V673" s="210"/>
    </row>
    <row r="674" spans="8:22" x14ac:dyDescent="0.2">
      <c r="H674" s="210"/>
      <c r="U674" s="210"/>
      <c r="V674" s="210"/>
    </row>
    <row r="675" spans="8:22" x14ac:dyDescent="0.2">
      <c r="H675" s="210"/>
      <c r="U675" s="210"/>
      <c r="V675" s="210"/>
    </row>
    <row r="676" spans="8:22" x14ac:dyDescent="0.2">
      <c r="H676" s="210"/>
      <c r="U676" s="210"/>
      <c r="V676" s="210"/>
    </row>
    <row r="677" spans="8:22" x14ac:dyDescent="0.2">
      <c r="H677" s="210"/>
      <c r="U677" s="210"/>
      <c r="V677" s="210"/>
    </row>
    <row r="678" spans="8:22" x14ac:dyDescent="0.2">
      <c r="H678" s="210"/>
      <c r="U678" s="210"/>
      <c r="V678" s="210"/>
    </row>
    <row r="679" spans="8:22" x14ac:dyDescent="0.2">
      <c r="H679" s="210"/>
      <c r="U679" s="210"/>
      <c r="V679" s="210"/>
    </row>
    <row r="680" spans="8:22" x14ac:dyDescent="0.2">
      <c r="H680" s="210"/>
      <c r="U680" s="210"/>
      <c r="V680" s="210"/>
    </row>
    <row r="681" spans="8:22" x14ac:dyDescent="0.2">
      <c r="H681" s="210"/>
      <c r="U681" s="210"/>
      <c r="V681" s="210"/>
    </row>
    <row r="682" spans="8:22" x14ac:dyDescent="0.2">
      <c r="H682" s="210"/>
      <c r="U682" s="210"/>
      <c r="V682" s="210"/>
    </row>
    <row r="683" spans="8:22" x14ac:dyDescent="0.2">
      <c r="H683" s="210"/>
      <c r="U683" s="210"/>
      <c r="V683" s="210"/>
    </row>
    <row r="684" spans="8:22" x14ac:dyDescent="0.2">
      <c r="H684" s="210"/>
      <c r="U684" s="210"/>
      <c r="V684" s="210"/>
    </row>
    <row r="685" spans="8:22" x14ac:dyDescent="0.2">
      <c r="H685" s="210"/>
      <c r="U685" s="210"/>
      <c r="V685" s="210"/>
    </row>
    <row r="686" spans="8:22" x14ac:dyDescent="0.2">
      <c r="H686" s="210"/>
      <c r="U686" s="210"/>
      <c r="V686" s="210"/>
    </row>
    <row r="687" spans="8:22" x14ac:dyDescent="0.2">
      <c r="H687" s="210"/>
      <c r="U687" s="210"/>
      <c r="V687" s="210"/>
    </row>
    <row r="688" spans="8:22" x14ac:dyDescent="0.2">
      <c r="H688" s="210"/>
      <c r="U688" s="210"/>
      <c r="V688" s="210"/>
    </row>
    <row r="689" spans="8:22" x14ac:dyDescent="0.2">
      <c r="H689" s="210"/>
      <c r="U689" s="210"/>
      <c r="V689" s="210"/>
    </row>
    <row r="690" spans="8:22" x14ac:dyDescent="0.2">
      <c r="H690" s="210"/>
      <c r="U690" s="210"/>
      <c r="V690" s="210"/>
    </row>
    <row r="691" spans="8:22" x14ac:dyDescent="0.2">
      <c r="H691" s="210"/>
      <c r="U691" s="210"/>
      <c r="V691" s="210"/>
    </row>
    <row r="692" spans="8:22" x14ac:dyDescent="0.2">
      <c r="H692" s="210"/>
      <c r="U692" s="210"/>
      <c r="V692" s="210"/>
    </row>
    <row r="693" spans="8:22" x14ac:dyDescent="0.2">
      <c r="H693" s="210"/>
      <c r="U693" s="210"/>
      <c r="V693" s="210"/>
    </row>
    <row r="694" spans="8:22" x14ac:dyDescent="0.2">
      <c r="H694" s="210"/>
      <c r="U694" s="210"/>
      <c r="V694" s="210"/>
    </row>
    <row r="695" spans="8:22" x14ac:dyDescent="0.2">
      <c r="H695" s="210"/>
      <c r="U695" s="210"/>
      <c r="V695" s="210"/>
    </row>
    <row r="696" spans="8:22" x14ac:dyDescent="0.2">
      <c r="H696" s="210"/>
      <c r="U696" s="210"/>
      <c r="V696" s="210"/>
    </row>
    <row r="697" spans="8:22" x14ac:dyDescent="0.2">
      <c r="H697" s="210"/>
      <c r="U697" s="210"/>
      <c r="V697" s="210"/>
    </row>
    <row r="698" spans="8:22" x14ac:dyDescent="0.2">
      <c r="H698" s="210"/>
      <c r="U698" s="210"/>
      <c r="V698" s="210"/>
    </row>
    <row r="699" spans="8:22" x14ac:dyDescent="0.2">
      <c r="H699" s="210"/>
      <c r="U699" s="210"/>
      <c r="V699" s="210"/>
    </row>
    <row r="700" spans="8:22" x14ac:dyDescent="0.2">
      <c r="H700" s="210"/>
      <c r="U700" s="210"/>
      <c r="V700" s="210"/>
    </row>
    <row r="701" spans="8:22" x14ac:dyDescent="0.2">
      <c r="H701" s="210"/>
      <c r="U701" s="210"/>
      <c r="V701" s="210"/>
    </row>
    <row r="702" spans="8:22" x14ac:dyDescent="0.2">
      <c r="H702" s="210"/>
      <c r="U702" s="210"/>
      <c r="V702" s="210"/>
    </row>
    <row r="703" spans="8:22" x14ac:dyDescent="0.2">
      <c r="H703" s="210"/>
      <c r="U703" s="210"/>
      <c r="V703" s="210"/>
    </row>
    <row r="704" spans="8:22" x14ac:dyDescent="0.2">
      <c r="H704" s="210"/>
      <c r="U704" s="210"/>
      <c r="V704" s="210"/>
    </row>
    <row r="705" spans="8:22" x14ac:dyDescent="0.2">
      <c r="H705" s="210"/>
      <c r="U705" s="210"/>
      <c r="V705" s="210"/>
    </row>
    <row r="706" spans="8:22" x14ac:dyDescent="0.2">
      <c r="H706" s="210"/>
      <c r="U706" s="210"/>
      <c r="V706" s="210"/>
    </row>
    <row r="707" spans="8:22" x14ac:dyDescent="0.2">
      <c r="H707" s="210"/>
      <c r="U707" s="210"/>
      <c r="V707" s="210"/>
    </row>
    <row r="708" spans="8:22" x14ac:dyDescent="0.2">
      <c r="H708" s="210"/>
      <c r="U708" s="210"/>
      <c r="V708" s="210"/>
    </row>
    <row r="709" spans="8:22" x14ac:dyDescent="0.2">
      <c r="H709" s="210"/>
      <c r="U709" s="210"/>
      <c r="V709" s="210"/>
    </row>
    <row r="710" spans="8:22" x14ac:dyDescent="0.2">
      <c r="H710" s="210"/>
      <c r="U710" s="210"/>
      <c r="V710" s="210"/>
    </row>
    <row r="711" spans="8:22" x14ac:dyDescent="0.2">
      <c r="H711" s="210"/>
      <c r="U711" s="210"/>
      <c r="V711" s="210"/>
    </row>
    <row r="712" spans="8:22" x14ac:dyDescent="0.2">
      <c r="H712" s="210"/>
      <c r="U712" s="210"/>
      <c r="V712" s="210"/>
    </row>
    <row r="713" spans="8:22" x14ac:dyDescent="0.2">
      <c r="H713" s="210"/>
      <c r="U713" s="210"/>
      <c r="V713" s="210"/>
    </row>
    <row r="714" spans="8:22" x14ac:dyDescent="0.2">
      <c r="H714" s="210"/>
      <c r="U714" s="210"/>
      <c r="V714" s="210"/>
    </row>
    <row r="715" spans="8:22" x14ac:dyDescent="0.2">
      <c r="H715" s="210"/>
      <c r="U715" s="210"/>
      <c r="V715" s="210"/>
    </row>
    <row r="716" spans="8:22" x14ac:dyDescent="0.2">
      <c r="H716" s="210"/>
      <c r="U716" s="210"/>
      <c r="V716" s="210"/>
    </row>
    <row r="717" spans="8:22" x14ac:dyDescent="0.2">
      <c r="H717" s="210"/>
      <c r="U717" s="210"/>
      <c r="V717" s="210"/>
    </row>
    <row r="718" spans="8:22" x14ac:dyDescent="0.2">
      <c r="H718" s="210"/>
      <c r="U718" s="210"/>
      <c r="V718" s="210"/>
    </row>
    <row r="719" spans="8:22" x14ac:dyDescent="0.2">
      <c r="H719" s="210"/>
      <c r="U719" s="210"/>
      <c r="V719" s="210"/>
    </row>
    <row r="720" spans="8:22" x14ac:dyDescent="0.2">
      <c r="H720" s="210"/>
      <c r="U720" s="210"/>
      <c r="V720" s="210"/>
    </row>
    <row r="721" spans="8:22" x14ac:dyDescent="0.2">
      <c r="H721" s="210"/>
      <c r="U721" s="210"/>
      <c r="V721" s="210"/>
    </row>
    <row r="722" spans="8:22" x14ac:dyDescent="0.2">
      <c r="H722" s="210"/>
      <c r="U722" s="210"/>
      <c r="V722" s="210"/>
    </row>
    <row r="723" spans="8:22" x14ac:dyDescent="0.2">
      <c r="H723" s="210"/>
      <c r="U723" s="210"/>
      <c r="V723" s="210"/>
    </row>
    <row r="724" spans="8:22" x14ac:dyDescent="0.2">
      <c r="H724" s="210"/>
      <c r="U724" s="210"/>
      <c r="V724" s="210"/>
    </row>
    <row r="725" spans="8:22" x14ac:dyDescent="0.2">
      <c r="H725" s="210"/>
      <c r="U725" s="210"/>
      <c r="V725" s="210"/>
    </row>
    <row r="726" spans="8:22" x14ac:dyDescent="0.2">
      <c r="H726" s="210"/>
      <c r="U726" s="210"/>
      <c r="V726" s="210"/>
    </row>
    <row r="727" spans="8:22" x14ac:dyDescent="0.2">
      <c r="H727" s="210"/>
      <c r="U727" s="210"/>
      <c r="V727" s="210"/>
    </row>
    <row r="728" spans="8:22" x14ac:dyDescent="0.2">
      <c r="H728" s="210"/>
      <c r="U728" s="210"/>
      <c r="V728" s="210"/>
    </row>
    <row r="729" spans="8:22" x14ac:dyDescent="0.2">
      <c r="H729" s="210"/>
      <c r="U729" s="210"/>
      <c r="V729" s="210"/>
    </row>
    <row r="730" spans="8:22" x14ac:dyDescent="0.2">
      <c r="H730" s="210"/>
      <c r="U730" s="210"/>
      <c r="V730" s="210"/>
    </row>
    <row r="731" spans="8:22" x14ac:dyDescent="0.2">
      <c r="H731" s="210"/>
      <c r="U731" s="210"/>
      <c r="V731" s="210"/>
    </row>
    <row r="732" spans="8:22" x14ac:dyDescent="0.2">
      <c r="H732" s="210"/>
      <c r="U732" s="210"/>
      <c r="V732" s="210"/>
    </row>
    <row r="733" spans="8:22" x14ac:dyDescent="0.2">
      <c r="H733" s="210"/>
      <c r="U733" s="210"/>
      <c r="V733" s="210"/>
    </row>
    <row r="734" spans="8:22" x14ac:dyDescent="0.2">
      <c r="H734" s="210"/>
      <c r="U734" s="210"/>
      <c r="V734" s="210"/>
    </row>
    <row r="735" spans="8:22" x14ac:dyDescent="0.2">
      <c r="H735" s="210"/>
      <c r="U735" s="210"/>
      <c r="V735" s="210"/>
    </row>
    <row r="736" spans="8:22" x14ac:dyDescent="0.2">
      <c r="H736" s="210"/>
      <c r="U736" s="210"/>
      <c r="V736" s="210"/>
    </row>
    <row r="737" spans="8:22" x14ac:dyDescent="0.2">
      <c r="H737" s="210"/>
      <c r="U737" s="210"/>
      <c r="V737" s="210"/>
    </row>
    <row r="738" spans="8:22" x14ac:dyDescent="0.2">
      <c r="H738" s="210"/>
      <c r="U738" s="210"/>
      <c r="V738" s="210"/>
    </row>
    <row r="739" spans="8:22" x14ac:dyDescent="0.2">
      <c r="H739" s="210"/>
      <c r="U739" s="210"/>
      <c r="V739" s="210"/>
    </row>
    <row r="740" spans="8:22" x14ac:dyDescent="0.2">
      <c r="H740" s="210"/>
      <c r="U740" s="210"/>
      <c r="V740" s="210"/>
    </row>
    <row r="741" spans="8:22" x14ac:dyDescent="0.2">
      <c r="H741" s="210"/>
      <c r="U741" s="210"/>
      <c r="V741" s="210"/>
    </row>
    <row r="742" spans="8:22" x14ac:dyDescent="0.2">
      <c r="H742" s="210"/>
      <c r="U742" s="210"/>
      <c r="V742" s="210"/>
    </row>
    <row r="743" spans="8:22" x14ac:dyDescent="0.2">
      <c r="H743" s="210"/>
      <c r="U743" s="210"/>
      <c r="V743" s="210"/>
    </row>
    <row r="744" spans="8:22" x14ac:dyDescent="0.2">
      <c r="H744" s="210"/>
      <c r="U744" s="210"/>
      <c r="V744" s="210"/>
    </row>
    <row r="745" spans="8:22" x14ac:dyDescent="0.2">
      <c r="H745" s="210"/>
      <c r="U745" s="210"/>
      <c r="V745" s="210"/>
    </row>
    <row r="746" spans="8:22" x14ac:dyDescent="0.2">
      <c r="H746" s="210"/>
      <c r="U746" s="210"/>
      <c r="V746" s="210"/>
    </row>
    <row r="747" spans="8:22" x14ac:dyDescent="0.2">
      <c r="H747" s="210"/>
      <c r="U747" s="210"/>
      <c r="V747" s="210"/>
    </row>
    <row r="748" spans="8:22" x14ac:dyDescent="0.2">
      <c r="H748" s="210"/>
      <c r="U748" s="210"/>
      <c r="V748" s="210"/>
    </row>
    <row r="749" spans="8:22" x14ac:dyDescent="0.2">
      <c r="H749" s="210"/>
      <c r="U749" s="210"/>
      <c r="V749" s="210"/>
    </row>
    <row r="750" spans="8:22" x14ac:dyDescent="0.2">
      <c r="H750" s="210"/>
      <c r="U750" s="210"/>
      <c r="V750" s="210"/>
    </row>
    <row r="751" spans="8:22" x14ac:dyDescent="0.2">
      <c r="H751" s="210"/>
      <c r="U751" s="210"/>
      <c r="V751" s="210"/>
    </row>
    <row r="752" spans="8:22" x14ac:dyDescent="0.2">
      <c r="H752" s="210"/>
      <c r="U752" s="210"/>
      <c r="V752" s="210"/>
    </row>
    <row r="753" spans="8:22" x14ac:dyDescent="0.2">
      <c r="H753" s="210"/>
      <c r="U753" s="210"/>
      <c r="V753" s="210"/>
    </row>
    <row r="754" spans="8:22" x14ac:dyDescent="0.2">
      <c r="H754" s="210"/>
      <c r="U754" s="210"/>
      <c r="V754" s="210"/>
    </row>
    <row r="755" spans="8:22" x14ac:dyDescent="0.2">
      <c r="H755" s="210"/>
      <c r="U755" s="210"/>
      <c r="V755" s="210"/>
    </row>
    <row r="756" spans="8:22" x14ac:dyDescent="0.2">
      <c r="H756" s="210"/>
      <c r="U756" s="210"/>
      <c r="V756" s="210"/>
    </row>
    <row r="757" spans="8:22" x14ac:dyDescent="0.2">
      <c r="H757" s="210"/>
      <c r="U757" s="210"/>
      <c r="V757" s="210"/>
    </row>
    <row r="758" spans="8:22" x14ac:dyDescent="0.2">
      <c r="H758" s="210"/>
      <c r="U758" s="210"/>
      <c r="V758" s="210"/>
    </row>
    <row r="759" spans="8:22" x14ac:dyDescent="0.2">
      <c r="H759" s="210"/>
      <c r="U759" s="210"/>
      <c r="V759" s="210"/>
    </row>
    <row r="760" spans="8:22" x14ac:dyDescent="0.2">
      <c r="H760" s="210"/>
      <c r="U760" s="210"/>
      <c r="V760" s="210"/>
    </row>
    <row r="761" spans="8:22" x14ac:dyDescent="0.2">
      <c r="H761" s="210"/>
      <c r="U761" s="210"/>
      <c r="V761" s="210"/>
    </row>
    <row r="762" spans="8:22" x14ac:dyDescent="0.2">
      <c r="H762" s="210"/>
      <c r="U762" s="210"/>
      <c r="V762" s="210"/>
    </row>
    <row r="763" spans="8:22" x14ac:dyDescent="0.2">
      <c r="H763" s="210"/>
      <c r="U763" s="210"/>
      <c r="V763" s="210"/>
    </row>
    <row r="764" spans="8:22" x14ac:dyDescent="0.2">
      <c r="H764" s="210"/>
      <c r="U764" s="210"/>
      <c r="V764" s="210"/>
    </row>
    <row r="765" spans="8:22" x14ac:dyDescent="0.2">
      <c r="H765" s="210"/>
      <c r="U765" s="210"/>
      <c r="V765" s="210"/>
    </row>
    <row r="766" spans="8:22" x14ac:dyDescent="0.2">
      <c r="H766" s="210"/>
      <c r="U766" s="210"/>
      <c r="V766" s="210"/>
    </row>
    <row r="767" spans="8:22" x14ac:dyDescent="0.2">
      <c r="H767" s="210"/>
      <c r="U767" s="210"/>
      <c r="V767" s="210"/>
    </row>
    <row r="768" spans="8:22" x14ac:dyDescent="0.2">
      <c r="H768" s="210"/>
      <c r="U768" s="210"/>
      <c r="V768" s="210"/>
    </row>
    <row r="769" spans="8:22" x14ac:dyDescent="0.2">
      <c r="H769" s="210"/>
      <c r="U769" s="210"/>
      <c r="V769" s="210"/>
    </row>
    <row r="770" spans="8:22" x14ac:dyDescent="0.2">
      <c r="H770" s="210"/>
      <c r="U770" s="210"/>
      <c r="V770" s="210"/>
    </row>
    <row r="771" spans="8:22" x14ac:dyDescent="0.2">
      <c r="H771" s="210"/>
      <c r="U771" s="210"/>
      <c r="V771" s="210"/>
    </row>
    <row r="772" spans="8:22" x14ac:dyDescent="0.2">
      <c r="H772" s="210"/>
      <c r="U772" s="210"/>
      <c r="V772" s="210"/>
    </row>
    <row r="773" spans="8:22" x14ac:dyDescent="0.2">
      <c r="H773" s="210"/>
      <c r="U773" s="210"/>
      <c r="V773" s="210"/>
    </row>
    <row r="774" spans="8:22" x14ac:dyDescent="0.2">
      <c r="H774" s="210"/>
      <c r="U774" s="210"/>
      <c r="V774" s="210"/>
    </row>
    <row r="775" spans="8:22" x14ac:dyDescent="0.2">
      <c r="H775" s="210"/>
      <c r="U775" s="210"/>
      <c r="V775" s="210"/>
    </row>
    <row r="776" spans="8:22" x14ac:dyDescent="0.2">
      <c r="H776" s="210"/>
      <c r="U776" s="210"/>
      <c r="V776" s="210"/>
    </row>
    <row r="777" spans="8:22" x14ac:dyDescent="0.2">
      <c r="H777" s="210"/>
      <c r="U777" s="210"/>
      <c r="V777" s="210"/>
    </row>
    <row r="778" spans="8:22" x14ac:dyDescent="0.2">
      <c r="H778" s="210"/>
      <c r="U778" s="210"/>
      <c r="V778" s="210"/>
    </row>
    <row r="779" spans="8:22" x14ac:dyDescent="0.2">
      <c r="H779" s="210"/>
      <c r="U779" s="210"/>
      <c r="V779" s="210"/>
    </row>
    <row r="780" spans="8:22" x14ac:dyDescent="0.2">
      <c r="H780" s="210"/>
      <c r="U780" s="210"/>
      <c r="V780" s="210"/>
    </row>
    <row r="781" spans="8:22" x14ac:dyDescent="0.2">
      <c r="H781" s="210"/>
      <c r="U781" s="210"/>
      <c r="V781" s="210"/>
    </row>
    <row r="782" spans="8:22" x14ac:dyDescent="0.2">
      <c r="H782" s="210"/>
      <c r="U782" s="210"/>
      <c r="V782" s="210"/>
    </row>
    <row r="783" spans="8:22" x14ac:dyDescent="0.2">
      <c r="H783" s="210"/>
      <c r="U783" s="210"/>
      <c r="V783" s="210"/>
    </row>
    <row r="784" spans="8:22" x14ac:dyDescent="0.2">
      <c r="H784" s="210"/>
      <c r="U784" s="210"/>
      <c r="V784" s="210"/>
    </row>
    <row r="785" spans="8:22" x14ac:dyDescent="0.2">
      <c r="H785" s="210"/>
      <c r="U785" s="210"/>
      <c r="V785" s="210"/>
    </row>
    <row r="786" spans="8:22" x14ac:dyDescent="0.2">
      <c r="H786" s="210"/>
      <c r="U786" s="210"/>
      <c r="V786" s="210"/>
    </row>
    <row r="787" spans="8:22" x14ac:dyDescent="0.2">
      <c r="H787" s="210"/>
      <c r="U787" s="210"/>
      <c r="V787" s="210"/>
    </row>
    <row r="788" spans="8:22" x14ac:dyDescent="0.2">
      <c r="H788" s="210"/>
      <c r="U788" s="210"/>
      <c r="V788" s="210"/>
    </row>
    <row r="789" spans="8:22" x14ac:dyDescent="0.2">
      <c r="H789" s="210"/>
      <c r="U789" s="210"/>
      <c r="V789" s="210"/>
    </row>
    <row r="790" spans="8:22" x14ac:dyDescent="0.2">
      <c r="H790" s="210"/>
      <c r="U790" s="210"/>
      <c r="V790" s="210"/>
    </row>
    <row r="791" spans="8:22" x14ac:dyDescent="0.2">
      <c r="H791" s="210"/>
      <c r="U791" s="210"/>
      <c r="V791" s="210"/>
    </row>
    <row r="792" spans="8:22" x14ac:dyDescent="0.2">
      <c r="H792" s="210"/>
      <c r="U792" s="210"/>
      <c r="V792" s="210"/>
    </row>
    <row r="793" spans="8:22" x14ac:dyDescent="0.2">
      <c r="H793" s="210"/>
      <c r="U793" s="210"/>
      <c r="V793" s="210"/>
    </row>
    <row r="794" spans="8:22" x14ac:dyDescent="0.2">
      <c r="H794" s="210"/>
      <c r="U794" s="210"/>
      <c r="V794" s="210"/>
    </row>
    <row r="795" spans="8:22" x14ac:dyDescent="0.2">
      <c r="H795" s="210"/>
      <c r="U795" s="210"/>
      <c r="V795" s="210"/>
    </row>
    <row r="796" spans="8:22" x14ac:dyDescent="0.2">
      <c r="H796" s="210"/>
      <c r="U796" s="210"/>
      <c r="V796" s="210"/>
    </row>
    <row r="797" spans="8:22" x14ac:dyDescent="0.2">
      <c r="H797" s="210"/>
      <c r="U797" s="210"/>
      <c r="V797" s="210"/>
    </row>
    <row r="798" spans="8:22" x14ac:dyDescent="0.2">
      <c r="H798" s="210"/>
      <c r="U798" s="210"/>
      <c r="V798" s="210"/>
    </row>
    <row r="799" spans="8:22" x14ac:dyDescent="0.2">
      <c r="H799" s="210"/>
      <c r="U799" s="210"/>
      <c r="V799" s="210"/>
    </row>
    <row r="800" spans="8:22" x14ac:dyDescent="0.2">
      <c r="H800" s="210"/>
      <c r="U800" s="210"/>
      <c r="V800" s="210"/>
    </row>
    <row r="801" spans="8:22" x14ac:dyDescent="0.2">
      <c r="H801" s="210"/>
      <c r="U801" s="210"/>
      <c r="V801" s="210"/>
    </row>
    <row r="802" spans="8:22" x14ac:dyDescent="0.2">
      <c r="H802" s="210"/>
      <c r="U802" s="210"/>
      <c r="V802" s="210"/>
    </row>
    <row r="803" spans="8:22" x14ac:dyDescent="0.2">
      <c r="H803" s="210"/>
      <c r="U803" s="210"/>
      <c r="V803" s="210"/>
    </row>
    <row r="804" spans="8:22" x14ac:dyDescent="0.2">
      <c r="H804" s="210"/>
      <c r="U804" s="210"/>
      <c r="V804" s="210"/>
    </row>
    <row r="805" spans="8:22" x14ac:dyDescent="0.2">
      <c r="H805" s="210"/>
      <c r="U805" s="210"/>
      <c r="V805" s="210"/>
    </row>
    <row r="806" spans="8:22" x14ac:dyDescent="0.2">
      <c r="H806" s="210"/>
      <c r="U806" s="210"/>
      <c r="V806" s="210"/>
    </row>
    <row r="807" spans="8:22" x14ac:dyDescent="0.2">
      <c r="H807" s="210"/>
      <c r="U807" s="210"/>
      <c r="V807" s="210"/>
    </row>
    <row r="808" spans="8:22" x14ac:dyDescent="0.2">
      <c r="H808" s="210"/>
      <c r="U808" s="210"/>
      <c r="V808" s="210"/>
    </row>
    <row r="809" spans="8:22" x14ac:dyDescent="0.2">
      <c r="H809" s="210"/>
      <c r="U809" s="210"/>
      <c r="V809" s="210"/>
    </row>
    <row r="810" spans="8:22" x14ac:dyDescent="0.2">
      <c r="H810" s="210"/>
      <c r="U810" s="210"/>
      <c r="V810" s="210"/>
    </row>
    <row r="811" spans="8:22" x14ac:dyDescent="0.2">
      <c r="H811" s="210"/>
      <c r="U811" s="210"/>
      <c r="V811" s="210"/>
    </row>
    <row r="812" spans="8:22" x14ac:dyDescent="0.2">
      <c r="H812" s="210"/>
      <c r="U812" s="210"/>
      <c r="V812" s="210"/>
    </row>
    <row r="813" spans="8:22" x14ac:dyDescent="0.2">
      <c r="H813" s="210"/>
      <c r="U813" s="210"/>
      <c r="V813" s="210"/>
    </row>
    <row r="814" spans="8:22" x14ac:dyDescent="0.2">
      <c r="H814" s="210"/>
      <c r="U814" s="210"/>
      <c r="V814" s="210"/>
    </row>
    <row r="815" spans="8:22" x14ac:dyDescent="0.2">
      <c r="H815" s="210"/>
      <c r="U815" s="210"/>
      <c r="V815" s="210"/>
    </row>
    <row r="816" spans="8:22" x14ac:dyDescent="0.2">
      <c r="H816" s="210"/>
      <c r="U816" s="210"/>
      <c r="V816" s="210"/>
    </row>
    <row r="817" spans="8:22" x14ac:dyDescent="0.2">
      <c r="H817" s="210"/>
      <c r="U817" s="210"/>
      <c r="V817" s="210"/>
    </row>
    <row r="818" spans="8:22" x14ac:dyDescent="0.2">
      <c r="H818" s="210"/>
      <c r="U818" s="210"/>
      <c r="V818" s="210"/>
    </row>
    <row r="819" spans="8:22" x14ac:dyDescent="0.2">
      <c r="H819" s="210"/>
      <c r="U819" s="210"/>
      <c r="V819" s="210"/>
    </row>
    <row r="820" spans="8:22" x14ac:dyDescent="0.2">
      <c r="H820" s="210"/>
      <c r="U820" s="210"/>
      <c r="V820" s="210"/>
    </row>
    <row r="821" spans="8:22" x14ac:dyDescent="0.2">
      <c r="H821" s="210"/>
      <c r="U821" s="210"/>
      <c r="V821" s="210"/>
    </row>
    <row r="822" spans="8:22" x14ac:dyDescent="0.2">
      <c r="H822" s="210"/>
      <c r="U822" s="210"/>
      <c r="V822" s="210"/>
    </row>
    <row r="823" spans="8:22" x14ac:dyDescent="0.2">
      <c r="H823" s="210"/>
      <c r="U823" s="210"/>
      <c r="V823" s="210"/>
    </row>
    <row r="824" spans="8:22" x14ac:dyDescent="0.2">
      <c r="H824" s="210"/>
      <c r="U824" s="210"/>
      <c r="V824" s="210"/>
    </row>
    <row r="825" spans="8:22" x14ac:dyDescent="0.2">
      <c r="H825" s="210"/>
      <c r="U825" s="210"/>
      <c r="V825" s="210"/>
    </row>
    <row r="826" spans="8:22" x14ac:dyDescent="0.2">
      <c r="H826" s="210"/>
      <c r="U826" s="210"/>
      <c r="V826" s="210"/>
    </row>
    <row r="827" spans="8:22" x14ac:dyDescent="0.2">
      <c r="H827" s="210"/>
      <c r="U827" s="210"/>
      <c r="V827" s="210"/>
    </row>
    <row r="828" spans="8:22" x14ac:dyDescent="0.2">
      <c r="H828" s="210"/>
      <c r="U828" s="210"/>
      <c r="V828" s="210"/>
    </row>
    <row r="829" spans="8:22" x14ac:dyDescent="0.2">
      <c r="H829" s="210"/>
      <c r="U829" s="210"/>
      <c r="V829" s="210"/>
    </row>
    <row r="830" spans="8:22" x14ac:dyDescent="0.2">
      <c r="H830" s="210"/>
      <c r="U830" s="210"/>
      <c r="V830" s="210"/>
    </row>
    <row r="831" spans="8:22" x14ac:dyDescent="0.2">
      <c r="H831" s="210"/>
      <c r="U831" s="210"/>
      <c r="V831" s="210"/>
    </row>
    <row r="832" spans="8:22" x14ac:dyDescent="0.2">
      <c r="H832" s="210"/>
      <c r="U832" s="210"/>
      <c r="V832" s="210"/>
    </row>
    <row r="833" spans="8:22" x14ac:dyDescent="0.2">
      <c r="H833" s="210"/>
      <c r="U833" s="210"/>
      <c r="V833" s="210"/>
    </row>
    <row r="834" spans="8:22" x14ac:dyDescent="0.2">
      <c r="H834" s="210"/>
      <c r="U834" s="210"/>
      <c r="V834" s="210"/>
    </row>
    <row r="835" spans="8:22" x14ac:dyDescent="0.2">
      <c r="H835" s="210"/>
      <c r="U835" s="210"/>
      <c r="V835" s="210"/>
    </row>
    <row r="836" spans="8:22" x14ac:dyDescent="0.2">
      <c r="H836" s="210"/>
      <c r="U836" s="210"/>
      <c r="V836" s="210"/>
    </row>
    <row r="837" spans="8:22" x14ac:dyDescent="0.2">
      <c r="H837" s="210"/>
      <c r="U837" s="210"/>
      <c r="V837" s="210"/>
    </row>
    <row r="838" spans="8:22" x14ac:dyDescent="0.2">
      <c r="H838" s="210"/>
      <c r="U838" s="210"/>
      <c r="V838" s="210"/>
    </row>
    <row r="839" spans="8:22" x14ac:dyDescent="0.2">
      <c r="H839" s="210"/>
      <c r="U839" s="210"/>
      <c r="V839" s="210"/>
    </row>
    <row r="840" spans="8:22" x14ac:dyDescent="0.2">
      <c r="H840" s="210"/>
      <c r="U840" s="210"/>
      <c r="V840" s="210"/>
    </row>
    <row r="841" spans="8:22" x14ac:dyDescent="0.2">
      <c r="H841" s="210"/>
      <c r="U841" s="210"/>
      <c r="V841" s="210"/>
    </row>
    <row r="842" spans="8:22" x14ac:dyDescent="0.2">
      <c r="H842" s="210"/>
      <c r="U842" s="210"/>
      <c r="V842" s="210"/>
    </row>
    <row r="843" spans="8:22" x14ac:dyDescent="0.2">
      <c r="H843" s="210"/>
      <c r="U843" s="210"/>
      <c r="V843" s="210"/>
    </row>
    <row r="844" spans="8:22" x14ac:dyDescent="0.2">
      <c r="H844" s="210"/>
      <c r="U844" s="210"/>
      <c r="V844" s="210"/>
    </row>
    <row r="845" spans="8:22" x14ac:dyDescent="0.2">
      <c r="H845" s="210"/>
      <c r="U845" s="210"/>
      <c r="V845" s="210"/>
    </row>
    <row r="846" spans="8:22" x14ac:dyDescent="0.2">
      <c r="H846" s="210"/>
      <c r="U846" s="210"/>
      <c r="V846" s="210"/>
    </row>
    <row r="847" spans="8:22" x14ac:dyDescent="0.2">
      <c r="H847" s="210"/>
      <c r="U847" s="210"/>
      <c r="V847" s="210"/>
    </row>
    <row r="848" spans="8:22" x14ac:dyDescent="0.2">
      <c r="H848" s="210"/>
      <c r="U848" s="210"/>
      <c r="V848" s="210"/>
    </row>
    <row r="849" spans="8:22" x14ac:dyDescent="0.2">
      <c r="H849" s="210"/>
      <c r="U849" s="210"/>
      <c r="V849" s="210"/>
    </row>
    <row r="850" spans="8:22" x14ac:dyDescent="0.2">
      <c r="H850" s="210"/>
      <c r="U850" s="210"/>
      <c r="V850" s="210"/>
    </row>
    <row r="851" spans="8:22" x14ac:dyDescent="0.2">
      <c r="H851" s="210"/>
      <c r="U851" s="210"/>
      <c r="V851" s="210"/>
    </row>
    <row r="852" spans="8:22" x14ac:dyDescent="0.2">
      <c r="H852" s="210"/>
      <c r="U852" s="210"/>
      <c r="V852" s="210"/>
    </row>
    <row r="853" spans="8:22" x14ac:dyDescent="0.2">
      <c r="H853" s="210"/>
      <c r="U853" s="210"/>
      <c r="V853" s="210"/>
    </row>
    <row r="854" spans="8:22" x14ac:dyDescent="0.2">
      <c r="H854" s="210"/>
      <c r="U854" s="210"/>
      <c r="V854" s="210"/>
    </row>
    <row r="855" spans="8:22" x14ac:dyDescent="0.2">
      <c r="H855" s="210"/>
      <c r="U855" s="210"/>
      <c r="V855" s="210"/>
    </row>
    <row r="856" spans="8:22" x14ac:dyDescent="0.2">
      <c r="H856" s="210"/>
      <c r="U856" s="210"/>
      <c r="V856" s="210"/>
    </row>
    <row r="857" spans="8:22" x14ac:dyDescent="0.2">
      <c r="H857" s="210"/>
      <c r="U857" s="210"/>
      <c r="V857" s="210"/>
    </row>
    <row r="858" spans="8:22" x14ac:dyDescent="0.2">
      <c r="H858" s="210"/>
      <c r="U858" s="210"/>
      <c r="V858" s="210"/>
    </row>
    <row r="859" spans="8:22" x14ac:dyDescent="0.2">
      <c r="H859" s="210"/>
      <c r="U859" s="210"/>
      <c r="V859" s="210"/>
    </row>
    <row r="860" spans="8:22" x14ac:dyDescent="0.2">
      <c r="H860" s="210"/>
      <c r="U860" s="210"/>
      <c r="V860" s="210"/>
    </row>
    <row r="861" spans="8:22" x14ac:dyDescent="0.2">
      <c r="H861" s="210"/>
      <c r="U861" s="210"/>
      <c r="V861" s="210"/>
    </row>
    <row r="862" spans="8:22" x14ac:dyDescent="0.2">
      <c r="H862" s="210"/>
      <c r="U862" s="210"/>
      <c r="V862" s="210"/>
    </row>
    <row r="863" spans="8:22" x14ac:dyDescent="0.2">
      <c r="H863" s="210"/>
      <c r="U863" s="210"/>
      <c r="V863" s="210"/>
    </row>
    <row r="864" spans="8:22" x14ac:dyDescent="0.2">
      <c r="H864" s="210"/>
      <c r="U864" s="210"/>
      <c r="V864" s="210"/>
    </row>
    <row r="865" spans="8:22" x14ac:dyDescent="0.2">
      <c r="H865" s="210"/>
      <c r="U865" s="210"/>
      <c r="V865" s="210"/>
    </row>
    <row r="866" spans="8:22" x14ac:dyDescent="0.2">
      <c r="H866" s="210"/>
      <c r="U866" s="210"/>
      <c r="V866" s="210"/>
    </row>
    <row r="867" spans="8:22" x14ac:dyDescent="0.2">
      <c r="H867" s="210"/>
      <c r="U867" s="210"/>
      <c r="V867" s="210"/>
    </row>
    <row r="868" spans="8:22" x14ac:dyDescent="0.2">
      <c r="H868" s="210"/>
      <c r="U868" s="210"/>
      <c r="V868" s="210"/>
    </row>
    <row r="869" spans="8:22" x14ac:dyDescent="0.2">
      <c r="H869" s="210"/>
      <c r="U869" s="210"/>
      <c r="V869" s="210"/>
    </row>
    <row r="870" spans="8:22" x14ac:dyDescent="0.2">
      <c r="H870" s="210"/>
      <c r="U870" s="210"/>
      <c r="V870" s="210"/>
    </row>
    <row r="871" spans="8:22" x14ac:dyDescent="0.2">
      <c r="H871" s="210"/>
      <c r="U871" s="210"/>
      <c r="V871" s="210"/>
    </row>
    <row r="872" spans="8:22" x14ac:dyDescent="0.2">
      <c r="H872" s="210"/>
      <c r="U872" s="210"/>
      <c r="V872" s="210"/>
    </row>
    <row r="873" spans="8:22" x14ac:dyDescent="0.2">
      <c r="H873" s="210"/>
      <c r="U873" s="210"/>
      <c r="V873" s="210"/>
    </row>
    <row r="874" spans="8:22" x14ac:dyDescent="0.2">
      <c r="H874" s="210"/>
      <c r="U874" s="210"/>
      <c r="V874" s="210"/>
    </row>
    <row r="875" spans="8:22" x14ac:dyDescent="0.2">
      <c r="H875" s="210"/>
      <c r="U875" s="210"/>
      <c r="V875" s="210"/>
    </row>
    <row r="876" spans="8:22" x14ac:dyDescent="0.2">
      <c r="H876" s="210"/>
      <c r="U876" s="210"/>
      <c r="V876" s="210"/>
    </row>
    <row r="877" spans="8:22" x14ac:dyDescent="0.2">
      <c r="H877" s="210"/>
      <c r="U877" s="210"/>
      <c r="V877" s="210"/>
    </row>
    <row r="878" spans="8:22" x14ac:dyDescent="0.2">
      <c r="H878" s="210"/>
      <c r="U878" s="210"/>
      <c r="V878" s="210"/>
    </row>
    <row r="879" spans="8:22" x14ac:dyDescent="0.2">
      <c r="H879" s="210"/>
      <c r="U879" s="210"/>
      <c r="V879" s="210"/>
    </row>
    <row r="880" spans="8:22" x14ac:dyDescent="0.2">
      <c r="H880" s="210"/>
      <c r="U880" s="210"/>
      <c r="V880" s="210"/>
    </row>
    <row r="881" spans="8:22" x14ac:dyDescent="0.2">
      <c r="H881" s="210"/>
      <c r="U881" s="210"/>
      <c r="V881" s="210"/>
    </row>
    <row r="882" spans="8:22" x14ac:dyDescent="0.2">
      <c r="H882" s="210"/>
      <c r="U882" s="210"/>
      <c r="V882" s="210"/>
    </row>
    <row r="883" spans="8:22" x14ac:dyDescent="0.2">
      <c r="H883" s="210"/>
      <c r="U883" s="210"/>
      <c r="V883" s="210"/>
    </row>
    <row r="884" spans="8:22" x14ac:dyDescent="0.2">
      <c r="H884" s="210"/>
      <c r="U884" s="210"/>
      <c r="V884" s="210"/>
    </row>
    <row r="885" spans="8:22" x14ac:dyDescent="0.2">
      <c r="H885" s="210"/>
      <c r="U885" s="210"/>
      <c r="V885" s="210"/>
    </row>
    <row r="886" spans="8:22" x14ac:dyDescent="0.2">
      <c r="H886" s="210"/>
      <c r="U886" s="210"/>
      <c r="V886" s="210"/>
    </row>
    <row r="887" spans="8:22" x14ac:dyDescent="0.2">
      <c r="H887" s="210"/>
      <c r="U887" s="210"/>
      <c r="V887" s="210"/>
    </row>
    <row r="888" spans="8:22" x14ac:dyDescent="0.2">
      <c r="H888" s="210"/>
      <c r="U888" s="210"/>
      <c r="V888" s="210"/>
    </row>
    <row r="889" spans="8:22" x14ac:dyDescent="0.2">
      <c r="H889" s="210"/>
      <c r="U889" s="210"/>
      <c r="V889" s="210"/>
    </row>
    <row r="890" spans="8:22" x14ac:dyDescent="0.2">
      <c r="H890" s="210"/>
      <c r="U890" s="210"/>
      <c r="V890" s="210"/>
    </row>
    <row r="891" spans="8:22" x14ac:dyDescent="0.2">
      <c r="H891" s="210"/>
      <c r="U891" s="210"/>
      <c r="V891" s="210"/>
    </row>
    <row r="892" spans="8:22" x14ac:dyDescent="0.2">
      <c r="H892" s="210"/>
      <c r="U892" s="210"/>
      <c r="V892" s="210"/>
    </row>
    <row r="893" spans="8:22" x14ac:dyDescent="0.2">
      <c r="H893" s="210"/>
      <c r="U893" s="210"/>
      <c r="V893" s="210"/>
    </row>
    <row r="894" spans="8:22" x14ac:dyDescent="0.2">
      <c r="H894" s="210"/>
      <c r="U894" s="210"/>
      <c r="V894" s="210"/>
    </row>
    <row r="895" spans="8:22" x14ac:dyDescent="0.2">
      <c r="H895" s="210"/>
      <c r="U895" s="210"/>
      <c r="V895" s="210"/>
    </row>
    <row r="896" spans="8:22" x14ac:dyDescent="0.2">
      <c r="H896" s="210"/>
      <c r="U896" s="210"/>
      <c r="V896" s="210"/>
    </row>
    <row r="897" spans="8:22" x14ac:dyDescent="0.2">
      <c r="H897" s="210"/>
      <c r="U897" s="210"/>
      <c r="V897" s="210"/>
    </row>
    <row r="898" spans="8:22" x14ac:dyDescent="0.2">
      <c r="H898" s="210"/>
      <c r="U898" s="210"/>
      <c r="V898" s="210"/>
    </row>
    <row r="899" spans="8:22" x14ac:dyDescent="0.2">
      <c r="H899" s="210"/>
      <c r="U899" s="210"/>
      <c r="V899" s="210"/>
    </row>
    <row r="900" spans="8:22" x14ac:dyDescent="0.2">
      <c r="H900" s="210"/>
      <c r="U900" s="210"/>
      <c r="V900" s="210"/>
    </row>
    <row r="901" spans="8:22" x14ac:dyDescent="0.2">
      <c r="H901" s="210"/>
      <c r="U901" s="210"/>
      <c r="V901" s="210"/>
    </row>
    <row r="902" spans="8:22" x14ac:dyDescent="0.2">
      <c r="H902" s="210"/>
      <c r="U902" s="210"/>
      <c r="V902" s="210"/>
    </row>
    <row r="903" spans="8:22" x14ac:dyDescent="0.2">
      <c r="H903" s="210"/>
      <c r="U903" s="210"/>
      <c r="V903" s="210"/>
    </row>
    <row r="904" spans="8:22" x14ac:dyDescent="0.2">
      <c r="H904" s="210"/>
      <c r="U904" s="210"/>
      <c r="V904" s="210"/>
    </row>
    <row r="905" spans="8:22" x14ac:dyDescent="0.2">
      <c r="H905" s="210"/>
      <c r="U905" s="210"/>
      <c r="V905" s="210"/>
    </row>
    <row r="906" spans="8:22" x14ac:dyDescent="0.2">
      <c r="H906" s="210"/>
      <c r="U906" s="210"/>
      <c r="V906" s="210"/>
    </row>
    <row r="907" spans="8:22" x14ac:dyDescent="0.2">
      <c r="H907" s="210"/>
      <c r="U907" s="210"/>
      <c r="V907" s="210"/>
    </row>
    <row r="908" spans="8:22" x14ac:dyDescent="0.2">
      <c r="H908" s="210"/>
      <c r="U908" s="210"/>
      <c r="V908" s="210"/>
    </row>
    <row r="909" spans="8:22" x14ac:dyDescent="0.2">
      <c r="H909" s="210"/>
      <c r="U909" s="210"/>
      <c r="V909" s="210"/>
    </row>
    <row r="910" spans="8:22" x14ac:dyDescent="0.2">
      <c r="H910" s="210"/>
      <c r="U910" s="210"/>
      <c r="V910" s="210"/>
    </row>
    <row r="911" spans="8:22" x14ac:dyDescent="0.2">
      <c r="H911" s="210"/>
      <c r="U911" s="210"/>
      <c r="V911" s="210"/>
    </row>
    <row r="912" spans="8:22" x14ac:dyDescent="0.2">
      <c r="H912" s="210"/>
      <c r="U912" s="210"/>
      <c r="V912" s="210"/>
    </row>
    <row r="913" spans="8:22" x14ac:dyDescent="0.2">
      <c r="H913" s="210"/>
      <c r="U913" s="210"/>
      <c r="V913" s="210"/>
    </row>
    <row r="914" spans="8:22" x14ac:dyDescent="0.2">
      <c r="H914" s="210"/>
      <c r="U914" s="210"/>
      <c r="V914" s="210"/>
    </row>
    <row r="915" spans="8:22" x14ac:dyDescent="0.2">
      <c r="H915" s="210"/>
      <c r="U915" s="210"/>
      <c r="V915" s="210"/>
    </row>
    <row r="916" spans="8:22" x14ac:dyDescent="0.2">
      <c r="H916" s="210"/>
      <c r="U916" s="210"/>
      <c r="V916" s="210"/>
    </row>
    <row r="917" spans="8:22" x14ac:dyDescent="0.2">
      <c r="H917" s="210"/>
      <c r="U917" s="210"/>
      <c r="V917" s="210"/>
    </row>
    <row r="918" spans="8:22" x14ac:dyDescent="0.2">
      <c r="H918" s="210"/>
      <c r="U918" s="210"/>
      <c r="V918" s="210"/>
    </row>
    <row r="919" spans="8:22" x14ac:dyDescent="0.2">
      <c r="H919" s="210"/>
      <c r="U919" s="210"/>
      <c r="V919" s="210"/>
    </row>
    <row r="920" spans="8:22" x14ac:dyDescent="0.2">
      <c r="H920" s="210"/>
      <c r="U920" s="210"/>
      <c r="V920" s="210"/>
    </row>
    <row r="921" spans="8:22" x14ac:dyDescent="0.2">
      <c r="H921" s="210"/>
      <c r="U921" s="210"/>
      <c r="V921" s="210"/>
    </row>
    <row r="922" spans="8:22" x14ac:dyDescent="0.2">
      <c r="H922" s="210"/>
      <c r="U922" s="210"/>
      <c r="V922" s="210"/>
    </row>
    <row r="923" spans="8:22" x14ac:dyDescent="0.2">
      <c r="H923" s="210"/>
      <c r="U923" s="210"/>
      <c r="V923" s="210"/>
    </row>
    <row r="924" spans="8:22" x14ac:dyDescent="0.2">
      <c r="H924" s="210"/>
      <c r="U924" s="210"/>
      <c r="V924" s="210"/>
    </row>
    <row r="925" spans="8:22" x14ac:dyDescent="0.2">
      <c r="H925" s="210"/>
      <c r="U925" s="210"/>
      <c r="V925" s="210"/>
    </row>
    <row r="926" spans="8:22" x14ac:dyDescent="0.2">
      <c r="H926" s="210"/>
      <c r="U926" s="210"/>
      <c r="V926" s="210"/>
    </row>
    <row r="927" spans="8:22" x14ac:dyDescent="0.2">
      <c r="H927" s="210"/>
      <c r="U927" s="210"/>
      <c r="V927" s="210"/>
    </row>
    <row r="928" spans="8:22" x14ac:dyDescent="0.2">
      <c r="H928" s="210"/>
      <c r="U928" s="210"/>
      <c r="V928" s="210"/>
    </row>
    <row r="929" spans="8:22" x14ac:dyDescent="0.2">
      <c r="H929" s="210"/>
      <c r="U929" s="210"/>
      <c r="V929" s="210"/>
    </row>
    <row r="930" spans="8:22" x14ac:dyDescent="0.2">
      <c r="H930" s="210"/>
      <c r="U930" s="210"/>
      <c r="V930" s="210"/>
    </row>
    <row r="931" spans="8:22" x14ac:dyDescent="0.2">
      <c r="H931" s="210"/>
      <c r="U931" s="210"/>
      <c r="V931" s="210"/>
    </row>
    <row r="932" spans="8:22" x14ac:dyDescent="0.2">
      <c r="H932" s="210"/>
      <c r="U932" s="210"/>
      <c r="V932" s="210"/>
    </row>
    <row r="933" spans="8:22" x14ac:dyDescent="0.2">
      <c r="H933" s="210"/>
      <c r="U933" s="210"/>
      <c r="V933" s="210"/>
    </row>
    <row r="934" spans="8:22" x14ac:dyDescent="0.2">
      <c r="H934" s="210"/>
      <c r="U934" s="210"/>
      <c r="V934" s="210"/>
    </row>
    <row r="935" spans="8:22" x14ac:dyDescent="0.2">
      <c r="H935" s="210"/>
      <c r="U935" s="210"/>
      <c r="V935" s="210"/>
    </row>
    <row r="936" spans="8:22" x14ac:dyDescent="0.2">
      <c r="H936" s="210"/>
      <c r="U936" s="210"/>
      <c r="V936" s="210"/>
    </row>
    <row r="937" spans="8:22" x14ac:dyDescent="0.2">
      <c r="H937" s="210"/>
      <c r="U937" s="210"/>
      <c r="V937" s="210"/>
    </row>
    <row r="938" spans="8:22" x14ac:dyDescent="0.2">
      <c r="H938" s="210"/>
      <c r="U938" s="210"/>
      <c r="V938" s="210"/>
    </row>
    <row r="939" spans="8:22" x14ac:dyDescent="0.2">
      <c r="H939" s="210"/>
      <c r="U939" s="210"/>
      <c r="V939" s="210"/>
    </row>
    <row r="940" spans="8:22" x14ac:dyDescent="0.2">
      <c r="H940" s="210"/>
      <c r="U940" s="210"/>
      <c r="V940" s="210"/>
    </row>
    <row r="941" spans="8:22" x14ac:dyDescent="0.2">
      <c r="H941" s="210"/>
      <c r="U941" s="210"/>
      <c r="V941" s="210"/>
    </row>
    <row r="942" spans="8:22" x14ac:dyDescent="0.2">
      <c r="H942" s="210"/>
      <c r="U942" s="210"/>
      <c r="V942" s="210"/>
    </row>
    <row r="943" spans="8:22" x14ac:dyDescent="0.2">
      <c r="H943" s="210"/>
      <c r="U943" s="210"/>
      <c r="V943" s="210"/>
    </row>
    <row r="944" spans="8:22" x14ac:dyDescent="0.2">
      <c r="H944" s="210"/>
      <c r="U944" s="210"/>
      <c r="V944" s="210"/>
    </row>
    <row r="945" spans="8:22" x14ac:dyDescent="0.2">
      <c r="H945" s="210"/>
      <c r="U945" s="210"/>
      <c r="V945" s="210"/>
    </row>
    <row r="946" spans="8:22" x14ac:dyDescent="0.2">
      <c r="H946" s="210"/>
      <c r="U946" s="210"/>
      <c r="V946" s="210"/>
    </row>
    <row r="947" spans="8:22" x14ac:dyDescent="0.2">
      <c r="H947" s="210"/>
      <c r="U947" s="210"/>
      <c r="V947" s="210"/>
    </row>
    <row r="948" spans="8:22" x14ac:dyDescent="0.2">
      <c r="H948" s="210"/>
      <c r="U948" s="210"/>
      <c r="V948" s="210"/>
    </row>
    <row r="949" spans="8:22" x14ac:dyDescent="0.2">
      <c r="H949" s="210"/>
      <c r="U949" s="210"/>
      <c r="V949" s="210"/>
    </row>
    <row r="950" spans="8:22" x14ac:dyDescent="0.2">
      <c r="H950" s="210"/>
      <c r="U950" s="210"/>
      <c r="V950" s="210"/>
    </row>
    <row r="951" spans="8:22" x14ac:dyDescent="0.2">
      <c r="H951" s="210"/>
      <c r="U951" s="210"/>
      <c r="V951" s="210"/>
    </row>
    <row r="952" spans="8:22" x14ac:dyDescent="0.2">
      <c r="H952" s="210"/>
      <c r="U952" s="210"/>
      <c r="V952" s="210"/>
    </row>
    <row r="953" spans="8:22" x14ac:dyDescent="0.2">
      <c r="H953" s="210"/>
      <c r="U953" s="210"/>
      <c r="V953" s="210"/>
    </row>
    <row r="954" spans="8:22" x14ac:dyDescent="0.2">
      <c r="H954" s="210"/>
      <c r="U954" s="210"/>
      <c r="V954" s="210"/>
    </row>
    <row r="955" spans="8:22" x14ac:dyDescent="0.2">
      <c r="H955" s="210"/>
      <c r="U955" s="210"/>
      <c r="V955" s="210"/>
    </row>
    <row r="956" spans="8:22" x14ac:dyDescent="0.2">
      <c r="H956" s="210"/>
      <c r="U956" s="210"/>
      <c r="V956" s="210"/>
    </row>
    <row r="957" spans="8:22" x14ac:dyDescent="0.2">
      <c r="H957" s="210"/>
      <c r="U957" s="210"/>
      <c r="V957" s="210"/>
    </row>
    <row r="958" spans="8:22" x14ac:dyDescent="0.2">
      <c r="H958" s="210"/>
      <c r="U958" s="210"/>
      <c r="V958" s="210"/>
    </row>
    <row r="959" spans="8:22" x14ac:dyDescent="0.2">
      <c r="H959" s="210"/>
      <c r="U959" s="210"/>
      <c r="V959" s="210"/>
    </row>
    <row r="960" spans="8:22" x14ac:dyDescent="0.2">
      <c r="H960" s="210"/>
      <c r="U960" s="210"/>
      <c r="V960" s="210"/>
    </row>
    <row r="961" spans="8:22" x14ac:dyDescent="0.2">
      <c r="H961" s="210"/>
      <c r="U961" s="210"/>
      <c r="V961" s="210"/>
    </row>
    <row r="962" spans="8:22" x14ac:dyDescent="0.2">
      <c r="H962" s="210"/>
      <c r="U962" s="210"/>
      <c r="V962" s="210"/>
    </row>
    <row r="963" spans="8:22" x14ac:dyDescent="0.2">
      <c r="H963" s="210"/>
      <c r="U963" s="210"/>
      <c r="V963" s="210"/>
    </row>
    <row r="964" spans="8:22" x14ac:dyDescent="0.2">
      <c r="H964" s="210"/>
      <c r="U964" s="210"/>
      <c r="V964" s="210"/>
    </row>
    <row r="965" spans="8:22" x14ac:dyDescent="0.2">
      <c r="H965" s="210"/>
      <c r="U965" s="210"/>
      <c r="V965" s="210"/>
    </row>
    <row r="966" spans="8:22" x14ac:dyDescent="0.2">
      <c r="H966" s="210"/>
      <c r="U966" s="210"/>
      <c r="V966" s="210"/>
    </row>
    <row r="967" spans="8:22" x14ac:dyDescent="0.2">
      <c r="H967" s="210"/>
      <c r="U967" s="210"/>
      <c r="V967" s="210"/>
    </row>
    <row r="968" spans="8:22" x14ac:dyDescent="0.2">
      <c r="H968" s="210"/>
      <c r="U968" s="210"/>
      <c r="V968" s="210"/>
    </row>
    <row r="969" spans="8:22" x14ac:dyDescent="0.2">
      <c r="H969" s="210"/>
      <c r="U969" s="210"/>
      <c r="V969" s="210"/>
    </row>
    <row r="970" spans="8:22" x14ac:dyDescent="0.2">
      <c r="H970" s="210"/>
      <c r="U970" s="210"/>
      <c r="V970" s="210"/>
    </row>
    <row r="971" spans="8:22" x14ac:dyDescent="0.2">
      <c r="H971" s="210"/>
      <c r="U971" s="210"/>
      <c r="V971" s="210"/>
    </row>
    <row r="972" spans="8:22" x14ac:dyDescent="0.2">
      <c r="H972" s="210"/>
      <c r="U972" s="210"/>
      <c r="V972" s="210"/>
    </row>
    <row r="973" spans="8:22" x14ac:dyDescent="0.2">
      <c r="H973" s="210"/>
      <c r="U973" s="210"/>
      <c r="V973" s="210"/>
    </row>
    <row r="974" spans="8:22" x14ac:dyDescent="0.2">
      <c r="H974" s="210"/>
      <c r="U974" s="210"/>
      <c r="V974" s="210"/>
    </row>
    <row r="975" spans="8:22" x14ac:dyDescent="0.2">
      <c r="H975" s="210"/>
      <c r="U975" s="210"/>
      <c r="V975" s="210"/>
    </row>
    <row r="976" spans="8:22" x14ac:dyDescent="0.2">
      <c r="H976" s="210"/>
      <c r="U976" s="210"/>
      <c r="V976" s="210"/>
    </row>
    <row r="977" spans="8:22" x14ac:dyDescent="0.2">
      <c r="H977" s="210"/>
      <c r="U977" s="210"/>
      <c r="V977" s="210"/>
    </row>
    <row r="978" spans="8:22" x14ac:dyDescent="0.2">
      <c r="H978" s="210"/>
      <c r="U978" s="210"/>
      <c r="V978" s="210"/>
    </row>
    <row r="979" spans="8:22" x14ac:dyDescent="0.2">
      <c r="H979" s="210"/>
      <c r="U979" s="210"/>
      <c r="V979" s="210"/>
    </row>
    <row r="980" spans="8:22" x14ac:dyDescent="0.2">
      <c r="H980" s="210"/>
      <c r="U980" s="210"/>
      <c r="V980" s="210"/>
    </row>
    <row r="981" spans="8:22" x14ac:dyDescent="0.2">
      <c r="H981" s="210"/>
      <c r="U981" s="210"/>
      <c r="V981" s="210"/>
    </row>
    <row r="982" spans="8:22" x14ac:dyDescent="0.2">
      <c r="H982" s="210"/>
      <c r="U982" s="210"/>
      <c r="V982" s="210"/>
    </row>
    <row r="983" spans="8:22" x14ac:dyDescent="0.2">
      <c r="H983" s="210"/>
      <c r="U983" s="210"/>
      <c r="V983" s="210"/>
    </row>
    <row r="984" spans="8:22" x14ac:dyDescent="0.2">
      <c r="H984" s="210"/>
      <c r="U984" s="210"/>
      <c r="V984" s="210"/>
    </row>
    <row r="985" spans="8:22" x14ac:dyDescent="0.2">
      <c r="H985" s="210"/>
      <c r="U985" s="210"/>
      <c r="V985" s="210"/>
    </row>
    <row r="986" spans="8:22" x14ac:dyDescent="0.2">
      <c r="H986" s="210"/>
      <c r="U986" s="210"/>
      <c r="V986" s="210"/>
    </row>
    <row r="987" spans="8:22" x14ac:dyDescent="0.2">
      <c r="H987" s="210"/>
      <c r="U987" s="210"/>
      <c r="V987" s="210"/>
    </row>
    <row r="988" spans="8:22" x14ac:dyDescent="0.2">
      <c r="H988" s="210"/>
      <c r="U988" s="210"/>
      <c r="V988" s="210"/>
    </row>
    <row r="989" spans="8:22" x14ac:dyDescent="0.2">
      <c r="H989" s="210"/>
      <c r="U989" s="210"/>
      <c r="V989" s="210"/>
    </row>
    <row r="990" spans="8:22" x14ac:dyDescent="0.2">
      <c r="H990" s="210"/>
      <c r="U990" s="210"/>
      <c r="V990" s="210"/>
    </row>
    <row r="991" spans="8:22" x14ac:dyDescent="0.2">
      <c r="H991" s="210"/>
      <c r="U991" s="210"/>
      <c r="V991" s="210"/>
    </row>
    <row r="992" spans="8:22" x14ac:dyDescent="0.2">
      <c r="H992" s="210"/>
      <c r="U992" s="210"/>
      <c r="V992" s="210"/>
    </row>
    <row r="993" spans="3:22" x14ac:dyDescent="0.2">
      <c r="H993" s="210"/>
      <c r="U993" s="210"/>
      <c r="V993" s="210"/>
    </row>
    <row r="994" spans="3:22" x14ac:dyDescent="0.2">
      <c r="H994" s="210"/>
      <c r="U994" s="210"/>
      <c r="V994" s="210"/>
    </row>
    <row r="995" spans="3:22" x14ac:dyDescent="0.2">
      <c r="H995" s="210"/>
      <c r="U995" s="210"/>
      <c r="V995" s="210"/>
    </row>
    <row r="996" spans="3:22" x14ac:dyDescent="0.2">
      <c r="H996" s="210"/>
      <c r="U996" s="210"/>
      <c r="V996" s="210"/>
    </row>
    <row r="997" spans="3:22" x14ac:dyDescent="0.2">
      <c r="H997" s="210"/>
      <c r="U997" s="210"/>
      <c r="V997" s="210"/>
    </row>
    <row r="998" spans="3:22" x14ac:dyDescent="0.2">
      <c r="H998" s="210"/>
      <c r="U998" s="210"/>
      <c r="V998" s="210"/>
    </row>
    <row r="999" spans="3:22" x14ac:dyDescent="0.2">
      <c r="H999" s="210"/>
      <c r="U999" s="210"/>
      <c r="V999" s="210"/>
    </row>
    <row r="1000" spans="3:22" x14ac:dyDescent="0.2">
      <c r="H1000" s="210"/>
      <c r="U1000" s="210"/>
      <c r="V1000" s="210"/>
    </row>
    <row r="1001" spans="3:22" x14ac:dyDescent="0.2">
      <c r="H1001" s="210"/>
      <c r="U1001" s="210"/>
      <c r="V1001" s="210"/>
    </row>
    <row r="1002" spans="3:22" x14ac:dyDescent="0.2">
      <c r="H1002" s="210"/>
      <c r="U1002" s="210"/>
      <c r="V1002" s="210"/>
    </row>
    <row r="1003" spans="3:22" x14ac:dyDescent="0.2">
      <c r="H1003" s="210"/>
      <c r="U1003" s="210"/>
      <c r="V1003" s="210"/>
    </row>
    <row r="1004" spans="3:22" x14ac:dyDescent="0.2">
      <c r="H1004" s="210"/>
      <c r="U1004" s="210"/>
      <c r="V1004" s="210"/>
    </row>
    <row r="1005" spans="3:22" x14ac:dyDescent="0.2">
      <c r="H1005" s="210"/>
      <c r="U1005" s="210"/>
      <c r="V1005" s="210"/>
    </row>
    <row r="1006" spans="3:22" x14ac:dyDescent="0.2">
      <c r="H1006" s="210"/>
      <c r="U1006" s="210"/>
      <c r="V1006" s="210"/>
    </row>
    <row r="1007" spans="3:22" x14ac:dyDescent="0.2">
      <c r="C1007" s="4"/>
      <c r="D1007" s="4"/>
      <c r="E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U1007" s="4"/>
      <c r="V1007" s="4"/>
    </row>
  </sheetData>
  <sheetProtection sheet="1" objects="1" scenarios="1"/>
  <phoneticPr fontId="18" type="noConversion"/>
  <dataValidations count="3">
    <dataValidation type="custom" allowBlank="1" showInputMessage="1" showErrorMessage="1" sqref="E3" xr:uid="{00000000-0002-0000-0400-000000000000}">
      <formula1>AND(E3/2-INT(E3/2)=0,E3&lt;802)</formula1>
    </dataValidation>
    <dataValidation type="whole" allowBlank="1" showInputMessage="1" showErrorMessage="1" sqref="O3" xr:uid="{00000000-0002-0000-0400-000001000000}">
      <formula1>0</formula1>
      <formula2>360</formula2>
    </dataValidation>
    <dataValidation type="list" allowBlank="1" showInputMessage="1" showErrorMessage="1" sqref="AL3" xr:uid="{00000000-0002-0000-0400-000002000000}">
      <formula1>$AJ$2:$AJ$3</formula1>
    </dataValidation>
  </dataValidations>
  <pageMargins left="0.75" right="0.42" top="0.76" bottom="0.66" header="0.5" footer="0.34"/>
  <pageSetup paperSize="9" scale="55" fitToHeight="0" orientation="portrait" r:id="rId1"/>
  <headerFooter alignWithMargins="0">
    <oddHeader>&amp;L&amp;F.xls/&amp;A&amp;RLap:&amp;P/&amp;N</oddHead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unka10">
    <pageSetUpPr fitToPage="1"/>
  </sheetPr>
  <dimension ref="A1:DZ689"/>
  <sheetViews>
    <sheetView workbookViewId="0"/>
  </sheetViews>
  <sheetFormatPr defaultColWidth="9.140625" defaultRowHeight="12.75" x14ac:dyDescent="0.2"/>
  <cols>
    <col min="1" max="1" width="4" style="3" customWidth="1"/>
    <col min="2" max="2" width="6" style="3" customWidth="1"/>
    <col min="3" max="3" width="6.140625" style="3" customWidth="1"/>
    <col min="4" max="7" width="9.140625" style="3"/>
    <col min="8" max="8" width="9.85546875" style="3" customWidth="1"/>
    <col min="9" max="14" width="9.140625" style="3"/>
    <col min="15" max="15" width="9.85546875" style="3" customWidth="1"/>
    <col min="16" max="16" width="8" style="3" customWidth="1"/>
    <col min="17" max="17" width="6.5703125" style="3" customWidth="1"/>
    <col min="18" max="18" width="6.85546875" style="3" customWidth="1"/>
    <col min="19" max="19" width="5.42578125" style="3" customWidth="1"/>
    <col min="20" max="20" width="5.7109375" style="3" customWidth="1"/>
    <col min="21" max="21" width="5.28515625" style="3" customWidth="1"/>
    <col min="22" max="22" width="6.85546875" style="3" customWidth="1"/>
    <col min="23" max="23" width="5.7109375" style="3" customWidth="1"/>
    <col min="24" max="24" width="5.28515625" style="3" customWidth="1"/>
    <col min="25" max="25" width="5.42578125" style="3" customWidth="1"/>
    <col min="26" max="26" width="6" style="3" customWidth="1"/>
    <col min="27" max="27" width="6.28515625" style="3" customWidth="1"/>
    <col min="28" max="28" width="6.7109375" style="3" customWidth="1"/>
    <col min="29" max="29" width="6.28515625" style="3" customWidth="1"/>
    <col min="30" max="30" width="6.42578125" style="3" customWidth="1"/>
    <col min="31" max="31" width="6.5703125" style="3" customWidth="1"/>
    <col min="32" max="32" width="6.42578125" style="3" customWidth="1"/>
    <col min="33" max="33" width="6.140625" style="3" customWidth="1"/>
    <col min="34" max="34" width="5.5703125" style="3" customWidth="1"/>
    <col min="35" max="35" width="5.85546875" style="3" customWidth="1"/>
    <col min="36" max="36" width="5.7109375" style="3" customWidth="1"/>
    <col min="37" max="37" width="6.140625" style="3" customWidth="1"/>
    <col min="38" max="38" width="7.140625" style="3" customWidth="1"/>
    <col min="39" max="39" width="6.42578125" style="3" customWidth="1"/>
    <col min="40" max="40" width="6.5703125" style="3" customWidth="1"/>
    <col min="41" max="41" width="7" style="3" customWidth="1"/>
    <col min="42" max="46" width="9.140625" style="3"/>
    <col min="47" max="47" width="8.85546875" style="3" customWidth="1"/>
    <col min="48" max="51" width="9.140625" style="3"/>
    <col min="52" max="52" width="8.28515625" style="3" customWidth="1"/>
    <col min="53" max="53" width="3.7109375" style="3" customWidth="1"/>
    <col min="54" max="54" width="16.42578125" style="3" customWidth="1"/>
    <col min="55" max="129" width="3.7109375" style="3" customWidth="1"/>
    <col min="130" max="16384" width="9.140625" style="3"/>
  </cols>
  <sheetData>
    <row r="1" spans="1:130" ht="15.75" x14ac:dyDescent="0.25">
      <c r="B1" s="64" t="s">
        <v>942</v>
      </c>
      <c r="N1" s="212" t="s">
        <v>668</v>
      </c>
      <c r="P1" s="65"/>
      <c r="Y1" s="3">
        <v>1</v>
      </c>
      <c r="AB1" s="65"/>
      <c r="AC1" s="3" t="s">
        <v>811</v>
      </c>
      <c r="AJ1" s="3" t="s">
        <v>816</v>
      </c>
      <c r="AL1" s="3" t="s">
        <v>817</v>
      </c>
      <c r="AN1" s="3" t="s">
        <v>818</v>
      </c>
      <c r="AT1" s="3" t="s">
        <v>672</v>
      </c>
      <c r="AU1" s="2">
        <v>1</v>
      </c>
      <c r="BB1" s="3">
        <f>COLUMN()</f>
        <v>54</v>
      </c>
      <c r="BF1" s="3">
        <f>COLUMN()</f>
        <v>58</v>
      </c>
    </row>
    <row r="2" spans="1:130" x14ac:dyDescent="0.2">
      <c r="V2" s="3" t="s">
        <v>713</v>
      </c>
      <c r="Y2" s="3">
        <v>2</v>
      </c>
      <c r="AA2" s="47" t="s">
        <v>821</v>
      </c>
      <c r="AB2" s="3">
        <f>IF($AJ$31&gt;0,S24,X24)</f>
        <v>5.8114634563743489E-15</v>
      </c>
      <c r="AC2" s="3" t="s">
        <v>812</v>
      </c>
      <c r="AD2" s="3" t="s">
        <v>813</v>
      </c>
      <c r="AE2" s="3" t="s">
        <v>814</v>
      </c>
      <c r="AF2" s="3" t="s">
        <v>815</v>
      </c>
      <c r="AG2" s="3" t="s">
        <v>44</v>
      </c>
      <c r="AH2" s="3" t="s">
        <v>119</v>
      </c>
      <c r="AJ2" s="3" t="s">
        <v>44</v>
      </c>
      <c r="AK2" s="3" t="s">
        <v>119</v>
      </c>
      <c r="AL2" s="3" t="s">
        <v>44</v>
      </c>
      <c r="AM2" s="3" t="s">
        <v>119</v>
      </c>
      <c r="AN2" s="3" t="s">
        <v>44</v>
      </c>
      <c r="AO2" s="3" t="s">
        <v>119</v>
      </c>
      <c r="AP2" s="3" t="s">
        <v>788</v>
      </c>
      <c r="AU2" s="208">
        <v>0</v>
      </c>
      <c r="AV2" s="208">
        <v>0</v>
      </c>
      <c r="AW2" s="208"/>
      <c r="AX2" s="208"/>
      <c r="BB2" s="38" t="s">
        <v>540</v>
      </c>
      <c r="BH2" s="38" t="s">
        <v>899</v>
      </c>
    </row>
    <row r="3" spans="1:130" x14ac:dyDescent="0.2">
      <c r="I3" s="1" t="s">
        <v>577</v>
      </c>
      <c r="V3" s="3" t="s">
        <v>664</v>
      </c>
      <c r="W3" s="3" t="s">
        <v>169</v>
      </c>
      <c r="Y3" s="3">
        <v>5</v>
      </c>
      <c r="AA3" s="47" t="s">
        <v>822</v>
      </c>
      <c r="AB3" s="3">
        <f>IF($AJ$31&gt;0,S25,X25)</f>
        <v>7.3160002778712316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f t="shared" ref="AJ3:AJ21" si="0">IF(ABS($AB$2+$AB$3)&lt;0.000001,0,COS((360-AI3-$W$23+90)*PI()/180)*$AB$3+COS((AI3+$W$22+90)*PI()/180)*$AB$2)</f>
        <v>2.7997120975197083</v>
      </c>
      <c r="AK3" s="3">
        <f t="shared" ref="AK3:AK21" si="1">IF(ABS($AB$2+$AB$3)&lt;0.000001,0,SIN((360-AI3-$W$23+90)*PI()/180)*$AB$3+SIN((AI3+$W$22+90)*PI()/180)*$AB$2)</f>
        <v>6.7591029165721137</v>
      </c>
      <c r="AL3" s="3">
        <f t="shared" ref="AL3:AL21" si="2">IF(ABS($AB$3)&lt;0.000001,0,COS(AI3*PI()/180)*$AB$3)</f>
        <v>7.3160002778712316</v>
      </c>
      <c r="AM3" s="3">
        <f t="shared" ref="AM3:AM21" si="3">IF(ABS($AB$3)&lt;0.000001,0,SIN(AI3*PI()/180)*$AB$3)</f>
        <v>0</v>
      </c>
      <c r="AN3" s="3">
        <f t="shared" ref="AN3:AN21" si="4">IF(ABS($AB$2)&lt;0.000001,0,COS((360-AI3)*PI()/180)*$AB$2)</f>
        <v>0</v>
      </c>
      <c r="AO3" s="3">
        <f t="shared" ref="AO3:AO21" si="5">IF(ABS($AB$2)&lt;0.000001,0,SIN((360-AI3)*PI()/180)*$AB$2)</f>
        <v>0</v>
      </c>
      <c r="AQ3" s="47" t="s">
        <v>690</v>
      </c>
      <c r="AR3" s="3">
        <f>MAX(J6:J8)</f>
        <v>0.95766219694254862</v>
      </c>
      <c r="AT3" s="213" t="s">
        <v>669</v>
      </c>
      <c r="AU3" s="208">
        <f>AU1*COS((0+90)*PI()/180)</f>
        <v>6.1257422745431001E-17</v>
      </c>
      <c r="AV3" s="208">
        <f>AU1*SIN((0+90)*PI()/180)</f>
        <v>1</v>
      </c>
      <c r="AW3" s="208"/>
      <c r="AX3" s="208"/>
    </row>
    <row r="4" spans="1:130" x14ac:dyDescent="0.2">
      <c r="A4" s="2"/>
      <c r="B4" s="2"/>
      <c r="J4" s="47" t="s">
        <v>711</v>
      </c>
      <c r="K4" s="214" t="s">
        <v>712</v>
      </c>
      <c r="P4" s="1" t="s">
        <v>825</v>
      </c>
      <c r="V4" s="3" t="s">
        <v>665</v>
      </c>
      <c r="W4" s="3" t="s">
        <v>712</v>
      </c>
      <c r="Y4" s="3">
        <v>10</v>
      </c>
      <c r="AA4" s="47" t="s">
        <v>823</v>
      </c>
      <c r="AB4" s="3">
        <f>V25</f>
        <v>7.3160002778712379</v>
      </c>
      <c r="AC4" s="3">
        <f>IF(ABS(AB3)&lt;0.000001,0,COS((360-X23+90)*PI()/180)*AB3)</f>
        <v>2.7997120975197123</v>
      </c>
      <c r="AD4" s="3">
        <f>IF(ABS(AB3)&lt;0.000001,0,SIN((360-X23+90)*PI()/180)*AB3)</f>
        <v>6.7591029165721181</v>
      </c>
      <c r="AE4" s="3">
        <f>IF(ABS(AB2)&lt;0.000001,0,COS((X22+90)*PI()/180)*AB2)</f>
        <v>0</v>
      </c>
      <c r="AF4" s="3">
        <f>IF(ABS(AB2)&lt;0.000001,0,SIN((X22+90)*PI()/180)*AB2)</f>
        <v>0</v>
      </c>
      <c r="AG4" s="3">
        <f>AC4+AE4</f>
        <v>2.7997120975197123</v>
      </c>
      <c r="AH4" s="3">
        <f>AD4+AF4</f>
        <v>6.7591029165721181</v>
      </c>
      <c r="AI4" s="3">
        <v>20</v>
      </c>
      <c r="AJ4" s="3">
        <f t="shared" si="0"/>
        <v>4.9426181466432526</v>
      </c>
      <c r="AK4" s="3">
        <f t="shared" si="1"/>
        <v>5.3939212009710227</v>
      </c>
      <c r="AL4" s="3">
        <f t="shared" si="2"/>
        <v>6.8747914747832519</v>
      </c>
      <c r="AM4" s="3">
        <f t="shared" si="3"/>
        <v>2.5022194636081507</v>
      </c>
      <c r="AN4" s="3">
        <f t="shared" si="4"/>
        <v>0</v>
      </c>
      <c r="AO4" s="3">
        <f t="shared" si="5"/>
        <v>0</v>
      </c>
      <c r="AQ4" s="47" t="s">
        <v>749</v>
      </c>
      <c r="AR4" s="4">
        <f>IF(K4="Alap",1,J31/J30)</f>
        <v>1</v>
      </c>
      <c r="AT4" s="215"/>
      <c r="AU4" s="208">
        <v>0</v>
      </c>
      <c r="AV4" s="208">
        <v>0</v>
      </c>
      <c r="AW4" s="208"/>
      <c r="AX4" s="208"/>
      <c r="AZ4" s="1" t="s">
        <v>578</v>
      </c>
      <c r="BA4" s="1"/>
      <c r="BF4" s="3" t="s">
        <v>763</v>
      </c>
    </row>
    <row r="5" spans="1:130" x14ac:dyDescent="0.2">
      <c r="A5" s="2"/>
      <c r="B5" s="2"/>
      <c r="C5" s="2"/>
      <c r="I5" s="47" t="s">
        <v>579</v>
      </c>
      <c r="J5" s="4">
        <f>J30/J31</f>
        <v>1</v>
      </c>
      <c r="K5" s="4" t="s">
        <v>699</v>
      </c>
      <c r="Q5" s="4" t="s">
        <v>45</v>
      </c>
      <c r="R5" s="4" t="s">
        <v>826</v>
      </c>
      <c r="S5" s="4" t="s">
        <v>827</v>
      </c>
      <c r="T5" s="4" t="s">
        <v>828</v>
      </c>
      <c r="U5" s="4" t="s">
        <v>829</v>
      </c>
      <c r="V5" s="47"/>
      <c r="W5" s="4"/>
      <c r="Y5" s="3">
        <v>20</v>
      </c>
      <c r="AA5" s="47" t="s">
        <v>824</v>
      </c>
      <c r="AB5" s="3">
        <f>AA25</f>
        <v>5.9734892129481594</v>
      </c>
      <c r="AC5" s="3">
        <f>IF(ABS(AB6)&gt;0.000001,AB6,0)</f>
        <v>7.3160002778712379</v>
      </c>
      <c r="AD5" s="3">
        <v>0</v>
      </c>
      <c r="AE5" s="3">
        <f>AC5</f>
        <v>7.3160002778712379</v>
      </c>
      <c r="AI5" s="3">
        <v>40</v>
      </c>
      <c r="AJ5" s="3">
        <f t="shared" si="0"/>
        <v>6.4893715020066631</v>
      </c>
      <c r="AK5" s="3">
        <f t="shared" si="1"/>
        <v>3.378152982734159</v>
      </c>
      <c r="AL5" s="3">
        <f t="shared" si="2"/>
        <v>5.6043813587201559</v>
      </c>
      <c r="AM5" s="3">
        <f t="shared" si="3"/>
        <v>4.7026343310789063</v>
      </c>
      <c r="AN5" s="3">
        <f t="shared" si="4"/>
        <v>0</v>
      </c>
      <c r="AO5" s="3">
        <f t="shared" si="5"/>
        <v>0</v>
      </c>
      <c r="AP5" s="3">
        <v>30</v>
      </c>
      <c r="AQ5" s="3">
        <f t="shared" ref="AQ5:AQ16" si="6">1*COS(AP5*PI()/180)</f>
        <v>0.86602540378443871</v>
      </c>
      <c r="AR5" s="3">
        <f t="shared" ref="AR5:AR16" si="7">1*SIN(AP5*PI()/180)</f>
        <v>0.49999999999999994</v>
      </c>
      <c r="AT5" s="216" t="s">
        <v>670</v>
      </c>
      <c r="AU5" s="208">
        <f>IF(AS18="Y",AU1*COS((120+90)*PI()/180),0)</f>
        <v>-0.8660254037844386</v>
      </c>
      <c r="AV5" s="208">
        <f>IF(AS18="Y",AU1*SIN((120+90)*PI()/180),0)</f>
        <v>-0.50000000000000011</v>
      </c>
      <c r="AW5" s="208"/>
      <c r="AX5" s="208"/>
      <c r="AZ5" s="90" t="s">
        <v>580</v>
      </c>
      <c r="BA5" s="90" t="s">
        <v>245</v>
      </c>
      <c r="BB5" s="3" t="s">
        <v>581</v>
      </c>
      <c r="BC5" s="3" t="s">
        <v>45</v>
      </c>
      <c r="BD5" s="3" t="s">
        <v>69</v>
      </c>
      <c r="BE5" s="3" t="s">
        <v>119</v>
      </c>
      <c r="BF5" s="4">
        <v>1</v>
      </c>
      <c r="BG5" s="4">
        <v>2</v>
      </c>
      <c r="BH5" s="4">
        <v>3</v>
      </c>
      <c r="BI5" s="4">
        <v>4</v>
      </c>
      <c r="BJ5" s="4">
        <v>5</v>
      </c>
      <c r="BK5" s="4">
        <v>6</v>
      </c>
      <c r="BL5" s="4">
        <v>7</v>
      </c>
      <c r="BM5" s="4">
        <v>8</v>
      </c>
      <c r="BN5" s="4">
        <v>9</v>
      </c>
      <c r="BO5" s="4">
        <v>10</v>
      </c>
      <c r="BP5" s="4">
        <v>11</v>
      </c>
      <c r="BQ5" s="4">
        <v>12</v>
      </c>
      <c r="BR5" s="4">
        <v>13</v>
      </c>
      <c r="BS5" s="4">
        <v>14</v>
      </c>
      <c r="BT5" s="4">
        <v>15</v>
      </c>
      <c r="BU5" s="4">
        <v>16</v>
      </c>
      <c r="BV5" s="4">
        <v>17</v>
      </c>
      <c r="BW5" s="4">
        <v>18</v>
      </c>
      <c r="BX5" s="4">
        <v>19</v>
      </c>
      <c r="BY5" s="4">
        <v>20</v>
      </c>
      <c r="BZ5" s="4">
        <v>21</v>
      </c>
      <c r="CA5" s="4">
        <v>22</v>
      </c>
      <c r="CB5" s="4">
        <v>23</v>
      </c>
      <c r="CC5" s="4">
        <v>24</v>
      </c>
      <c r="CD5" s="4">
        <v>25</v>
      </c>
      <c r="CE5" s="4">
        <v>26</v>
      </c>
      <c r="CF5" s="4">
        <v>27</v>
      </c>
      <c r="CG5" s="4">
        <v>28</v>
      </c>
      <c r="CH5" s="4">
        <v>29</v>
      </c>
      <c r="CI5" s="4">
        <v>30</v>
      </c>
      <c r="CJ5" s="4">
        <v>31</v>
      </c>
      <c r="CK5" s="4">
        <v>32</v>
      </c>
      <c r="CL5" s="4">
        <v>33</v>
      </c>
      <c r="CM5" s="4">
        <v>34</v>
      </c>
      <c r="CN5" s="4">
        <v>35</v>
      </c>
      <c r="CO5" s="4">
        <v>36</v>
      </c>
      <c r="CP5" s="4">
        <v>37</v>
      </c>
      <c r="CQ5" s="4">
        <v>38</v>
      </c>
      <c r="CR5" s="4">
        <v>39</v>
      </c>
      <c r="CS5" s="4">
        <v>40</v>
      </c>
      <c r="CT5" s="4">
        <v>41</v>
      </c>
      <c r="CU5" s="4">
        <v>42</v>
      </c>
      <c r="CV5" s="4">
        <v>43</v>
      </c>
      <c r="CW5" s="4">
        <v>44</v>
      </c>
      <c r="CX5" s="4">
        <v>45</v>
      </c>
      <c r="CY5" s="4">
        <v>46</v>
      </c>
      <c r="CZ5" s="4">
        <v>47</v>
      </c>
      <c r="DA5" s="4">
        <v>48</v>
      </c>
      <c r="DB5" s="4">
        <v>49</v>
      </c>
      <c r="DC5" s="4">
        <v>50</v>
      </c>
      <c r="DD5" s="4">
        <v>51</v>
      </c>
      <c r="DE5" s="4">
        <v>52</v>
      </c>
      <c r="DF5" s="4">
        <v>53</v>
      </c>
      <c r="DG5" s="4">
        <v>54</v>
      </c>
      <c r="DH5" s="4">
        <v>55</v>
      </c>
      <c r="DI5" s="4">
        <v>56</v>
      </c>
      <c r="DJ5" s="4">
        <v>57</v>
      </c>
      <c r="DK5" s="4">
        <v>58</v>
      </c>
      <c r="DL5" s="4">
        <v>59</v>
      </c>
      <c r="DM5" s="4">
        <v>60</v>
      </c>
      <c r="DN5" s="4">
        <v>61</v>
      </c>
      <c r="DO5" s="4">
        <v>62</v>
      </c>
      <c r="DP5" s="4">
        <v>63</v>
      </c>
      <c r="DQ5" s="4">
        <v>64</v>
      </c>
      <c r="DR5" s="4">
        <v>65</v>
      </c>
      <c r="DS5" s="4">
        <v>66</v>
      </c>
      <c r="DT5" s="4">
        <v>67</v>
      </c>
      <c r="DU5" s="4">
        <v>68</v>
      </c>
      <c r="DV5" s="4">
        <v>69</v>
      </c>
      <c r="DW5" s="4">
        <v>70</v>
      </c>
      <c r="DX5" s="4">
        <v>71</v>
      </c>
      <c r="DY5" s="4">
        <v>72</v>
      </c>
    </row>
    <row r="6" spans="1:130" x14ac:dyDescent="0.2">
      <c r="B6" s="2"/>
      <c r="I6" s="47" t="s">
        <v>165</v>
      </c>
      <c r="J6" s="3">
        <f>IF(AJ31&gt;0,$N$31/$AS$31*G20*AH27,$N$31/$AS$31*G20*AH32)</f>
        <v>0.9576621969425485</v>
      </c>
      <c r="K6" s="3">
        <f>IF(AJ31&gt;0,AB8,"")</f>
        <v>1.6587195815925264</v>
      </c>
      <c r="L6" s="3" t="s">
        <v>686</v>
      </c>
      <c r="P6" s="3" t="s">
        <v>830</v>
      </c>
      <c r="Q6" s="4">
        <f>H30</f>
        <v>48</v>
      </c>
      <c r="R6" s="4">
        <f>Q6/($J$31/2)-1</f>
        <v>23</v>
      </c>
      <c r="S6" s="4">
        <f>Q6/($J$31/2)+1</f>
        <v>25</v>
      </c>
      <c r="T6" s="4">
        <f>$J$31*R6</f>
        <v>92</v>
      </c>
      <c r="U6" s="4">
        <f>$J$31*S6</f>
        <v>100</v>
      </c>
      <c r="W6" s="3" t="s">
        <v>803</v>
      </c>
      <c r="Y6" s="3">
        <v>50</v>
      </c>
      <c r="AA6" s="47" t="s">
        <v>786</v>
      </c>
      <c r="AB6" s="3">
        <f>IF($AJ$31&gt;0,AB4,AB5)</f>
        <v>7.3160002778712379</v>
      </c>
      <c r="AC6" s="3">
        <f>IF(ABS(AB6)&gt;0.000001,-AB6,0)</f>
        <v>-7.3160002778712379</v>
      </c>
      <c r="AD6" s="3">
        <v>0</v>
      </c>
      <c r="AE6" s="3">
        <f>AC6</f>
        <v>-7.3160002778712379</v>
      </c>
      <c r="AI6" s="3">
        <v>60</v>
      </c>
      <c r="AJ6" s="3">
        <f t="shared" si="0"/>
        <v>7.2534108813048039</v>
      </c>
      <c r="AK6" s="3">
        <f t="shared" si="1"/>
        <v>0.95492965855136269</v>
      </c>
      <c r="AL6" s="3">
        <f t="shared" si="2"/>
        <v>3.6580001389356167</v>
      </c>
      <c r="AM6" s="3">
        <f t="shared" si="3"/>
        <v>6.3358420947304985</v>
      </c>
      <c r="AN6" s="3">
        <f t="shared" si="4"/>
        <v>0</v>
      </c>
      <c r="AO6" s="3">
        <f t="shared" si="5"/>
        <v>0</v>
      </c>
      <c r="AP6" s="3">
        <v>60</v>
      </c>
      <c r="AQ6" s="3">
        <f t="shared" si="6"/>
        <v>0.50000000000000011</v>
      </c>
      <c r="AR6" s="3">
        <f t="shared" si="7"/>
        <v>0.8660254037844386</v>
      </c>
      <c r="AT6" s="215"/>
      <c r="AU6" s="208">
        <v>0</v>
      </c>
      <c r="AV6" s="208">
        <v>0</v>
      </c>
      <c r="AW6" s="208"/>
      <c r="AX6" s="208"/>
      <c r="AZ6" s="90" t="str">
        <f t="shared" ref="AZ6:AZ37" si="8">INDEX($BB$6:$BB$205,4*BA6-3)</f>
        <v>1.Mentett</v>
      </c>
      <c r="BA6" s="217">
        <v>1</v>
      </c>
      <c r="BB6" s="218" t="s">
        <v>78</v>
      </c>
      <c r="BC6" s="219">
        <v>48</v>
      </c>
      <c r="BD6" s="219">
        <v>4</v>
      </c>
      <c r="BE6" s="220">
        <v>12</v>
      </c>
      <c r="BF6" s="219" t="s">
        <v>41</v>
      </c>
      <c r="BG6" s="219" t="s">
        <v>41</v>
      </c>
      <c r="BH6" s="219" t="s">
        <v>41</v>
      </c>
      <c r="BI6" s="219" t="s">
        <v>41</v>
      </c>
      <c r="BJ6" s="219" t="s">
        <v>120</v>
      </c>
      <c r="BK6" s="219" t="s">
        <v>120</v>
      </c>
      <c r="BL6" s="219" t="s">
        <v>120</v>
      </c>
      <c r="BM6" s="219" t="s">
        <v>120</v>
      </c>
      <c r="BN6" s="219" t="s">
        <v>46</v>
      </c>
      <c r="BO6" s="219" t="s">
        <v>46</v>
      </c>
      <c r="BP6" s="219" t="s">
        <v>46</v>
      </c>
      <c r="BQ6" s="219" t="s">
        <v>46</v>
      </c>
      <c r="BR6" s="219" t="s">
        <v>116</v>
      </c>
      <c r="BS6" s="219" t="s">
        <v>116</v>
      </c>
      <c r="BT6" s="219" t="s">
        <v>116</v>
      </c>
      <c r="BU6" s="219" t="s">
        <v>116</v>
      </c>
      <c r="BV6" s="219" t="s">
        <v>65</v>
      </c>
      <c r="BW6" s="219" t="s">
        <v>65</v>
      </c>
      <c r="BX6" s="219" t="s">
        <v>65</v>
      </c>
      <c r="BY6" s="219" t="s">
        <v>65</v>
      </c>
      <c r="BZ6" s="219" t="s">
        <v>117</v>
      </c>
      <c r="CA6" s="219" t="s">
        <v>117</v>
      </c>
      <c r="CB6" s="219" t="s">
        <v>117</v>
      </c>
      <c r="CC6" s="219" t="s">
        <v>117</v>
      </c>
      <c r="CD6" s="219" t="s">
        <v>41</v>
      </c>
      <c r="CE6" s="219" t="s">
        <v>41</v>
      </c>
      <c r="CF6" s="219" t="s">
        <v>41</v>
      </c>
      <c r="CG6" s="219" t="s">
        <v>41</v>
      </c>
      <c r="CH6" s="219" t="s">
        <v>120</v>
      </c>
      <c r="CI6" s="219" t="s">
        <v>120</v>
      </c>
      <c r="CJ6" s="219" t="s">
        <v>120</v>
      </c>
      <c r="CK6" s="219" t="s">
        <v>120</v>
      </c>
      <c r="CL6" s="219" t="s">
        <v>46</v>
      </c>
      <c r="CM6" s="219" t="s">
        <v>46</v>
      </c>
      <c r="CN6" s="219" t="s">
        <v>46</v>
      </c>
      <c r="CO6" s="219" t="s">
        <v>46</v>
      </c>
      <c r="CP6" s="219" t="s">
        <v>116</v>
      </c>
      <c r="CQ6" s="219" t="s">
        <v>116</v>
      </c>
      <c r="CR6" s="219" t="s">
        <v>116</v>
      </c>
      <c r="CS6" s="219" t="s">
        <v>116</v>
      </c>
      <c r="CT6" s="219" t="s">
        <v>65</v>
      </c>
      <c r="CU6" s="219" t="s">
        <v>65</v>
      </c>
      <c r="CV6" s="219" t="s">
        <v>65</v>
      </c>
      <c r="CW6" s="219" t="s">
        <v>65</v>
      </c>
      <c r="CX6" s="219" t="s">
        <v>117</v>
      </c>
      <c r="CY6" s="219" t="s">
        <v>117</v>
      </c>
      <c r="CZ6" s="219" t="s">
        <v>117</v>
      </c>
      <c r="DA6" s="219" t="s">
        <v>117</v>
      </c>
      <c r="DB6" s="219"/>
      <c r="DC6" s="219"/>
      <c r="DD6" s="219"/>
      <c r="DE6" s="219"/>
      <c r="DF6" s="219"/>
      <c r="DG6" s="219"/>
      <c r="DH6" s="219"/>
      <c r="DI6" s="219"/>
      <c r="DJ6" s="219"/>
      <c r="DK6" s="219"/>
      <c r="DL6" s="219"/>
      <c r="DM6" s="219"/>
      <c r="DN6" s="219"/>
      <c r="DO6" s="219"/>
      <c r="DP6" s="219"/>
      <c r="DQ6" s="219"/>
      <c r="DR6" s="219"/>
      <c r="DS6" s="219"/>
      <c r="DT6" s="219"/>
      <c r="DU6" s="219"/>
      <c r="DV6" s="219"/>
      <c r="DW6" s="219"/>
      <c r="DX6" s="219"/>
      <c r="DY6" s="219"/>
      <c r="DZ6" s="45"/>
    </row>
    <row r="7" spans="1:130" x14ac:dyDescent="0.2">
      <c r="A7" s="2"/>
      <c r="I7" s="47" t="s">
        <v>166</v>
      </c>
      <c r="J7" s="3">
        <f>IF(AJ31&gt;0,$N$31/$AS$31*G21*AI27,$N$31/$AS$31*G21*AI32)</f>
        <v>0.95766219694254862</v>
      </c>
      <c r="K7" s="3">
        <f>AD8</f>
        <v>1.6587195815925262</v>
      </c>
      <c r="L7" s="3" t="s">
        <v>687</v>
      </c>
      <c r="P7" s="3" t="s">
        <v>831</v>
      </c>
      <c r="Q7" s="54">
        <v>28</v>
      </c>
      <c r="R7" s="58">
        <f>Q7/($J$31/2)-1</f>
        <v>13</v>
      </c>
      <c r="S7" s="58">
        <f>Q7/($J$31/2)+1</f>
        <v>15</v>
      </c>
      <c r="T7" s="4">
        <f>$J$31*R7</f>
        <v>52</v>
      </c>
      <c r="U7" s="4">
        <f>$J$31*S7</f>
        <v>60</v>
      </c>
      <c r="W7" s="3">
        <f>E17</f>
        <v>6</v>
      </c>
      <c r="Y7" s="3">
        <v>100</v>
      </c>
      <c r="AI7" s="3">
        <v>80</v>
      </c>
      <c r="AJ7" s="3">
        <f t="shared" si="0"/>
        <v>7.14258185937401</v>
      </c>
      <c r="AK7" s="3">
        <f t="shared" si="1"/>
        <v>-1.5834722757135073</v>
      </c>
      <c r="AL7" s="3">
        <f t="shared" si="2"/>
        <v>1.2704101160630958</v>
      </c>
      <c r="AM7" s="3">
        <f t="shared" si="3"/>
        <v>7.2048537946870574</v>
      </c>
      <c r="AN7" s="3">
        <f t="shared" si="4"/>
        <v>0</v>
      </c>
      <c r="AO7" s="3">
        <f t="shared" si="5"/>
        <v>0</v>
      </c>
      <c r="AP7" s="3">
        <v>90</v>
      </c>
      <c r="AQ7" s="3">
        <f t="shared" si="6"/>
        <v>6.1257422745431001E-17</v>
      </c>
      <c r="AR7" s="3">
        <f t="shared" si="7"/>
        <v>1</v>
      </c>
      <c r="AT7" s="215" t="s">
        <v>671</v>
      </c>
      <c r="AU7" s="3">
        <f>IF(AS18="Y",AU1*COS((240+90)*PI()/180),0)</f>
        <v>0.86602540378443837</v>
      </c>
      <c r="AV7" s="208">
        <f>IF(AS18="Y",AU1*SIN((240+90)*PI()/180),0)</f>
        <v>-0.50000000000000044</v>
      </c>
      <c r="AW7" s="208"/>
      <c r="AX7" s="208"/>
      <c r="AZ7" s="90" t="str">
        <f t="shared" si="8"/>
        <v>2.h12p2y4ph2</v>
      </c>
      <c r="BA7" s="221">
        <v>2</v>
      </c>
      <c r="BB7" s="222" t="s">
        <v>79</v>
      </c>
      <c r="BC7" s="223"/>
      <c r="BD7" s="223"/>
      <c r="BE7" s="224"/>
      <c r="BF7" s="223" t="s">
        <v>41</v>
      </c>
      <c r="BG7" s="223" t="s">
        <v>41</v>
      </c>
      <c r="BH7" s="223" t="s">
        <v>41</v>
      </c>
      <c r="BI7" s="223" t="s">
        <v>41</v>
      </c>
      <c r="BJ7" s="223" t="s">
        <v>120</v>
      </c>
      <c r="BK7" s="223" t="s">
        <v>120</v>
      </c>
      <c r="BL7" s="223" t="s">
        <v>120</v>
      </c>
      <c r="BM7" s="223" t="s">
        <v>120</v>
      </c>
      <c r="BN7" s="223" t="s">
        <v>46</v>
      </c>
      <c r="BO7" s="223" t="s">
        <v>46</v>
      </c>
      <c r="BP7" s="223" t="s">
        <v>46</v>
      </c>
      <c r="BQ7" s="223" t="s">
        <v>46</v>
      </c>
      <c r="BR7" s="223" t="s">
        <v>116</v>
      </c>
      <c r="BS7" s="223" t="s">
        <v>116</v>
      </c>
      <c r="BT7" s="223" t="s">
        <v>116</v>
      </c>
      <c r="BU7" s="223" t="s">
        <v>116</v>
      </c>
      <c r="BV7" s="223" t="s">
        <v>65</v>
      </c>
      <c r="BW7" s="223" t="s">
        <v>65</v>
      </c>
      <c r="BX7" s="223" t="s">
        <v>65</v>
      </c>
      <c r="BY7" s="223" t="s">
        <v>65</v>
      </c>
      <c r="BZ7" s="223" t="s">
        <v>117</v>
      </c>
      <c r="CA7" s="223" t="s">
        <v>117</v>
      </c>
      <c r="CB7" s="223" t="s">
        <v>117</v>
      </c>
      <c r="CC7" s="223" t="s">
        <v>117</v>
      </c>
      <c r="CD7" s="223" t="s">
        <v>41</v>
      </c>
      <c r="CE7" s="223" t="s">
        <v>41</v>
      </c>
      <c r="CF7" s="223" t="s">
        <v>41</v>
      </c>
      <c r="CG7" s="223" t="s">
        <v>41</v>
      </c>
      <c r="CH7" s="223" t="s">
        <v>120</v>
      </c>
      <c r="CI7" s="223" t="s">
        <v>120</v>
      </c>
      <c r="CJ7" s="223" t="s">
        <v>120</v>
      </c>
      <c r="CK7" s="223" t="s">
        <v>120</v>
      </c>
      <c r="CL7" s="223" t="s">
        <v>46</v>
      </c>
      <c r="CM7" s="223" t="s">
        <v>46</v>
      </c>
      <c r="CN7" s="223" t="s">
        <v>46</v>
      </c>
      <c r="CO7" s="223" t="s">
        <v>46</v>
      </c>
      <c r="CP7" s="223" t="s">
        <v>116</v>
      </c>
      <c r="CQ7" s="223" t="s">
        <v>116</v>
      </c>
      <c r="CR7" s="223" t="s">
        <v>116</v>
      </c>
      <c r="CS7" s="223" t="s">
        <v>116</v>
      </c>
      <c r="CT7" s="223" t="s">
        <v>65</v>
      </c>
      <c r="CU7" s="223" t="s">
        <v>65</v>
      </c>
      <c r="CV7" s="223" t="s">
        <v>65</v>
      </c>
      <c r="CW7" s="223" t="s">
        <v>65</v>
      </c>
      <c r="CX7" s="223" t="s">
        <v>117</v>
      </c>
      <c r="CY7" s="223" t="s">
        <v>117</v>
      </c>
      <c r="CZ7" s="223" t="s">
        <v>117</v>
      </c>
      <c r="DA7" s="223" t="s">
        <v>117</v>
      </c>
      <c r="DB7" s="223"/>
      <c r="DC7" s="223"/>
      <c r="DD7" s="223"/>
      <c r="DE7" s="223"/>
      <c r="DF7" s="223"/>
      <c r="DG7" s="223"/>
      <c r="DH7" s="223"/>
      <c r="DI7" s="223"/>
      <c r="DJ7" s="223"/>
      <c r="DK7" s="223"/>
      <c r="DL7" s="223"/>
      <c r="DM7" s="223"/>
      <c r="DN7" s="223"/>
      <c r="DO7" s="223"/>
      <c r="DP7" s="223"/>
      <c r="DQ7" s="223"/>
      <c r="DR7" s="223"/>
      <c r="DS7" s="223"/>
      <c r="DT7" s="223"/>
      <c r="DU7" s="223"/>
      <c r="DV7" s="223"/>
      <c r="DW7" s="223"/>
      <c r="DX7" s="223"/>
      <c r="DY7" s="223"/>
      <c r="DZ7" s="48" t="s">
        <v>582</v>
      </c>
    </row>
    <row r="8" spans="1:130" x14ac:dyDescent="0.2">
      <c r="I8" s="47" t="s">
        <v>167</v>
      </c>
      <c r="J8" s="3">
        <f>$N$31/$AS$31*G22*AJ27</f>
        <v>0.95766219694254839</v>
      </c>
      <c r="K8" s="3">
        <f>IF(AJ31&gt;0,AF8,"")</f>
        <v>1.6587195815925264</v>
      </c>
      <c r="L8" s="3" t="s">
        <v>700</v>
      </c>
      <c r="P8" s="3" t="s">
        <v>743</v>
      </c>
      <c r="Q8" s="3" t="str">
        <f>IMSUM(S20,S21,Y11)</f>
        <v>6.75910291657211+2.79971209751972i</v>
      </c>
      <c r="W8" s="3">
        <f>-W7</f>
        <v>-6</v>
      </c>
      <c r="AA8" s="47" t="s">
        <v>698</v>
      </c>
      <c r="AB8" s="3">
        <f>SQRT(AB9^2+AC9^2)</f>
        <v>1.6587195815925264</v>
      </c>
      <c r="AD8" s="3">
        <f>SQRT(AD9^2+AE9^2)</f>
        <v>1.6587195815925262</v>
      </c>
      <c r="AF8" s="3">
        <f>SQRT(AF9^2+AG9^2)</f>
        <v>1.6587195815925264</v>
      </c>
      <c r="AI8" s="3">
        <v>100</v>
      </c>
      <c r="AJ8" s="3">
        <f t="shared" si="0"/>
        <v>6.1702520519212944</v>
      </c>
      <c r="AK8" s="3">
        <f t="shared" si="1"/>
        <v>-3.9308840839654731</v>
      </c>
      <c r="AL8" s="3">
        <f t="shared" si="2"/>
        <v>-1.2704101160630952</v>
      </c>
      <c r="AM8" s="3">
        <f t="shared" si="3"/>
        <v>7.2048537946870574</v>
      </c>
      <c r="AN8" s="3">
        <f t="shared" si="4"/>
        <v>0</v>
      </c>
      <c r="AO8" s="3">
        <f t="shared" si="5"/>
        <v>0</v>
      </c>
      <c r="AP8" s="3">
        <v>120</v>
      </c>
      <c r="AQ8" s="3">
        <f t="shared" si="6"/>
        <v>-0.49999999999999978</v>
      </c>
      <c r="AR8" s="3">
        <f t="shared" si="7"/>
        <v>0.86602540378443871</v>
      </c>
      <c r="AT8" s="225" t="s">
        <v>681</v>
      </c>
      <c r="AU8" s="3">
        <v>0</v>
      </c>
      <c r="AV8" s="3">
        <v>0</v>
      </c>
      <c r="AZ8" s="90" t="str">
        <f t="shared" si="8"/>
        <v>3.h18p4y4</v>
      </c>
      <c r="BA8" s="221">
        <v>3</v>
      </c>
      <c r="BB8" s="222" t="s">
        <v>74</v>
      </c>
      <c r="BC8" s="223"/>
      <c r="BD8" s="223"/>
      <c r="BE8" s="224"/>
      <c r="BF8" s="223">
        <v>1</v>
      </c>
      <c r="BG8" s="223">
        <v>1</v>
      </c>
      <c r="BH8" s="223">
        <v>1</v>
      </c>
      <c r="BI8" s="223">
        <v>1</v>
      </c>
      <c r="BJ8" s="223">
        <v>1</v>
      </c>
      <c r="BK8" s="223">
        <v>1</v>
      </c>
      <c r="BL8" s="223">
        <v>1</v>
      </c>
      <c r="BM8" s="223">
        <v>1</v>
      </c>
      <c r="BN8" s="223">
        <v>1</v>
      </c>
      <c r="BO8" s="223">
        <v>1</v>
      </c>
      <c r="BP8" s="223">
        <v>1</v>
      </c>
      <c r="BQ8" s="223">
        <v>1</v>
      </c>
      <c r="BR8" s="223">
        <v>1</v>
      </c>
      <c r="BS8" s="223">
        <v>1</v>
      </c>
      <c r="BT8" s="223">
        <v>1</v>
      </c>
      <c r="BU8" s="223">
        <v>1</v>
      </c>
      <c r="BV8" s="223">
        <v>1</v>
      </c>
      <c r="BW8" s="223">
        <v>1</v>
      </c>
      <c r="BX8" s="223">
        <v>1</v>
      </c>
      <c r="BY8" s="223">
        <v>1</v>
      </c>
      <c r="BZ8" s="223">
        <v>1</v>
      </c>
      <c r="CA8" s="223">
        <v>1</v>
      </c>
      <c r="CB8" s="223">
        <v>1</v>
      </c>
      <c r="CC8" s="223">
        <v>1</v>
      </c>
      <c r="CD8" s="223">
        <v>1</v>
      </c>
      <c r="CE8" s="223">
        <v>1</v>
      </c>
      <c r="CF8" s="223">
        <v>1</v>
      </c>
      <c r="CG8" s="223">
        <v>1</v>
      </c>
      <c r="CH8" s="223">
        <v>1</v>
      </c>
      <c r="CI8" s="223">
        <v>1</v>
      </c>
      <c r="CJ8" s="223">
        <v>1</v>
      </c>
      <c r="CK8" s="223">
        <v>1</v>
      </c>
      <c r="CL8" s="223">
        <v>1</v>
      </c>
      <c r="CM8" s="223">
        <v>1</v>
      </c>
      <c r="CN8" s="223">
        <v>1</v>
      </c>
      <c r="CO8" s="223">
        <v>1</v>
      </c>
      <c r="CP8" s="223">
        <v>1</v>
      </c>
      <c r="CQ8" s="223">
        <v>1</v>
      </c>
      <c r="CR8" s="223">
        <v>1</v>
      </c>
      <c r="CS8" s="223">
        <v>1</v>
      </c>
      <c r="CT8" s="223">
        <v>1</v>
      </c>
      <c r="CU8" s="223">
        <v>1</v>
      </c>
      <c r="CV8" s="223">
        <v>1</v>
      </c>
      <c r="CW8" s="223">
        <v>1</v>
      </c>
      <c r="CX8" s="223">
        <v>1</v>
      </c>
      <c r="CY8" s="223">
        <v>1</v>
      </c>
      <c r="CZ8" s="223">
        <v>1</v>
      </c>
      <c r="DA8" s="223">
        <v>1</v>
      </c>
      <c r="DB8" s="223"/>
      <c r="DC8" s="223"/>
      <c r="DD8" s="223"/>
      <c r="DE8" s="223"/>
      <c r="DF8" s="223"/>
      <c r="DG8" s="223"/>
      <c r="DH8" s="223"/>
      <c r="DI8" s="223"/>
      <c r="DJ8" s="223"/>
      <c r="DK8" s="223"/>
      <c r="DL8" s="223"/>
      <c r="DM8" s="223"/>
      <c r="DN8" s="223"/>
      <c r="DO8" s="223"/>
      <c r="DP8" s="223"/>
      <c r="DQ8" s="223"/>
      <c r="DR8" s="223"/>
      <c r="DS8" s="223"/>
      <c r="DT8" s="223"/>
      <c r="DU8" s="223"/>
      <c r="DV8" s="223"/>
      <c r="DW8" s="223"/>
      <c r="DX8" s="223"/>
      <c r="DY8" s="223"/>
      <c r="DZ8" s="48" t="s">
        <v>582</v>
      </c>
    </row>
    <row r="9" spans="1:130" x14ac:dyDescent="0.2">
      <c r="I9" s="47" t="s">
        <v>583</v>
      </c>
      <c r="J9" s="258">
        <v>1</v>
      </c>
      <c r="K9" s="4">
        <f>IF(ABS(AB2+AB3)&lt;0.000001,"Nincs",IF(AR3&lt;0.0000001,"Lüktet",IF(AR3&lt;0.5,0.5/AR3,AR3)))</f>
        <v>0.95766219694254862</v>
      </c>
      <c r="P9" s="3" t="s">
        <v>744</v>
      </c>
      <c r="Q9" s="3" t="str">
        <f>IMSUM(IMPRODUCT(Q18,S20),IMPRODUCT(Q19,S21),Y11)</f>
        <v>-0.95492965855138-7.2534108813048i</v>
      </c>
      <c r="AA9" s="47" t="s">
        <v>787</v>
      </c>
      <c r="AB9" s="3">
        <f>AB24-AF24</f>
        <v>1.6022000824316183</v>
      </c>
      <c r="AC9" s="3">
        <f>AC24-AG24</f>
        <v>0.42930821820063236</v>
      </c>
      <c r="AD9" s="3">
        <f>AD24-AB24</f>
        <v>-0.42930821820062842</v>
      </c>
      <c r="AE9" s="3">
        <f>AE24-AC24</f>
        <v>-1.6022000824316189</v>
      </c>
      <c r="AF9" s="3">
        <f>AF24-AD24</f>
        <v>-1.1728918642309898</v>
      </c>
      <c r="AG9" s="3">
        <f>AG24-AE24</f>
        <v>1.1728918642309867</v>
      </c>
      <c r="AI9" s="3">
        <v>120</v>
      </c>
      <c r="AJ9" s="3">
        <f t="shared" si="0"/>
        <v>4.453698783785093</v>
      </c>
      <c r="AK9" s="3">
        <f t="shared" si="1"/>
        <v>-5.8041732580207483</v>
      </c>
      <c r="AL9" s="3">
        <f t="shared" si="2"/>
        <v>-3.658000138935614</v>
      </c>
      <c r="AM9" s="3">
        <f t="shared" si="3"/>
        <v>6.3358420947304994</v>
      </c>
      <c r="AN9" s="3">
        <f t="shared" si="4"/>
        <v>0</v>
      </c>
      <c r="AO9" s="3">
        <f t="shared" si="5"/>
        <v>0</v>
      </c>
      <c r="AP9" s="3">
        <v>150</v>
      </c>
      <c r="AQ9" s="3">
        <f t="shared" si="6"/>
        <v>-0.86602540378443871</v>
      </c>
      <c r="AR9" s="3">
        <f t="shared" si="7"/>
        <v>0.49999999999999994</v>
      </c>
      <c r="AT9" s="225" t="s">
        <v>679</v>
      </c>
      <c r="AU9" s="3">
        <f>AU1*COS((0+(E16+90))*PI()/180)</f>
        <v>6.1257422745431001E-17</v>
      </c>
      <c r="AV9" s="3">
        <f>AU1*SIN((0+(E16+90))*PI()/180)</f>
        <v>1</v>
      </c>
      <c r="AZ9" s="90" t="str">
        <f t="shared" si="8"/>
        <v>4.h18p4y4ph2</v>
      </c>
      <c r="BA9" s="226">
        <v>4</v>
      </c>
      <c r="BB9" s="227" t="s">
        <v>75</v>
      </c>
      <c r="BC9" s="228"/>
      <c r="BD9" s="228"/>
      <c r="BE9" s="229"/>
      <c r="BF9" s="223">
        <v>1</v>
      </c>
      <c r="BG9" s="223">
        <v>1</v>
      </c>
      <c r="BH9" s="223">
        <v>1</v>
      </c>
      <c r="BI9" s="223">
        <v>1</v>
      </c>
      <c r="BJ9" s="223">
        <v>1</v>
      </c>
      <c r="BK9" s="223">
        <v>1</v>
      </c>
      <c r="BL9" s="223">
        <v>1</v>
      </c>
      <c r="BM9" s="223">
        <v>1</v>
      </c>
      <c r="BN9" s="223">
        <v>1</v>
      </c>
      <c r="BO9" s="223">
        <v>1</v>
      </c>
      <c r="BP9" s="223">
        <v>1</v>
      </c>
      <c r="BQ9" s="223">
        <v>1</v>
      </c>
      <c r="BR9" s="223">
        <v>1</v>
      </c>
      <c r="BS9" s="223">
        <v>1</v>
      </c>
      <c r="BT9" s="223">
        <v>1</v>
      </c>
      <c r="BU9" s="223">
        <v>1</v>
      </c>
      <c r="BV9" s="223">
        <v>1</v>
      </c>
      <c r="BW9" s="223">
        <v>1</v>
      </c>
      <c r="BX9" s="223">
        <v>1</v>
      </c>
      <c r="BY9" s="223">
        <v>1</v>
      </c>
      <c r="BZ9" s="223">
        <v>1</v>
      </c>
      <c r="CA9" s="223">
        <v>1</v>
      </c>
      <c r="CB9" s="223">
        <v>1</v>
      </c>
      <c r="CC9" s="223">
        <v>1</v>
      </c>
      <c r="CD9" s="223">
        <v>1</v>
      </c>
      <c r="CE9" s="223">
        <v>1</v>
      </c>
      <c r="CF9" s="223">
        <v>1</v>
      </c>
      <c r="CG9" s="223">
        <v>1</v>
      </c>
      <c r="CH9" s="223">
        <v>1</v>
      </c>
      <c r="CI9" s="223">
        <v>1</v>
      </c>
      <c r="CJ9" s="223">
        <v>1</v>
      </c>
      <c r="CK9" s="223">
        <v>1</v>
      </c>
      <c r="CL9" s="223">
        <v>1</v>
      </c>
      <c r="CM9" s="223">
        <v>1</v>
      </c>
      <c r="CN9" s="223">
        <v>1</v>
      </c>
      <c r="CO9" s="223">
        <v>1</v>
      </c>
      <c r="CP9" s="223">
        <v>1</v>
      </c>
      <c r="CQ9" s="223">
        <v>1</v>
      </c>
      <c r="CR9" s="223">
        <v>1</v>
      </c>
      <c r="CS9" s="223">
        <v>1</v>
      </c>
      <c r="CT9" s="223">
        <v>1</v>
      </c>
      <c r="CU9" s="223">
        <v>1</v>
      </c>
      <c r="CV9" s="223">
        <v>1</v>
      </c>
      <c r="CW9" s="223">
        <v>1</v>
      </c>
      <c r="CX9" s="223">
        <v>1</v>
      </c>
      <c r="CY9" s="223">
        <v>1</v>
      </c>
      <c r="CZ9" s="223">
        <v>1</v>
      </c>
      <c r="DA9" s="223">
        <v>1</v>
      </c>
      <c r="DB9" s="223"/>
      <c r="DC9" s="223"/>
      <c r="DD9" s="223"/>
      <c r="DE9" s="223"/>
      <c r="DF9" s="223"/>
      <c r="DG9" s="223"/>
      <c r="DH9" s="223"/>
      <c r="DI9" s="223"/>
      <c r="DJ9" s="223"/>
      <c r="DK9" s="223"/>
      <c r="DL9" s="223"/>
      <c r="DM9" s="223"/>
      <c r="DN9" s="223"/>
      <c r="DO9" s="223"/>
      <c r="DP9" s="223"/>
      <c r="DQ9" s="223"/>
      <c r="DR9" s="223"/>
      <c r="DS9" s="223"/>
      <c r="DT9" s="223"/>
      <c r="DU9" s="223"/>
      <c r="DV9" s="223"/>
      <c r="DW9" s="223"/>
      <c r="DX9" s="223"/>
      <c r="DY9" s="223"/>
      <c r="DZ9" s="51" t="s">
        <v>582</v>
      </c>
    </row>
    <row r="10" spans="1:130" x14ac:dyDescent="0.2">
      <c r="P10" s="3" t="s">
        <v>740</v>
      </c>
      <c r="Q10" s="3" t="str">
        <f>IMSUM(IMPRODUCT(Q18,S21),IMPRODUCT(Q19,S20),Y11)</f>
        <v>-5.80417325802075+4.4536987837851i</v>
      </c>
      <c r="AI10" s="3">
        <v>140</v>
      </c>
      <c r="AJ10" s="3">
        <f t="shared" si="0"/>
        <v>2.1999637127307552</v>
      </c>
      <c r="AK10" s="3">
        <f t="shared" si="1"/>
        <v>-6.977393476684532</v>
      </c>
      <c r="AL10" s="3">
        <f t="shared" si="2"/>
        <v>-5.604381358720155</v>
      </c>
      <c r="AM10" s="3">
        <f t="shared" si="3"/>
        <v>4.7026343310789072</v>
      </c>
      <c r="AN10" s="3">
        <f t="shared" si="4"/>
        <v>0</v>
      </c>
      <c r="AO10" s="3">
        <f t="shared" si="5"/>
        <v>0</v>
      </c>
      <c r="AP10" s="3">
        <v>180</v>
      </c>
      <c r="AQ10" s="3">
        <f t="shared" si="6"/>
        <v>-1</v>
      </c>
      <c r="AR10" s="3">
        <f t="shared" si="7"/>
        <v>1.22514845490862E-16</v>
      </c>
      <c r="AU10" s="3">
        <v>0</v>
      </c>
      <c r="AV10" s="3">
        <v>0</v>
      </c>
      <c r="AZ10" s="90" t="str">
        <f t="shared" si="8"/>
        <v>5.D-h18p8y3-9047</v>
      </c>
      <c r="BA10" s="217">
        <v>5</v>
      </c>
      <c r="BB10" s="218" t="s">
        <v>832</v>
      </c>
      <c r="BC10" s="219">
        <v>12</v>
      </c>
      <c r="BD10" s="219">
        <v>2</v>
      </c>
      <c r="BE10" s="220">
        <v>5</v>
      </c>
      <c r="BF10" s="219" t="s">
        <v>41</v>
      </c>
      <c r="BG10" s="219" t="s">
        <v>41</v>
      </c>
      <c r="BH10" s="219" t="s">
        <v>41</v>
      </c>
      <c r="BI10" s="219" t="s">
        <v>41</v>
      </c>
      <c r="BJ10" s="219" t="s">
        <v>46</v>
      </c>
      <c r="BK10" s="219" t="s">
        <v>46</v>
      </c>
      <c r="BL10" s="219" t="s">
        <v>116</v>
      </c>
      <c r="BM10" s="219" t="s">
        <v>116</v>
      </c>
      <c r="BN10" s="219" t="s">
        <v>116</v>
      </c>
      <c r="BO10" s="219" t="s">
        <v>116</v>
      </c>
      <c r="BP10" s="219" t="s">
        <v>117</v>
      </c>
      <c r="BQ10" s="219" t="s">
        <v>117</v>
      </c>
      <c r="BR10" s="219"/>
      <c r="BS10" s="219"/>
      <c r="BT10" s="219"/>
      <c r="BU10" s="219"/>
      <c r="BV10" s="219"/>
      <c r="BW10" s="219"/>
      <c r="BX10" s="219"/>
      <c r="BY10" s="219"/>
      <c r="BZ10" s="219"/>
      <c r="CA10" s="219"/>
      <c r="CB10" s="219"/>
      <c r="CC10" s="219"/>
      <c r="CD10" s="219"/>
      <c r="CE10" s="219"/>
      <c r="CF10" s="219"/>
      <c r="CG10" s="219"/>
      <c r="CH10" s="219"/>
      <c r="CI10" s="219"/>
      <c r="CJ10" s="219"/>
      <c r="CK10" s="219"/>
      <c r="CL10" s="219"/>
      <c r="CM10" s="219"/>
      <c r="CN10" s="219"/>
      <c r="CO10" s="219"/>
      <c r="CP10" s="219"/>
      <c r="CQ10" s="219"/>
      <c r="CR10" s="219"/>
      <c r="CS10" s="219"/>
      <c r="CT10" s="219"/>
      <c r="CU10" s="219"/>
      <c r="CV10" s="219"/>
      <c r="CW10" s="219"/>
      <c r="CX10" s="219"/>
      <c r="CY10" s="219"/>
      <c r="CZ10" s="219"/>
      <c r="DA10" s="219"/>
      <c r="DB10" s="219"/>
      <c r="DC10" s="219"/>
      <c r="DD10" s="219"/>
      <c r="DE10" s="219"/>
      <c r="DF10" s="219"/>
      <c r="DG10" s="219"/>
      <c r="DH10" s="219"/>
      <c r="DI10" s="219"/>
      <c r="DJ10" s="219"/>
      <c r="DK10" s="219"/>
      <c r="DL10" s="219"/>
      <c r="DM10" s="219"/>
      <c r="DN10" s="219"/>
      <c r="DO10" s="219"/>
      <c r="DP10" s="219"/>
      <c r="DQ10" s="219"/>
      <c r="DR10" s="219"/>
      <c r="DS10" s="219"/>
      <c r="DT10" s="219"/>
      <c r="DU10" s="219"/>
      <c r="DV10" s="219"/>
      <c r="DW10" s="219"/>
      <c r="DX10" s="219"/>
      <c r="DY10" s="219"/>
      <c r="DZ10" s="45" t="s">
        <v>582</v>
      </c>
    </row>
    <row r="11" spans="1:130" x14ac:dyDescent="0.2">
      <c r="I11" s="1" t="s">
        <v>584</v>
      </c>
      <c r="P11" s="1" t="s">
        <v>798</v>
      </c>
      <c r="X11" s="3" t="s">
        <v>741</v>
      </c>
      <c r="Y11" s="3" t="str">
        <f>IMSUM(COMPLEX(AB30,AC30),COMPLEX(AD30,AE30),COMPLEX(AF30,AG30))</f>
        <v>-2.16493489801906E-15+3.99680288865056E-15i</v>
      </c>
      <c r="AA11" s="47"/>
      <c r="AI11" s="3">
        <v>160</v>
      </c>
      <c r="AJ11" s="3">
        <f t="shared" si="0"/>
        <v>-0.3191194500853668</v>
      </c>
      <c r="AK11" s="3">
        <f t="shared" si="1"/>
        <v>-7.3090370666996289</v>
      </c>
      <c r="AL11" s="3">
        <f t="shared" si="2"/>
        <v>-6.874791474783251</v>
      </c>
      <c r="AM11" s="3">
        <f t="shared" si="3"/>
        <v>2.5022194636081521</v>
      </c>
      <c r="AN11" s="3">
        <f t="shared" si="4"/>
        <v>0</v>
      </c>
      <c r="AO11" s="3">
        <f t="shared" si="5"/>
        <v>0</v>
      </c>
      <c r="AP11" s="3">
        <v>210</v>
      </c>
      <c r="AQ11" s="3">
        <f t="shared" si="6"/>
        <v>-0.8660254037844386</v>
      </c>
      <c r="AR11" s="3">
        <f t="shared" si="7"/>
        <v>-0.50000000000000011</v>
      </c>
      <c r="AT11" s="3" t="s">
        <v>673</v>
      </c>
      <c r="AU11" s="3">
        <f>IF(AS18="Y",AU1*(COS((0-E16)*PI()/180))*COS((0+90)*PI()/180),0)</f>
        <v>6.1257422745431001E-17</v>
      </c>
      <c r="AV11" s="3">
        <f>IF(AS18="Y",AU1*(COS((0-E16)*PI()/180))*SIN((0+90)*PI()/180),0)</f>
        <v>1</v>
      </c>
      <c r="AZ11" s="90" t="str">
        <f t="shared" si="8"/>
        <v>6.d-h18p4y3-9047</v>
      </c>
      <c r="BA11" s="221">
        <v>6</v>
      </c>
      <c r="BB11" s="222" t="s">
        <v>833</v>
      </c>
      <c r="BC11" s="223"/>
      <c r="BD11" s="223"/>
      <c r="BE11" s="224"/>
      <c r="BF11" s="223" t="s">
        <v>41</v>
      </c>
      <c r="BG11" s="223" t="s">
        <v>41</v>
      </c>
      <c r="BH11" s="223" t="s">
        <v>41</v>
      </c>
      <c r="BI11" s="223" t="s">
        <v>46</v>
      </c>
      <c r="BJ11" s="223" t="s">
        <v>46</v>
      </c>
      <c r="BK11" s="223" t="s">
        <v>116</v>
      </c>
      <c r="BL11" s="223" t="s">
        <v>116</v>
      </c>
      <c r="BM11" s="223" t="s">
        <v>116</v>
      </c>
      <c r="BN11" s="223" t="s">
        <v>116</v>
      </c>
      <c r="BO11" s="223" t="s">
        <v>117</v>
      </c>
      <c r="BP11" s="223" t="s">
        <v>117</v>
      </c>
      <c r="BQ11" s="223" t="s">
        <v>41</v>
      </c>
      <c r="BR11" s="223"/>
      <c r="BS11" s="223"/>
      <c r="BT11" s="223"/>
      <c r="BU11" s="223"/>
      <c r="BV11" s="223"/>
      <c r="BW11" s="223"/>
      <c r="BX11" s="223"/>
      <c r="BY11" s="223"/>
      <c r="BZ11" s="223"/>
      <c r="CA11" s="223"/>
      <c r="CB11" s="223"/>
      <c r="CC11" s="223"/>
      <c r="CD11" s="223"/>
      <c r="CE11" s="223"/>
      <c r="CF11" s="223"/>
      <c r="CG11" s="223"/>
      <c r="CH11" s="223"/>
      <c r="CI11" s="223"/>
      <c r="CJ11" s="223"/>
      <c r="CK11" s="223"/>
      <c r="CL11" s="223"/>
      <c r="CM11" s="223"/>
      <c r="CN11" s="223"/>
      <c r="CO11" s="223"/>
      <c r="CP11" s="223"/>
      <c r="CQ11" s="223"/>
      <c r="CR11" s="223"/>
      <c r="CS11" s="223"/>
      <c r="CT11" s="223"/>
      <c r="CU11" s="223"/>
      <c r="CV11" s="223"/>
      <c r="CW11" s="223"/>
      <c r="CX11" s="223"/>
      <c r="CY11" s="223"/>
      <c r="CZ11" s="223"/>
      <c r="DA11" s="223"/>
      <c r="DB11" s="223"/>
      <c r="DC11" s="223"/>
      <c r="DD11" s="223"/>
      <c r="DE11" s="223"/>
      <c r="DF11" s="223"/>
      <c r="DG11" s="223"/>
      <c r="DH11" s="223"/>
      <c r="DI11" s="223"/>
      <c r="DJ11" s="223"/>
      <c r="DK11" s="223"/>
      <c r="DL11" s="223"/>
      <c r="DM11" s="223"/>
      <c r="DN11" s="223"/>
      <c r="DO11" s="223"/>
      <c r="DP11" s="223"/>
      <c r="DQ11" s="223"/>
      <c r="DR11" s="223"/>
      <c r="DS11" s="223"/>
      <c r="DT11" s="223"/>
      <c r="DU11" s="223"/>
      <c r="DV11" s="223"/>
      <c r="DW11" s="223"/>
      <c r="DX11" s="223"/>
      <c r="DY11" s="223"/>
      <c r="DZ11" s="48" t="s">
        <v>582</v>
      </c>
    </row>
    <row r="12" spans="1:130" x14ac:dyDescent="0.2">
      <c r="P12" s="47" t="s">
        <v>100</v>
      </c>
      <c r="Q12" s="3" t="str">
        <f>COMPLEX(COS(PI()*2/4),SIN(PI()*2/4))</f>
        <v>6.1257422745431E-17+i</v>
      </c>
      <c r="AI12" s="3">
        <v>180</v>
      </c>
      <c r="AJ12" s="3">
        <f t="shared" si="0"/>
        <v>-2.7997120975197074</v>
      </c>
      <c r="AK12" s="3">
        <f t="shared" si="1"/>
        <v>-6.7591029165721137</v>
      </c>
      <c r="AL12" s="3">
        <f t="shared" si="2"/>
        <v>-7.3160002778712316</v>
      </c>
      <c r="AM12" s="3">
        <f t="shared" si="3"/>
        <v>8.9631864365449733E-16</v>
      </c>
      <c r="AN12" s="3">
        <f t="shared" si="4"/>
        <v>0</v>
      </c>
      <c r="AO12" s="3">
        <f t="shared" si="5"/>
        <v>0</v>
      </c>
      <c r="AP12" s="3">
        <v>240</v>
      </c>
      <c r="AQ12" s="3">
        <f t="shared" si="6"/>
        <v>-0.50000000000000044</v>
      </c>
      <c r="AR12" s="3">
        <f t="shared" si="7"/>
        <v>-0.86602540378443837</v>
      </c>
      <c r="AU12" s="3">
        <v>0</v>
      </c>
      <c r="AV12" s="3">
        <v>0</v>
      </c>
      <c r="AZ12" s="90" t="str">
        <f t="shared" si="8"/>
        <v>7.P-h36p10y3Kuti</v>
      </c>
      <c r="BA12" s="221">
        <v>7</v>
      </c>
      <c r="BB12" s="222" t="s">
        <v>892</v>
      </c>
      <c r="BC12" s="223"/>
      <c r="BD12" s="223"/>
      <c r="BE12" s="224"/>
      <c r="BF12" s="223"/>
      <c r="BG12" s="223"/>
      <c r="BH12" s="223"/>
      <c r="BI12" s="223"/>
      <c r="BJ12" s="223"/>
      <c r="BK12" s="223"/>
      <c r="BL12" s="223"/>
      <c r="BM12" s="223"/>
      <c r="BN12" s="223"/>
      <c r="BO12" s="223"/>
      <c r="BP12" s="223"/>
      <c r="BQ12" s="223"/>
      <c r="BR12" s="223"/>
      <c r="BS12" s="223"/>
      <c r="BT12" s="223"/>
      <c r="BU12" s="223"/>
      <c r="BV12" s="223"/>
      <c r="BW12" s="223"/>
      <c r="BX12" s="223"/>
      <c r="BY12" s="223"/>
      <c r="BZ12" s="223"/>
      <c r="CA12" s="223"/>
      <c r="CB12" s="223"/>
      <c r="CC12" s="223"/>
      <c r="CD12" s="223"/>
      <c r="CE12" s="223"/>
      <c r="CF12" s="223"/>
      <c r="CG12" s="223"/>
      <c r="CH12" s="223"/>
      <c r="CI12" s="223"/>
      <c r="CJ12" s="223"/>
      <c r="CK12" s="223"/>
      <c r="CL12" s="223"/>
      <c r="CM12" s="223"/>
      <c r="CN12" s="223"/>
      <c r="CO12" s="223"/>
      <c r="CP12" s="223"/>
      <c r="CQ12" s="223"/>
      <c r="CR12" s="223"/>
      <c r="CS12" s="223"/>
      <c r="CT12" s="223"/>
      <c r="CU12" s="223"/>
      <c r="CV12" s="223"/>
      <c r="CW12" s="223"/>
      <c r="CX12" s="223"/>
      <c r="CY12" s="223"/>
      <c r="CZ12" s="223"/>
      <c r="DA12" s="223"/>
      <c r="DB12" s="223"/>
      <c r="DC12" s="223"/>
      <c r="DD12" s="223"/>
      <c r="DE12" s="223"/>
      <c r="DF12" s="223"/>
      <c r="DG12" s="223"/>
      <c r="DH12" s="223"/>
      <c r="DI12" s="223"/>
      <c r="DJ12" s="223"/>
      <c r="DK12" s="223"/>
      <c r="DL12" s="223"/>
      <c r="DM12" s="223"/>
      <c r="DN12" s="223"/>
      <c r="DO12" s="223"/>
      <c r="DP12" s="223"/>
      <c r="DQ12" s="223"/>
      <c r="DR12" s="223"/>
      <c r="DS12" s="223"/>
      <c r="DT12" s="223"/>
      <c r="DU12" s="223"/>
      <c r="DV12" s="223"/>
      <c r="DW12" s="223"/>
      <c r="DX12" s="223"/>
      <c r="DY12" s="223"/>
      <c r="DZ12" s="48" t="s">
        <v>582</v>
      </c>
    </row>
    <row r="13" spans="1:130" x14ac:dyDescent="0.2">
      <c r="R13" s="47" t="s">
        <v>796</v>
      </c>
      <c r="S13" s="3" t="str">
        <f>IMSUM(COMPLEX(AB30,AC30),IMPRODUCT(Q12,COMPLEX(AD30,AE30)))</f>
        <v>0.76846804426234-1.00148705350035i</v>
      </c>
      <c r="W13" s="3" t="s">
        <v>804</v>
      </c>
      <c r="Z13" s="1" t="s">
        <v>802</v>
      </c>
      <c r="AI13" s="3">
        <v>200</v>
      </c>
      <c r="AJ13" s="3">
        <f t="shared" si="0"/>
        <v>-4.9426181466432464</v>
      </c>
      <c r="AK13" s="3">
        <f t="shared" si="1"/>
        <v>-5.3939212009710271</v>
      </c>
      <c r="AL13" s="3">
        <f t="shared" si="2"/>
        <v>-6.8747914747832519</v>
      </c>
      <c r="AM13" s="3">
        <f t="shared" si="3"/>
        <v>-2.5022194636081503</v>
      </c>
      <c r="AN13" s="3">
        <f t="shared" si="4"/>
        <v>0</v>
      </c>
      <c r="AO13" s="3">
        <f t="shared" si="5"/>
        <v>0</v>
      </c>
      <c r="AP13" s="3">
        <v>270</v>
      </c>
      <c r="AQ13" s="3">
        <f t="shared" si="6"/>
        <v>-1.83772268236293E-16</v>
      </c>
      <c r="AR13" s="3">
        <f t="shared" si="7"/>
        <v>-1</v>
      </c>
      <c r="AT13" s="3" t="s">
        <v>674</v>
      </c>
      <c r="AU13" s="3">
        <f>IF(AS18="Y",AU1*(COS((120-E16)*PI()/180))*COS((120+90)*PI()/180),0)</f>
        <v>0.43301270189221913</v>
      </c>
      <c r="AV13" s="3">
        <f>IF(AS18="Y",AU1*(COS((120-E16)*PI()/180))*SIN((120+90)*PI()/180),0)</f>
        <v>0.24999999999999994</v>
      </c>
      <c r="AZ13" s="90" t="str">
        <f t="shared" si="8"/>
        <v>8.p-h36p8y3Kuti</v>
      </c>
      <c r="BA13" s="226">
        <v>8</v>
      </c>
      <c r="BB13" s="227" t="s">
        <v>893</v>
      </c>
      <c r="BC13" s="228"/>
      <c r="BD13" s="228"/>
      <c r="BE13" s="229"/>
      <c r="BF13" s="223"/>
      <c r="BG13" s="223"/>
      <c r="BH13" s="223"/>
      <c r="BI13" s="223"/>
      <c r="BJ13" s="223"/>
      <c r="BK13" s="223"/>
      <c r="BL13" s="223"/>
      <c r="BM13" s="223"/>
      <c r="BN13" s="223"/>
      <c r="BO13" s="223"/>
      <c r="BP13" s="223"/>
      <c r="BQ13" s="223"/>
      <c r="BR13" s="223"/>
      <c r="BS13" s="223"/>
      <c r="BT13" s="223"/>
      <c r="BU13" s="223"/>
      <c r="BV13" s="223"/>
      <c r="BW13" s="223"/>
      <c r="BX13" s="223"/>
      <c r="BY13" s="223"/>
      <c r="BZ13" s="223"/>
      <c r="CA13" s="223"/>
      <c r="CB13" s="223"/>
      <c r="CC13" s="223"/>
      <c r="CD13" s="223"/>
      <c r="CE13" s="223"/>
      <c r="CF13" s="223"/>
      <c r="CG13" s="223"/>
      <c r="CH13" s="223"/>
      <c r="CI13" s="223"/>
      <c r="CJ13" s="223"/>
      <c r="CK13" s="223"/>
      <c r="CL13" s="223"/>
      <c r="CM13" s="223"/>
      <c r="CN13" s="223"/>
      <c r="CO13" s="223"/>
      <c r="CP13" s="223"/>
      <c r="CQ13" s="223"/>
      <c r="CR13" s="223"/>
      <c r="CS13" s="223"/>
      <c r="CT13" s="223"/>
      <c r="CU13" s="223"/>
      <c r="CV13" s="223"/>
      <c r="CW13" s="223"/>
      <c r="CX13" s="223"/>
      <c r="CY13" s="223"/>
      <c r="CZ13" s="223"/>
      <c r="DA13" s="223"/>
      <c r="DB13" s="223"/>
      <c r="DC13" s="223"/>
      <c r="DD13" s="223"/>
      <c r="DE13" s="223"/>
      <c r="DF13" s="223"/>
      <c r="DG13" s="223"/>
      <c r="DH13" s="223"/>
      <c r="DI13" s="223"/>
      <c r="DJ13" s="223"/>
      <c r="DK13" s="223"/>
      <c r="DL13" s="223"/>
      <c r="DM13" s="223"/>
      <c r="DN13" s="223"/>
      <c r="DO13" s="223"/>
      <c r="DP13" s="223"/>
      <c r="DQ13" s="223"/>
      <c r="DR13" s="223"/>
      <c r="DS13" s="223"/>
      <c r="DT13" s="223"/>
      <c r="DU13" s="223"/>
      <c r="DV13" s="223"/>
      <c r="DW13" s="223"/>
      <c r="DX13" s="223"/>
      <c r="DY13" s="223"/>
      <c r="DZ13" s="51" t="s">
        <v>582</v>
      </c>
    </row>
    <row r="14" spans="1:130" x14ac:dyDescent="0.2">
      <c r="A14" s="2"/>
      <c r="R14" s="47" t="s">
        <v>797</v>
      </c>
      <c r="S14" s="3" t="str">
        <f>IMSUM(COMPLEX(AD30,AE30),IMPRODUCT(Q12,COMPLEX(AB30,AC30)))</f>
        <v>-2.86796178518015+3.73760056678574i</v>
      </c>
      <c r="V14" s="4"/>
      <c r="W14" s="3" t="s">
        <v>804</v>
      </c>
      <c r="AA14" s="47" t="s">
        <v>801</v>
      </c>
      <c r="AB14" s="3">
        <f>IF(AB15&gt;0,AB15,AB15+360)</f>
        <v>240</v>
      </c>
      <c r="AC14" s="3" t="s">
        <v>195</v>
      </c>
      <c r="AD14" s="230">
        <f>IF(AD15&gt;0,AD15,AD15+360)</f>
        <v>240.00000000000003</v>
      </c>
      <c r="AE14" s="3" t="s">
        <v>695</v>
      </c>
      <c r="AF14" s="3">
        <f>IF(AF15&gt;0,AF15,AF15+360)</f>
        <v>239.99999999999997</v>
      </c>
      <c r="AG14" s="3" t="s">
        <v>696</v>
      </c>
      <c r="AI14" s="3">
        <v>220</v>
      </c>
      <c r="AJ14" s="3">
        <f t="shared" si="0"/>
        <v>-6.4893715020066605</v>
      </c>
      <c r="AK14" s="3">
        <f t="shared" si="1"/>
        <v>-3.3781529827341625</v>
      </c>
      <c r="AL14" s="3">
        <f t="shared" si="2"/>
        <v>-5.6043813587201559</v>
      </c>
      <c r="AM14" s="3">
        <f t="shared" si="3"/>
        <v>-4.7026343310789063</v>
      </c>
      <c r="AN14" s="3">
        <f t="shared" si="4"/>
        <v>0</v>
      </c>
      <c r="AO14" s="3">
        <f t="shared" si="5"/>
        <v>0</v>
      </c>
      <c r="AP14" s="3">
        <v>300</v>
      </c>
      <c r="AQ14" s="3">
        <f t="shared" si="6"/>
        <v>0.50000000000000011</v>
      </c>
      <c r="AR14" s="3">
        <f t="shared" si="7"/>
        <v>-0.8660254037844386</v>
      </c>
      <c r="AU14" s="3">
        <v>0</v>
      </c>
      <c r="AV14" s="3">
        <v>0</v>
      </c>
      <c r="AZ14" s="90" t="str">
        <f t="shared" si="8"/>
        <v>9.h36p16y2Liker</v>
      </c>
      <c r="BA14" s="217">
        <v>9</v>
      </c>
      <c r="BB14" s="218" t="s">
        <v>834</v>
      </c>
      <c r="BC14" s="219">
        <v>18</v>
      </c>
      <c r="BD14" s="219">
        <v>4</v>
      </c>
      <c r="BE14" s="220">
        <v>5</v>
      </c>
      <c r="BF14" s="219" t="s">
        <v>41</v>
      </c>
      <c r="BG14" s="219" t="s">
        <v>41</v>
      </c>
      <c r="BH14" s="219" t="s">
        <v>120</v>
      </c>
      <c r="BI14" s="219" t="s">
        <v>46</v>
      </c>
      <c r="BJ14" s="219" t="s">
        <v>46</v>
      </c>
      <c r="BK14" s="219" t="s">
        <v>116</v>
      </c>
      <c r="BL14" s="219" t="s">
        <v>65</v>
      </c>
      <c r="BM14" s="219" t="s">
        <v>65</v>
      </c>
      <c r="BN14" s="219" t="s">
        <v>117</v>
      </c>
      <c r="BO14" s="219" t="s">
        <v>41</v>
      </c>
      <c r="BP14" s="219" t="s">
        <v>41</v>
      </c>
      <c r="BQ14" s="219" t="s">
        <v>120</v>
      </c>
      <c r="BR14" s="219" t="s">
        <v>46</v>
      </c>
      <c r="BS14" s="219" t="s">
        <v>46</v>
      </c>
      <c r="BT14" s="219" t="s">
        <v>116</v>
      </c>
      <c r="BU14" s="219" t="s">
        <v>65</v>
      </c>
      <c r="BV14" s="219" t="s">
        <v>65</v>
      </c>
      <c r="BW14" s="219" t="s">
        <v>117</v>
      </c>
      <c r="BX14" s="219"/>
      <c r="BY14" s="219"/>
      <c r="BZ14" s="219"/>
      <c r="CA14" s="219"/>
      <c r="CB14" s="219"/>
      <c r="CC14" s="219"/>
      <c r="CD14" s="219"/>
      <c r="CE14" s="219"/>
      <c r="CF14" s="219"/>
      <c r="CG14" s="219"/>
      <c r="CH14" s="219"/>
      <c r="CI14" s="219"/>
      <c r="CJ14" s="219"/>
      <c r="CK14" s="219"/>
      <c r="CL14" s="219"/>
      <c r="CM14" s="219"/>
      <c r="CN14" s="219"/>
      <c r="CO14" s="219"/>
      <c r="CP14" s="219"/>
      <c r="CQ14" s="219"/>
      <c r="CR14" s="219"/>
      <c r="CS14" s="219"/>
      <c r="CT14" s="219"/>
      <c r="CU14" s="219"/>
      <c r="CV14" s="219"/>
      <c r="CW14" s="219"/>
      <c r="CX14" s="219"/>
      <c r="CY14" s="219"/>
      <c r="CZ14" s="219"/>
      <c r="DA14" s="219"/>
      <c r="DB14" s="219"/>
      <c r="DC14" s="219"/>
      <c r="DD14" s="219"/>
      <c r="DE14" s="219"/>
      <c r="DF14" s="219"/>
      <c r="DG14" s="219"/>
      <c r="DH14" s="219"/>
      <c r="DI14" s="219"/>
      <c r="DJ14" s="219"/>
      <c r="DK14" s="219"/>
      <c r="DL14" s="219"/>
      <c r="DM14" s="219"/>
      <c r="DN14" s="219"/>
      <c r="DO14" s="219"/>
      <c r="DP14" s="219"/>
      <c r="DQ14" s="219"/>
      <c r="DR14" s="219"/>
      <c r="DS14" s="219"/>
      <c r="DT14" s="219"/>
      <c r="DU14" s="219"/>
      <c r="DV14" s="219"/>
      <c r="DW14" s="219"/>
      <c r="DX14" s="219"/>
      <c r="DY14" s="219"/>
      <c r="DZ14" s="45" t="s">
        <v>582</v>
      </c>
    </row>
    <row r="15" spans="1:130" x14ac:dyDescent="0.2">
      <c r="A15" s="2"/>
      <c r="B15" s="3" t="s">
        <v>585</v>
      </c>
      <c r="C15" s="3" t="s">
        <v>586</v>
      </c>
      <c r="D15" s="3" t="s">
        <v>587</v>
      </c>
      <c r="F15" s="3" t="s">
        <v>57</v>
      </c>
      <c r="R15" s="47" t="s">
        <v>807</v>
      </c>
      <c r="S15" s="3">
        <f>IF(X24&gt;0,IMARGUMENT(S13),0)</f>
        <v>-0.91629785729702762</v>
      </c>
      <c r="T15" s="3">
        <f>S15*180/PI()</f>
        <v>-52.500000000000263</v>
      </c>
      <c r="U15" s="3">
        <f>$E$16+T15</f>
        <v>-52.500000000000263</v>
      </c>
      <c r="V15" s="4"/>
      <c r="AA15" s="47" t="s">
        <v>685</v>
      </c>
      <c r="AB15" s="3">
        <f>AB16-AF16</f>
        <v>-120</v>
      </c>
      <c r="AC15" s="3" t="s">
        <v>195</v>
      </c>
      <c r="AD15" s="230">
        <f>AD16-AB16</f>
        <v>240.00000000000003</v>
      </c>
      <c r="AE15" s="3" t="s">
        <v>695</v>
      </c>
      <c r="AF15" s="3">
        <f>AF16-AD16</f>
        <v>-120.00000000000003</v>
      </c>
      <c r="AG15" s="3" t="s">
        <v>696</v>
      </c>
      <c r="AI15" s="3">
        <v>240</v>
      </c>
      <c r="AJ15" s="3">
        <f t="shared" si="0"/>
        <v>-7.253410881304803</v>
      </c>
      <c r="AK15" s="3">
        <f t="shared" si="1"/>
        <v>-0.95492965855137024</v>
      </c>
      <c r="AL15" s="3">
        <f t="shared" si="2"/>
        <v>-3.6580001389356189</v>
      </c>
      <c r="AM15" s="3">
        <f t="shared" si="3"/>
        <v>-6.3358420947304968</v>
      </c>
      <c r="AN15" s="3">
        <f t="shared" si="4"/>
        <v>0</v>
      </c>
      <c r="AO15" s="3">
        <f t="shared" si="5"/>
        <v>0</v>
      </c>
      <c r="AP15" s="3">
        <v>330</v>
      </c>
      <c r="AQ15" s="3">
        <f t="shared" si="6"/>
        <v>0.86602540378443837</v>
      </c>
      <c r="AR15" s="3">
        <f t="shared" si="7"/>
        <v>-0.50000000000000044</v>
      </c>
      <c r="AT15" s="3" t="s">
        <v>675</v>
      </c>
      <c r="AU15" s="3">
        <f>IF(AS18="Y",AU1*(COS((240-E16)*PI()/180))*COS((240+90)*PI()/180),0)</f>
        <v>-0.43301270189221958</v>
      </c>
      <c r="AV15" s="3">
        <f>IF(AS18="Y",AU1*(COS((240-E16)*PI()/180))*SIN((240+90)*PI()/180),0)</f>
        <v>0.25000000000000044</v>
      </c>
      <c r="AZ15" s="90" t="str">
        <f t="shared" si="8"/>
        <v>10.k24p6y4r1</v>
      </c>
      <c r="BA15" s="221">
        <v>10</v>
      </c>
      <c r="BB15" s="222" t="s">
        <v>835</v>
      </c>
      <c r="BC15" s="223"/>
      <c r="BD15" s="223"/>
      <c r="BE15" s="224"/>
      <c r="BF15" s="223" t="s">
        <v>41</v>
      </c>
      <c r="BG15" s="223" t="s">
        <v>120</v>
      </c>
      <c r="BH15" s="223" t="s">
        <v>120</v>
      </c>
      <c r="BI15" s="223" t="s">
        <v>46</v>
      </c>
      <c r="BJ15" s="223" t="s">
        <v>116</v>
      </c>
      <c r="BK15" s="223" t="s">
        <v>116</v>
      </c>
      <c r="BL15" s="223" t="s">
        <v>65</v>
      </c>
      <c r="BM15" s="223" t="s">
        <v>117</v>
      </c>
      <c r="BN15" s="223" t="s">
        <v>117</v>
      </c>
      <c r="BO15" s="223" t="s">
        <v>41</v>
      </c>
      <c r="BP15" s="223" t="s">
        <v>120</v>
      </c>
      <c r="BQ15" s="223" t="s">
        <v>120</v>
      </c>
      <c r="BR15" s="223" t="s">
        <v>46</v>
      </c>
      <c r="BS15" s="223" t="s">
        <v>116</v>
      </c>
      <c r="BT15" s="223" t="s">
        <v>116</v>
      </c>
      <c r="BU15" s="223" t="s">
        <v>65</v>
      </c>
      <c r="BV15" s="223" t="s">
        <v>117</v>
      </c>
      <c r="BW15" s="223" t="s">
        <v>117</v>
      </c>
      <c r="BX15" s="223"/>
      <c r="BY15" s="223"/>
      <c r="BZ15" s="223"/>
      <c r="CA15" s="223"/>
      <c r="CB15" s="223"/>
      <c r="CC15" s="223"/>
      <c r="CD15" s="223"/>
      <c r="CE15" s="223"/>
      <c r="CF15" s="223"/>
      <c r="CG15" s="223"/>
      <c r="CH15" s="223"/>
      <c r="CI15" s="223"/>
      <c r="CJ15" s="223"/>
      <c r="CK15" s="223"/>
      <c r="CL15" s="223"/>
      <c r="CM15" s="223"/>
      <c r="CN15" s="223"/>
      <c r="CO15" s="223"/>
      <c r="CP15" s="223"/>
      <c r="CQ15" s="223"/>
      <c r="CR15" s="223"/>
      <c r="CS15" s="223"/>
      <c r="CT15" s="223"/>
      <c r="CU15" s="223"/>
      <c r="CV15" s="223"/>
      <c r="CW15" s="223"/>
      <c r="CX15" s="223"/>
      <c r="CY15" s="223"/>
      <c r="CZ15" s="223"/>
      <c r="DA15" s="223"/>
      <c r="DB15" s="223"/>
      <c r="DC15" s="223"/>
      <c r="DD15" s="223"/>
      <c r="DE15" s="223"/>
      <c r="DF15" s="223"/>
      <c r="DG15" s="223"/>
      <c r="DH15" s="223"/>
      <c r="DI15" s="223"/>
      <c r="DJ15" s="223"/>
      <c r="DK15" s="223"/>
      <c r="DL15" s="223"/>
      <c r="DM15" s="223"/>
      <c r="DN15" s="223"/>
      <c r="DO15" s="223"/>
      <c r="DP15" s="223"/>
      <c r="DQ15" s="223"/>
      <c r="DR15" s="223"/>
      <c r="DS15" s="223"/>
      <c r="DT15" s="223"/>
      <c r="DU15" s="223"/>
      <c r="DV15" s="223"/>
      <c r="DW15" s="223"/>
      <c r="DX15" s="223"/>
      <c r="DY15" s="223"/>
      <c r="DZ15" s="48" t="s">
        <v>582</v>
      </c>
    </row>
    <row r="16" spans="1:130" x14ac:dyDescent="0.2">
      <c r="A16" s="2"/>
      <c r="B16" s="43" t="s">
        <v>41</v>
      </c>
      <c r="C16" s="231">
        <f>COS((AM29+$E$16)*PI()/180)</f>
        <v>1</v>
      </c>
      <c r="D16" s="232" t="s">
        <v>116</v>
      </c>
      <c r="E16" s="85">
        <v>0</v>
      </c>
      <c r="R16" s="47" t="s">
        <v>808</v>
      </c>
      <c r="S16" s="3">
        <f>IF(X25&gt;0,IMARGUMENT(S14),0)</f>
        <v>2.2252947962927689</v>
      </c>
      <c r="T16" s="3">
        <f>S16*180/PI()</f>
        <v>127.49999999999993</v>
      </c>
      <c r="U16" s="3">
        <f>$E$16+T16</f>
        <v>127.49999999999993</v>
      </c>
      <c r="V16" s="4"/>
      <c r="AA16" s="47" t="s">
        <v>764</v>
      </c>
      <c r="AB16" s="3">
        <f>IF(AB17&gt;0,AB17,AB17+360)</f>
        <v>67.500000000000028</v>
      </c>
      <c r="AC16" s="3" t="s">
        <v>692</v>
      </c>
      <c r="AD16" s="3">
        <f>IF(AD17&gt;0,AD17,AD17+360)</f>
        <v>307.50000000000006</v>
      </c>
      <c r="AE16" s="3" t="s">
        <v>693</v>
      </c>
      <c r="AF16" s="3">
        <f>IF(AF17&gt;0,AF17,AF17+360)</f>
        <v>187.50000000000003</v>
      </c>
      <c r="AG16" s="3" t="s">
        <v>694</v>
      </c>
      <c r="AI16" s="3">
        <v>260</v>
      </c>
      <c r="AJ16" s="3">
        <f t="shared" si="0"/>
        <v>-7.1425818593740109</v>
      </c>
      <c r="AK16" s="3">
        <f t="shared" si="1"/>
        <v>1.5834722757135034</v>
      </c>
      <c r="AL16" s="3">
        <f t="shared" si="2"/>
        <v>-1.2704101160630954</v>
      </c>
      <c r="AM16" s="3">
        <f t="shared" si="3"/>
        <v>-7.2048537946870574</v>
      </c>
      <c r="AN16" s="3">
        <f t="shared" si="4"/>
        <v>0</v>
      </c>
      <c r="AO16" s="3">
        <f t="shared" si="5"/>
        <v>0</v>
      </c>
      <c r="AP16" s="3">
        <v>360</v>
      </c>
      <c r="AQ16" s="3">
        <f t="shared" si="6"/>
        <v>1</v>
      </c>
      <c r="AR16" s="3">
        <f t="shared" si="7"/>
        <v>-2.45029690981724E-16</v>
      </c>
      <c r="AU16" s="3">
        <f>AU11</f>
        <v>6.1257422745431001E-17</v>
      </c>
      <c r="AV16" s="3">
        <f>AV11</f>
        <v>1</v>
      </c>
      <c r="AZ16" s="90" t="str">
        <f t="shared" si="8"/>
        <v>11.P-h36p8y4Varga</v>
      </c>
      <c r="BA16" s="221">
        <v>11</v>
      </c>
      <c r="BB16" s="222"/>
      <c r="BC16" s="223"/>
      <c r="BD16" s="223"/>
      <c r="BE16" s="224"/>
      <c r="BF16" s="223"/>
      <c r="BG16" s="223"/>
      <c r="BH16" s="223"/>
      <c r="BI16" s="223"/>
      <c r="BJ16" s="223"/>
      <c r="BK16" s="223"/>
      <c r="BL16" s="223"/>
      <c r="BM16" s="223"/>
      <c r="BN16" s="223"/>
      <c r="BO16" s="223"/>
      <c r="BP16" s="223"/>
      <c r="BQ16" s="223"/>
      <c r="BR16" s="223"/>
      <c r="BS16" s="223"/>
      <c r="BT16" s="223"/>
      <c r="BU16" s="223"/>
      <c r="BV16" s="223"/>
      <c r="BW16" s="223"/>
      <c r="BX16" s="223"/>
      <c r="BY16" s="223"/>
      <c r="BZ16" s="223"/>
      <c r="CA16" s="223"/>
      <c r="CB16" s="223"/>
      <c r="CC16" s="223"/>
      <c r="CD16" s="223"/>
      <c r="CE16" s="223"/>
      <c r="CF16" s="223"/>
      <c r="CG16" s="223"/>
      <c r="CH16" s="223"/>
      <c r="CI16" s="223"/>
      <c r="CJ16" s="223"/>
      <c r="CK16" s="223"/>
      <c r="CL16" s="223"/>
      <c r="CM16" s="223"/>
      <c r="CN16" s="223"/>
      <c r="CO16" s="223"/>
      <c r="CP16" s="223"/>
      <c r="CQ16" s="223"/>
      <c r="CR16" s="223"/>
      <c r="CS16" s="223"/>
      <c r="CT16" s="223"/>
      <c r="CU16" s="223"/>
      <c r="CV16" s="223"/>
      <c r="CW16" s="223"/>
      <c r="CX16" s="223"/>
      <c r="CY16" s="223"/>
      <c r="CZ16" s="223"/>
      <c r="DA16" s="223"/>
      <c r="DB16" s="223"/>
      <c r="DC16" s="223"/>
      <c r="DD16" s="223"/>
      <c r="DE16" s="223"/>
      <c r="DF16" s="223"/>
      <c r="DG16" s="223"/>
      <c r="DH16" s="223"/>
      <c r="DI16" s="223"/>
      <c r="DJ16" s="223"/>
      <c r="DK16" s="223"/>
      <c r="DL16" s="223"/>
      <c r="DM16" s="223"/>
      <c r="DN16" s="223"/>
      <c r="DO16" s="223"/>
      <c r="DP16" s="223"/>
      <c r="DQ16" s="223"/>
      <c r="DR16" s="223"/>
      <c r="DS16" s="223"/>
      <c r="DT16" s="223"/>
      <c r="DU16" s="223"/>
      <c r="DV16" s="223"/>
      <c r="DW16" s="223"/>
      <c r="DX16" s="223"/>
      <c r="DY16" s="223"/>
      <c r="DZ16" s="48" t="s">
        <v>582</v>
      </c>
    </row>
    <row r="17" spans="1:130" ht="15" x14ac:dyDescent="0.25">
      <c r="A17" s="2"/>
      <c r="B17" s="46" t="s">
        <v>46</v>
      </c>
      <c r="C17" s="3">
        <f>COS((AO29+$E$16)*PI()/180)</f>
        <v>-0.49999999999999961</v>
      </c>
      <c r="D17" s="233" t="s">
        <v>117</v>
      </c>
      <c r="E17" s="85">
        <v>6</v>
      </c>
      <c r="F17" s="3" t="s">
        <v>237</v>
      </c>
      <c r="G17" s="4"/>
      <c r="P17" s="1" t="s">
        <v>795</v>
      </c>
      <c r="V17" s="4"/>
      <c r="AA17" s="47" t="s">
        <v>605</v>
      </c>
      <c r="AB17" s="3">
        <f>AB18*180/PI()</f>
        <v>67.500000000000028</v>
      </c>
      <c r="AC17" s="3" t="s">
        <v>692</v>
      </c>
      <c r="AD17" s="3">
        <f>AD18*180/PI()</f>
        <v>-52.499999999999929</v>
      </c>
      <c r="AE17" s="3" t="s">
        <v>693</v>
      </c>
      <c r="AF17" s="3">
        <f>AF18*180/PI()</f>
        <v>-172.49999999999997</v>
      </c>
      <c r="AG17" s="3" t="s">
        <v>694</v>
      </c>
      <c r="AI17" s="3">
        <v>280</v>
      </c>
      <c r="AJ17" s="3">
        <f t="shared" si="0"/>
        <v>-6.170252051921298</v>
      </c>
      <c r="AK17" s="3">
        <f t="shared" si="1"/>
        <v>3.9308840839654664</v>
      </c>
      <c r="AL17" s="3">
        <f t="shared" si="2"/>
        <v>1.2704101160630927</v>
      </c>
      <c r="AM17" s="3">
        <f t="shared" si="3"/>
        <v>-7.2048537946870583</v>
      </c>
      <c r="AN17" s="3">
        <f t="shared" si="4"/>
        <v>0</v>
      </c>
      <c r="AO17" s="3">
        <f t="shared" si="5"/>
        <v>0</v>
      </c>
      <c r="AT17" s="234" t="s">
        <v>676</v>
      </c>
      <c r="AU17" s="3">
        <f>AR20</f>
        <v>6.1257422745431001E-17</v>
      </c>
      <c r="AV17" s="3">
        <f>AS20</f>
        <v>1</v>
      </c>
      <c r="AZ17" s="90" t="str">
        <f t="shared" si="8"/>
        <v>12.p-h36p6y4Varga</v>
      </c>
      <c r="BA17" s="226">
        <v>12</v>
      </c>
      <c r="BB17" s="227"/>
      <c r="BC17" s="228"/>
      <c r="BD17" s="228"/>
      <c r="BE17" s="229"/>
      <c r="BF17" s="223"/>
      <c r="BG17" s="223"/>
      <c r="BH17" s="223"/>
      <c r="BI17" s="223"/>
      <c r="BJ17" s="223"/>
      <c r="BK17" s="223"/>
      <c r="BL17" s="223"/>
      <c r="BM17" s="223"/>
      <c r="BN17" s="223"/>
      <c r="BO17" s="223"/>
      <c r="BP17" s="223"/>
      <c r="BQ17" s="223"/>
      <c r="BR17" s="223"/>
      <c r="BS17" s="223"/>
      <c r="BT17" s="223"/>
      <c r="BU17" s="223"/>
      <c r="BV17" s="223"/>
      <c r="BW17" s="223"/>
      <c r="BX17" s="223"/>
      <c r="BY17" s="223"/>
      <c r="BZ17" s="223"/>
      <c r="CA17" s="223"/>
      <c r="CB17" s="223"/>
      <c r="CC17" s="223"/>
      <c r="CD17" s="223"/>
      <c r="CE17" s="223"/>
      <c r="CF17" s="223"/>
      <c r="CG17" s="223"/>
      <c r="CH17" s="223"/>
      <c r="CI17" s="223"/>
      <c r="CJ17" s="223"/>
      <c r="CK17" s="223"/>
      <c r="CL17" s="223"/>
      <c r="CM17" s="223"/>
      <c r="CN17" s="223"/>
      <c r="CO17" s="223"/>
      <c r="CP17" s="223"/>
      <c r="CQ17" s="223"/>
      <c r="CR17" s="223"/>
      <c r="CS17" s="223"/>
      <c r="CT17" s="223"/>
      <c r="CU17" s="223"/>
      <c r="CV17" s="223"/>
      <c r="CW17" s="223"/>
      <c r="CX17" s="223"/>
      <c r="CY17" s="223"/>
      <c r="CZ17" s="223"/>
      <c r="DA17" s="223"/>
      <c r="DB17" s="223"/>
      <c r="DC17" s="223"/>
      <c r="DD17" s="223"/>
      <c r="DE17" s="223"/>
      <c r="DF17" s="223"/>
      <c r="DG17" s="223"/>
      <c r="DH17" s="223"/>
      <c r="DI17" s="223"/>
      <c r="DJ17" s="223"/>
      <c r="DK17" s="223"/>
      <c r="DL17" s="223"/>
      <c r="DM17" s="223"/>
      <c r="DN17" s="223"/>
      <c r="DO17" s="223"/>
      <c r="DP17" s="223"/>
      <c r="DQ17" s="223"/>
      <c r="DR17" s="223"/>
      <c r="DS17" s="223"/>
      <c r="DT17" s="223"/>
      <c r="DU17" s="223"/>
      <c r="DV17" s="223"/>
      <c r="DW17" s="223"/>
      <c r="DX17" s="223"/>
      <c r="DY17" s="223"/>
      <c r="DZ17" s="51" t="s">
        <v>582</v>
      </c>
    </row>
    <row r="18" spans="1:130" x14ac:dyDescent="0.2">
      <c r="A18" s="2"/>
      <c r="B18" s="46" t="s">
        <v>65</v>
      </c>
      <c r="C18" s="3">
        <f>COS((AQ29+$E$16)*PI()/180)</f>
        <v>-0.49999999999999978</v>
      </c>
      <c r="D18" s="233" t="s">
        <v>120</v>
      </c>
      <c r="E18" s="85">
        <v>1</v>
      </c>
      <c r="F18" s="2" t="s">
        <v>236</v>
      </c>
      <c r="G18" s="41" t="s">
        <v>588</v>
      </c>
      <c r="H18" s="41" t="s">
        <v>169</v>
      </c>
      <c r="P18" s="47" t="s">
        <v>765</v>
      </c>
      <c r="Q18" s="3" t="str">
        <f>COMPLEX(COS(PI()*2/3),SIN(PI()*2/3))</f>
        <v>-0.5+0.866025403784439i</v>
      </c>
      <c r="AA18" s="47" t="s">
        <v>589</v>
      </c>
      <c r="AB18" s="65">
        <f>ATAN2(AC31,AB31)</f>
        <v>1.1780972450961729</v>
      </c>
      <c r="AD18" s="65">
        <f>ATAN2(AE31,AD31)</f>
        <v>-0.91629785729702184</v>
      </c>
      <c r="AF18" s="65">
        <f>ATAN2(AG31,AF31)</f>
        <v>-3.0106929596902177</v>
      </c>
      <c r="AI18" s="3">
        <v>300</v>
      </c>
      <c r="AJ18" s="3">
        <f t="shared" si="0"/>
        <v>-4.4536987837850939</v>
      </c>
      <c r="AK18" s="3">
        <f t="shared" si="1"/>
        <v>5.8041732580207483</v>
      </c>
      <c r="AL18" s="3">
        <f t="shared" si="2"/>
        <v>3.6580001389356167</v>
      </c>
      <c r="AM18" s="3">
        <f t="shared" si="3"/>
        <v>-6.3358420947304985</v>
      </c>
      <c r="AN18" s="3">
        <f t="shared" si="4"/>
        <v>0</v>
      </c>
      <c r="AO18" s="3">
        <f t="shared" si="5"/>
        <v>0</v>
      </c>
      <c r="AR18" s="47" t="s">
        <v>680</v>
      </c>
      <c r="AS18" s="3" t="str">
        <f>IF(OR(AND(C23=120,C24=120,C25=120),AND(C23=240,C24=240,C25=240)),"Y","N")</f>
        <v>Y</v>
      </c>
      <c r="AT18" s="235"/>
      <c r="AU18" s="3">
        <f>AU13</f>
        <v>0.43301270189221913</v>
      </c>
      <c r="AV18" s="3">
        <f>AV13</f>
        <v>0.24999999999999994</v>
      </c>
      <c r="AZ18" s="90" t="str">
        <f t="shared" si="8"/>
        <v>13.h16p2y8r1Czebe</v>
      </c>
      <c r="BA18" s="217">
        <v>13</v>
      </c>
      <c r="BB18" s="218" t="s">
        <v>836</v>
      </c>
      <c r="BC18" s="219">
        <v>18</v>
      </c>
      <c r="BD18" s="219">
        <v>4</v>
      </c>
      <c r="BE18" s="220">
        <v>5</v>
      </c>
      <c r="BF18" s="219" t="s">
        <v>41</v>
      </c>
      <c r="BG18" s="219" t="s">
        <v>41</v>
      </c>
      <c r="BH18" s="219" t="s">
        <v>41</v>
      </c>
      <c r="BI18" s="219" t="s">
        <v>46</v>
      </c>
      <c r="BJ18" s="219" t="s">
        <v>46</v>
      </c>
      <c r="BK18" s="219" t="s">
        <v>116</v>
      </c>
      <c r="BL18" s="219" t="s">
        <v>116</v>
      </c>
      <c r="BM18" s="219" t="s">
        <v>116</v>
      </c>
      <c r="BN18" s="219" t="s">
        <v>117</v>
      </c>
      <c r="BO18" s="219" t="s">
        <v>41</v>
      </c>
      <c r="BP18" s="219" t="s">
        <v>41</v>
      </c>
      <c r="BQ18" s="219" t="s">
        <v>41</v>
      </c>
      <c r="BR18" s="219" t="s">
        <v>46</v>
      </c>
      <c r="BS18" s="219" t="s">
        <v>46</v>
      </c>
      <c r="BT18" s="219" t="s">
        <v>116</v>
      </c>
      <c r="BU18" s="219" t="s">
        <v>116</v>
      </c>
      <c r="BV18" s="219" t="s">
        <v>116</v>
      </c>
      <c r="BW18" s="219" t="s">
        <v>117</v>
      </c>
      <c r="BX18" s="219"/>
      <c r="BY18" s="219"/>
      <c r="BZ18" s="219"/>
      <c r="CA18" s="219"/>
      <c r="CB18" s="219"/>
      <c r="CC18" s="219"/>
      <c r="CD18" s="219"/>
      <c r="CE18" s="219"/>
      <c r="CF18" s="219"/>
      <c r="CG18" s="219"/>
      <c r="CH18" s="219"/>
      <c r="CI18" s="219"/>
      <c r="CJ18" s="219"/>
      <c r="CK18" s="219"/>
      <c r="CL18" s="219"/>
      <c r="CM18" s="219"/>
      <c r="CN18" s="219"/>
      <c r="CO18" s="219"/>
      <c r="CP18" s="219"/>
      <c r="CQ18" s="219"/>
      <c r="CR18" s="219"/>
      <c r="CS18" s="219"/>
      <c r="CT18" s="219"/>
      <c r="CU18" s="219"/>
      <c r="CV18" s="219"/>
      <c r="CW18" s="219"/>
      <c r="CX18" s="219"/>
      <c r="CY18" s="219"/>
      <c r="CZ18" s="219"/>
      <c r="DA18" s="219"/>
      <c r="DB18" s="219"/>
      <c r="DC18" s="219"/>
      <c r="DD18" s="219"/>
      <c r="DE18" s="219"/>
      <c r="DF18" s="219"/>
      <c r="DG18" s="219"/>
      <c r="DH18" s="219"/>
      <c r="DI18" s="219"/>
      <c r="DJ18" s="219"/>
      <c r="DK18" s="219"/>
      <c r="DL18" s="219"/>
      <c r="DM18" s="219"/>
      <c r="DN18" s="219"/>
      <c r="DO18" s="219"/>
      <c r="DP18" s="219"/>
      <c r="DQ18" s="219"/>
      <c r="DR18" s="219"/>
      <c r="DS18" s="219"/>
      <c r="DT18" s="219"/>
      <c r="DU18" s="219"/>
      <c r="DV18" s="219"/>
      <c r="DW18" s="219"/>
      <c r="DX18" s="219"/>
      <c r="DY18" s="219"/>
      <c r="DZ18" s="45" t="s">
        <v>582</v>
      </c>
    </row>
    <row r="19" spans="1:130" ht="15" x14ac:dyDescent="0.25">
      <c r="A19" s="2"/>
      <c r="B19" s="46" t="s">
        <v>116</v>
      </c>
      <c r="C19" s="3">
        <f>-C16</f>
        <v>-1</v>
      </c>
      <c r="D19" s="233" t="s">
        <v>41</v>
      </c>
      <c r="F19" s="4" t="s">
        <v>85</v>
      </c>
      <c r="G19" s="4">
        <f>J30</f>
        <v>4</v>
      </c>
      <c r="H19" s="4">
        <f>J31</f>
        <v>4</v>
      </c>
      <c r="P19" s="47" t="s">
        <v>26</v>
      </c>
      <c r="Q19" s="3" t="str">
        <f>COMPLEX(COS(PI()*4/3),SIN(PI()*4/3))</f>
        <v>-0.5-0.866025403784438i</v>
      </c>
      <c r="AA19" s="236" t="s">
        <v>710</v>
      </c>
      <c r="AB19" s="62">
        <v>0</v>
      </c>
      <c r="AC19" s="62"/>
      <c r="AD19" s="62">
        <f>AD16-AB16</f>
        <v>240.00000000000003</v>
      </c>
      <c r="AE19" s="62"/>
      <c r="AF19" s="62">
        <f>AF16-AB16</f>
        <v>120</v>
      </c>
      <c r="AG19" s="62" t="s">
        <v>781</v>
      </c>
      <c r="AI19" s="3">
        <v>320</v>
      </c>
      <c r="AJ19" s="3">
        <f t="shared" si="0"/>
        <v>-2.1999637127307619</v>
      </c>
      <c r="AK19" s="3">
        <f t="shared" si="1"/>
        <v>6.9773934766845302</v>
      </c>
      <c r="AL19" s="3">
        <f t="shared" si="2"/>
        <v>5.6043813587201541</v>
      </c>
      <c r="AM19" s="3">
        <f t="shared" si="3"/>
        <v>-4.702634331078908</v>
      </c>
      <c r="AN19" s="3">
        <f t="shared" si="4"/>
        <v>0</v>
      </c>
      <c r="AO19" s="3">
        <f t="shared" si="5"/>
        <v>0</v>
      </c>
      <c r="AR19" s="3" t="s">
        <v>682</v>
      </c>
      <c r="AT19" s="234" t="s">
        <v>677</v>
      </c>
      <c r="AU19" s="3">
        <f>AR20</f>
        <v>6.1257422745431001E-17</v>
      </c>
      <c r="AV19" s="3">
        <f>AS20</f>
        <v>1</v>
      </c>
      <c r="AZ19" s="90" t="str">
        <f t="shared" si="8"/>
        <v>14.P-h36p8y6Varga</v>
      </c>
      <c r="BA19" s="221">
        <v>14</v>
      </c>
      <c r="BB19" s="222" t="s">
        <v>837</v>
      </c>
      <c r="BC19" s="223"/>
      <c r="BD19" s="223"/>
      <c r="BE19" s="224"/>
      <c r="BF19" s="223" t="s">
        <v>41</v>
      </c>
      <c r="BG19" s="223" t="s">
        <v>41</v>
      </c>
      <c r="BH19" s="223" t="s">
        <v>41</v>
      </c>
      <c r="BI19" s="223" t="s">
        <v>46</v>
      </c>
      <c r="BJ19" s="223" t="s">
        <v>116</v>
      </c>
      <c r="BK19" s="223" t="s">
        <v>116</v>
      </c>
      <c r="BL19" s="223" t="s">
        <v>116</v>
      </c>
      <c r="BM19" s="223" t="s">
        <v>117</v>
      </c>
      <c r="BN19" s="223" t="s">
        <v>117</v>
      </c>
      <c r="BO19" s="223" t="s">
        <v>41</v>
      </c>
      <c r="BP19" s="223" t="s">
        <v>41</v>
      </c>
      <c r="BQ19" s="223" t="s">
        <v>41</v>
      </c>
      <c r="BR19" s="223" t="s">
        <v>46</v>
      </c>
      <c r="BS19" s="223" t="s">
        <v>116</v>
      </c>
      <c r="BT19" s="223" t="s">
        <v>116</v>
      </c>
      <c r="BU19" s="223" t="s">
        <v>116</v>
      </c>
      <c r="BV19" s="223" t="s">
        <v>117</v>
      </c>
      <c r="BW19" s="223" t="s">
        <v>117</v>
      </c>
      <c r="BX19" s="223"/>
      <c r="BY19" s="223"/>
      <c r="BZ19" s="223"/>
      <c r="CA19" s="223"/>
      <c r="CB19" s="223"/>
      <c r="CC19" s="223"/>
      <c r="CD19" s="223"/>
      <c r="CE19" s="223"/>
      <c r="CF19" s="223"/>
      <c r="CG19" s="223"/>
      <c r="CH19" s="223"/>
      <c r="CI19" s="223"/>
      <c r="CJ19" s="223"/>
      <c r="CK19" s="223"/>
      <c r="CL19" s="223"/>
      <c r="CM19" s="223"/>
      <c r="CN19" s="223"/>
      <c r="CO19" s="223"/>
      <c r="CP19" s="223"/>
      <c r="CQ19" s="223"/>
      <c r="CR19" s="223"/>
      <c r="CS19" s="223"/>
      <c r="CT19" s="223"/>
      <c r="CU19" s="223"/>
      <c r="CV19" s="223"/>
      <c r="CW19" s="223"/>
      <c r="CX19" s="223"/>
      <c r="CY19" s="223"/>
      <c r="CZ19" s="223"/>
      <c r="DA19" s="223"/>
      <c r="DB19" s="223"/>
      <c r="DC19" s="223"/>
      <c r="DD19" s="223"/>
      <c r="DE19" s="223"/>
      <c r="DF19" s="223"/>
      <c r="DG19" s="223"/>
      <c r="DH19" s="223"/>
      <c r="DI19" s="223"/>
      <c r="DJ19" s="223"/>
      <c r="DK19" s="223"/>
      <c r="DL19" s="223"/>
      <c r="DM19" s="223"/>
      <c r="DN19" s="223"/>
      <c r="DO19" s="223"/>
      <c r="DP19" s="223"/>
      <c r="DQ19" s="223"/>
      <c r="DR19" s="223"/>
      <c r="DS19" s="223"/>
      <c r="DT19" s="223"/>
      <c r="DU19" s="223"/>
      <c r="DV19" s="223"/>
      <c r="DW19" s="223"/>
      <c r="DX19" s="223"/>
      <c r="DY19" s="223"/>
      <c r="DZ19" s="48" t="s">
        <v>582</v>
      </c>
    </row>
    <row r="20" spans="1:130" ht="15.75" x14ac:dyDescent="0.3">
      <c r="A20" s="2"/>
      <c r="B20" s="46" t="s">
        <v>117</v>
      </c>
      <c r="C20" s="3">
        <f>-C17</f>
        <v>0.49999999999999961</v>
      </c>
      <c r="D20" s="233" t="s">
        <v>46</v>
      </c>
      <c r="F20" s="237" t="s">
        <v>27</v>
      </c>
      <c r="G20" s="3">
        <f>AH26</f>
        <v>0.9576621969425485</v>
      </c>
      <c r="H20" s="3">
        <f>AM25</f>
        <v>0.9576621969425485</v>
      </c>
      <c r="R20" s="47" t="s">
        <v>28</v>
      </c>
      <c r="S20" s="3" t="str">
        <f>IMSUM(COMPLEX(AB30,AC30),IMPRODUCT(Q18,COMPLEX(AD30,AE30)),IMPRODUCT(Q19,COMPLEX(AF30,AG30)))</f>
        <v>-4.21884749357559E-15+3.99680288865056E-15i</v>
      </c>
      <c r="W20" s="3" t="s">
        <v>804</v>
      </c>
      <c r="AA20" s="47"/>
      <c r="AB20" s="1" t="s">
        <v>590</v>
      </c>
      <c r="AI20" s="3">
        <v>340</v>
      </c>
      <c r="AJ20" s="3">
        <f t="shared" si="0"/>
        <v>0.31911945008536263</v>
      </c>
      <c r="AK20" s="3">
        <f t="shared" si="1"/>
        <v>7.3090370666996289</v>
      </c>
      <c r="AL20" s="3">
        <f t="shared" si="2"/>
        <v>6.8747914747832519</v>
      </c>
      <c r="AM20" s="3">
        <f t="shared" si="3"/>
        <v>-2.5022194636081498</v>
      </c>
      <c r="AN20" s="3">
        <f t="shared" si="4"/>
        <v>0</v>
      </c>
      <c r="AO20" s="3">
        <f t="shared" si="5"/>
        <v>0</v>
      </c>
      <c r="AR20" s="47">
        <f>IF(AS18="Y",AU1*COS((0+(E16+90))*PI()/180),0)</f>
        <v>6.1257422745431001E-17</v>
      </c>
      <c r="AS20" s="3">
        <f>IF(AS18="Y",AU1*SIN((0+(E16+90))*PI()/180),0)</f>
        <v>1</v>
      </c>
      <c r="AT20" s="238"/>
      <c r="AU20" s="3">
        <f>AU15</f>
        <v>-0.43301270189221958</v>
      </c>
      <c r="AV20" s="3">
        <f>AV15</f>
        <v>0.25000000000000044</v>
      </c>
      <c r="AZ20" s="90" t="str">
        <f t="shared" si="8"/>
        <v>15.p-h36p6y6Varga</v>
      </c>
      <c r="BA20" s="221">
        <v>15</v>
      </c>
      <c r="BB20" s="222"/>
      <c r="BC20" s="223"/>
      <c r="BD20" s="223"/>
      <c r="BE20" s="224"/>
      <c r="BF20" s="223"/>
      <c r="BG20" s="223"/>
      <c r="BH20" s="223"/>
      <c r="BI20" s="223"/>
      <c r="BJ20" s="223"/>
      <c r="BK20" s="223"/>
      <c r="BL20" s="223"/>
      <c r="BM20" s="223"/>
      <c r="BN20" s="223"/>
      <c r="BO20" s="223"/>
      <c r="BP20" s="223"/>
      <c r="BQ20" s="223"/>
      <c r="BR20" s="223"/>
      <c r="BS20" s="223"/>
      <c r="BT20" s="223"/>
      <c r="BU20" s="223"/>
      <c r="BV20" s="223"/>
      <c r="BW20" s="223"/>
      <c r="BX20" s="223"/>
      <c r="BY20" s="223"/>
      <c r="BZ20" s="223"/>
      <c r="CA20" s="223"/>
      <c r="CB20" s="223"/>
      <c r="CC20" s="223"/>
      <c r="CD20" s="223"/>
      <c r="CE20" s="223"/>
      <c r="CF20" s="223"/>
      <c r="CG20" s="223"/>
      <c r="CH20" s="223"/>
      <c r="CI20" s="223"/>
      <c r="CJ20" s="223"/>
      <c r="CK20" s="223"/>
      <c r="CL20" s="223"/>
      <c r="CM20" s="223"/>
      <c r="CN20" s="223"/>
      <c r="CO20" s="223"/>
      <c r="CP20" s="223"/>
      <c r="CQ20" s="223"/>
      <c r="CR20" s="223"/>
      <c r="CS20" s="223"/>
      <c r="CT20" s="223"/>
      <c r="CU20" s="223"/>
      <c r="CV20" s="223"/>
      <c r="CW20" s="223"/>
      <c r="CX20" s="223"/>
      <c r="CY20" s="223"/>
      <c r="CZ20" s="223"/>
      <c r="DA20" s="223"/>
      <c r="DB20" s="223"/>
      <c r="DC20" s="223"/>
      <c r="DD20" s="223"/>
      <c r="DE20" s="223"/>
      <c r="DF20" s="223"/>
      <c r="DG20" s="223"/>
      <c r="DH20" s="223"/>
      <c r="DI20" s="223"/>
      <c r="DJ20" s="223"/>
      <c r="DK20" s="223"/>
      <c r="DL20" s="223"/>
      <c r="DM20" s="223"/>
      <c r="DN20" s="223"/>
      <c r="DO20" s="223"/>
      <c r="DP20" s="223"/>
      <c r="DQ20" s="223"/>
      <c r="DR20" s="223"/>
      <c r="DS20" s="223"/>
      <c r="DT20" s="223"/>
      <c r="DU20" s="223"/>
      <c r="DV20" s="223"/>
      <c r="DW20" s="223"/>
      <c r="DX20" s="223"/>
      <c r="DY20" s="223"/>
      <c r="DZ20" s="48" t="s">
        <v>582</v>
      </c>
    </row>
    <row r="21" spans="1:130" ht="15.75" x14ac:dyDescent="0.3">
      <c r="A21" s="2"/>
      <c r="B21" s="49" t="s">
        <v>120</v>
      </c>
      <c r="C21" s="239">
        <f>-C18</f>
        <v>0.49999999999999978</v>
      </c>
      <c r="D21" s="240" t="s">
        <v>65</v>
      </c>
      <c r="F21" s="237" t="s">
        <v>29</v>
      </c>
      <c r="G21" s="3">
        <f>AI26</f>
        <v>0.95766219694254862</v>
      </c>
      <c r="H21" s="3">
        <f>AO25</f>
        <v>0.95766219694254862</v>
      </c>
      <c r="P21" s="47"/>
      <c r="R21" s="47" t="s">
        <v>30</v>
      </c>
      <c r="S21" s="3" t="str">
        <f>IMSUM(COMPLEX(AB30,AC30),IMPRODUCT(Q19,COMPLEX(AD30,AE30)),IMPRODUCT(Q18,COMPLEX(AF30,AG30)))</f>
        <v>6.75910291657212+2.79971209751971i</v>
      </c>
      <c r="W21" s="3" t="s">
        <v>465</v>
      </c>
      <c r="X21" s="47"/>
      <c r="Y21" s="3">
        <v>7.3160002778712379</v>
      </c>
      <c r="AA21" s="47" t="s">
        <v>591</v>
      </c>
      <c r="AB21" s="3">
        <f>AB18+$P$31*AR4*PI()/180</f>
        <v>0.78539816339744917</v>
      </c>
      <c r="AD21" s="3">
        <f>AD18+$P$31*AR4*PI()/180</f>
        <v>-1.3089969389957457</v>
      </c>
      <c r="AF21" s="3">
        <f>AF18+$P$31*AR4*PI()/180</f>
        <v>-3.4033920413889414</v>
      </c>
      <c r="AI21" s="3">
        <v>360</v>
      </c>
      <c r="AJ21" s="3">
        <f t="shared" si="0"/>
        <v>2.7997120975197065</v>
      </c>
      <c r="AK21" s="3">
        <f t="shared" si="1"/>
        <v>6.7591029165721146</v>
      </c>
      <c r="AL21" s="3">
        <f t="shared" si="2"/>
        <v>7.3160002778712316</v>
      </c>
      <c r="AM21" s="3">
        <f t="shared" si="3"/>
        <v>-1.7926372873089947E-15</v>
      </c>
      <c r="AN21" s="3">
        <f t="shared" si="4"/>
        <v>0</v>
      </c>
      <c r="AO21" s="3">
        <f t="shared" si="5"/>
        <v>0</v>
      </c>
      <c r="AT21" s="234" t="s">
        <v>678</v>
      </c>
      <c r="AU21" s="3">
        <f>AR20</f>
        <v>6.1257422745431001E-17</v>
      </c>
      <c r="AV21" s="3">
        <f>AS20</f>
        <v>1</v>
      </c>
      <c r="AZ21" s="90" t="str">
        <f t="shared" si="8"/>
        <v>16.h30p2y13</v>
      </c>
      <c r="BA21" s="226">
        <v>16</v>
      </c>
      <c r="BB21" s="227"/>
      <c r="BC21" s="228"/>
      <c r="BD21" s="228"/>
      <c r="BE21" s="229"/>
      <c r="BF21" s="223"/>
      <c r="BG21" s="223"/>
      <c r="BH21" s="223"/>
      <c r="BI21" s="223"/>
      <c r="BJ21" s="223"/>
      <c r="BK21" s="223"/>
      <c r="BL21" s="223"/>
      <c r="BM21" s="223"/>
      <c r="BN21" s="223"/>
      <c r="BO21" s="223"/>
      <c r="BP21" s="223"/>
      <c r="BQ21" s="223"/>
      <c r="BR21" s="223"/>
      <c r="BS21" s="223"/>
      <c r="BT21" s="223"/>
      <c r="BU21" s="223"/>
      <c r="BV21" s="223"/>
      <c r="BW21" s="223"/>
      <c r="BX21" s="223"/>
      <c r="BY21" s="223"/>
      <c r="BZ21" s="223"/>
      <c r="CA21" s="223"/>
      <c r="CB21" s="223"/>
      <c r="CC21" s="223"/>
      <c r="CD21" s="223"/>
      <c r="CE21" s="223"/>
      <c r="CF21" s="223"/>
      <c r="CG21" s="223"/>
      <c r="CH21" s="223"/>
      <c r="CI21" s="223"/>
      <c r="CJ21" s="223"/>
      <c r="CK21" s="223"/>
      <c r="CL21" s="223"/>
      <c r="CM21" s="223"/>
      <c r="CN21" s="223"/>
      <c r="CO21" s="223"/>
      <c r="CP21" s="223"/>
      <c r="CQ21" s="223"/>
      <c r="CR21" s="223"/>
      <c r="CS21" s="223"/>
      <c r="CT21" s="223"/>
      <c r="CU21" s="223"/>
      <c r="CV21" s="223"/>
      <c r="CW21" s="223"/>
      <c r="CX21" s="223"/>
      <c r="CY21" s="223"/>
      <c r="CZ21" s="223"/>
      <c r="DA21" s="223"/>
      <c r="DB21" s="223"/>
      <c r="DC21" s="223"/>
      <c r="DD21" s="223"/>
      <c r="DE21" s="223"/>
      <c r="DF21" s="223"/>
      <c r="DG21" s="223"/>
      <c r="DH21" s="223"/>
      <c r="DI21" s="223"/>
      <c r="DJ21" s="223"/>
      <c r="DK21" s="223"/>
      <c r="DL21" s="223"/>
      <c r="DM21" s="223"/>
      <c r="DN21" s="223"/>
      <c r="DO21" s="223"/>
      <c r="DP21" s="223"/>
      <c r="DQ21" s="223"/>
      <c r="DR21" s="223"/>
      <c r="DS21" s="223"/>
      <c r="DT21" s="223"/>
      <c r="DU21" s="223"/>
      <c r="DV21" s="223"/>
      <c r="DW21" s="223"/>
      <c r="DX21" s="223"/>
      <c r="DY21" s="223"/>
      <c r="DZ21" s="51" t="s">
        <v>582</v>
      </c>
    </row>
    <row r="22" spans="1:130" ht="15.75" x14ac:dyDescent="0.3">
      <c r="A22" s="2"/>
      <c r="B22" s="3" t="s">
        <v>689</v>
      </c>
      <c r="C22" s="4" t="str">
        <f>"2p="&amp;J30</f>
        <v>2p=4</v>
      </c>
      <c r="D22" s="4" t="str">
        <f>"2p="&amp;J31</f>
        <v>2p=4</v>
      </c>
      <c r="F22" s="237" t="s">
        <v>31</v>
      </c>
      <c r="G22" s="3">
        <f>AJ26</f>
        <v>0.95766219694254839</v>
      </c>
      <c r="H22" s="3">
        <f>AQ25</f>
        <v>0.95766219694254839</v>
      </c>
      <c r="P22" s="3" t="s">
        <v>36</v>
      </c>
      <c r="Q22" s="4">
        <f>IF(AJ31&gt;0,IF(S24&gt;0.00001,S24/H24*100,0),IF(X24&gt;0.00001,X24/H24*100,0))</f>
        <v>0</v>
      </c>
      <c r="R22" s="47" t="s">
        <v>809</v>
      </c>
      <c r="S22" s="3">
        <f>IF(S24&gt;0,IMARGUMENT(S20),0)</f>
        <v>2.3832149393796094</v>
      </c>
      <c r="T22" s="3">
        <f>S22*180/PI()</f>
        <v>136.54815769897795</v>
      </c>
      <c r="U22" s="3">
        <f>$E$16+T22</f>
        <v>136.54815769897795</v>
      </c>
      <c r="V22" s="47" t="s">
        <v>819</v>
      </c>
      <c r="W22" s="3">
        <f>IF($AJ$31&gt;0,T22,T15)</f>
        <v>136.54815769897795</v>
      </c>
      <c r="X22" s="3">
        <f>IF($AJ$31&gt;0,U22,U15)</f>
        <v>136.54815769897795</v>
      </c>
      <c r="Z22" s="47" t="s">
        <v>760</v>
      </c>
      <c r="AA22" s="3">
        <f>AV25+AV26</f>
        <v>7.3160002778712379</v>
      </c>
      <c r="AB22" s="241" t="s">
        <v>592</v>
      </c>
      <c r="AC22" s="242" t="s">
        <v>593</v>
      </c>
      <c r="AD22" s="242" t="s">
        <v>594</v>
      </c>
      <c r="AE22" s="242" t="s">
        <v>595</v>
      </c>
      <c r="AF22" s="242" t="s">
        <v>596</v>
      </c>
      <c r="AG22" s="232" t="s">
        <v>597</v>
      </c>
      <c r="AL22" s="1" t="s">
        <v>746</v>
      </c>
      <c r="AV22" s="1" t="s">
        <v>762</v>
      </c>
      <c r="AZ22" s="90" t="str">
        <f t="shared" si="8"/>
        <v>17.P-h36p6y6</v>
      </c>
      <c r="BA22" s="217">
        <v>17</v>
      </c>
      <c r="BB22" s="218" t="s">
        <v>838</v>
      </c>
      <c r="BC22" s="219">
        <v>18</v>
      </c>
      <c r="BD22" s="219">
        <v>8</v>
      </c>
      <c r="BE22" s="220">
        <v>3</v>
      </c>
      <c r="BF22" s="219" t="s">
        <v>41</v>
      </c>
      <c r="BG22" s="219" t="s">
        <v>65</v>
      </c>
      <c r="BH22" s="219" t="s">
        <v>65</v>
      </c>
      <c r="BI22" s="219" t="s">
        <v>46</v>
      </c>
      <c r="BJ22" s="219" t="s">
        <v>46</v>
      </c>
      <c r="BK22" s="219" t="s">
        <v>41</v>
      </c>
      <c r="BL22" s="219" t="s">
        <v>65</v>
      </c>
      <c r="BM22" s="219" t="s">
        <v>46</v>
      </c>
      <c r="BN22" s="219" t="s">
        <v>46</v>
      </c>
      <c r="BO22" s="219" t="s">
        <v>41</v>
      </c>
      <c r="BP22" s="219" t="s">
        <v>41</v>
      </c>
      <c r="BQ22" s="219" t="s">
        <v>65</v>
      </c>
      <c r="BR22" s="219" t="s">
        <v>46</v>
      </c>
      <c r="BS22" s="219" t="s">
        <v>41</v>
      </c>
      <c r="BT22" s="219" t="s">
        <v>41</v>
      </c>
      <c r="BU22" s="219" t="s">
        <v>65</v>
      </c>
      <c r="BV22" s="219" t="s">
        <v>65</v>
      </c>
      <c r="BW22" s="219" t="s">
        <v>46</v>
      </c>
      <c r="BX22" s="219"/>
      <c r="BY22" s="219"/>
      <c r="BZ22" s="219"/>
      <c r="CA22" s="219"/>
      <c r="CB22" s="219"/>
      <c r="CC22" s="219"/>
      <c r="CD22" s="219"/>
      <c r="CE22" s="219"/>
      <c r="CF22" s="219"/>
      <c r="CG22" s="219"/>
      <c r="CH22" s="219"/>
      <c r="CI22" s="219"/>
      <c r="CJ22" s="219"/>
      <c r="CK22" s="219"/>
      <c r="CL22" s="219"/>
      <c r="CM22" s="219"/>
      <c r="CN22" s="219"/>
      <c r="CO22" s="219"/>
      <c r="CP22" s="219"/>
      <c r="CQ22" s="219"/>
      <c r="CR22" s="219"/>
      <c r="CS22" s="219"/>
      <c r="CT22" s="219"/>
      <c r="CU22" s="219"/>
      <c r="CV22" s="219"/>
      <c r="CW22" s="219"/>
      <c r="CX22" s="219"/>
      <c r="CY22" s="219"/>
      <c r="CZ22" s="219"/>
      <c r="DA22" s="219"/>
      <c r="DB22" s="219"/>
      <c r="DC22" s="219"/>
      <c r="DD22" s="219"/>
      <c r="DE22" s="219"/>
      <c r="DF22" s="219"/>
      <c r="DG22" s="219"/>
      <c r="DH22" s="219"/>
      <c r="DI22" s="219"/>
      <c r="DJ22" s="219"/>
      <c r="DK22" s="219"/>
      <c r="DL22" s="219"/>
      <c r="DM22" s="219"/>
      <c r="DN22" s="219"/>
      <c r="DO22" s="219"/>
      <c r="DP22" s="219"/>
      <c r="DQ22" s="219"/>
      <c r="DR22" s="219"/>
      <c r="DS22" s="219"/>
      <c r="DT22" s="219"/>
      <c r="DU22" s="219"/>
      <c r="DV22" s="219"/>
      <c r="DW22" s="219"/>
      <c r="DX22" s="219"/>
      <c r="DY22" s="219"/>
      <c r="DZ22" s="45" t="s">
        <v>582</v>
      </c>
    </row>
    <row r="23" spans="1:130" x14ac:dyDescent="0.2">
      <c r="A23" s="2"/>
      <c r="B23" s="3" t="s">
        <v>686</v>
      </c>
      <c r="C23" s="58">
        <f>ROUND(AB14,5)</f>
        <v>240</v>
      </c>
      <c r="D23" s="58">
        <f>AM23</f>
        <v>240</v>
      </c>
      <c r="F23" s="47" t="s">
        <v>684</v>
      </c>
      <c r="G23" s="3">
        <f ca="1">IF(N31&gt;0,AK33*L32/PI()/N31^2/(J30/2)-1,0)</f>
        <v>8.8958444626856537E-3</v>
      </c>
      <c r="H23" s="3">
        <f ca="1">IF(AS31&gt;0,AK33*AR26/PI()/AS31^2/(J31/2)-1,0)</f>
        <v>8.8958444626856537E-3</v>
      </c>
      <c r="P23" s="3" t="s">
        <v>37</v>
      </c>
      <c r="Q23" s="4">
        <f>IF(AJ31&gt;0,IF(S25&gt;0.00001,S25/H24*100,0),IF(X25&gt;0.00001,X25/H24*100,0))</f>
        <v>99.999999999999972</v>
      </c>
      <c r="R23" s="47" t="s">
        <v>810</v>
      </c>
      <c r="S23" s="3">
        <f>IF(S25&gt;0,IMARGUMENT(S21),0)</f>
        <v>0.39269908169872364</v>
      </c>
      <c r="T23" s="3">
        <f>S23*180/PI()</f>
        <v>22.499999999999975</v>
      </c>
      <c r="U23" s="3">
        <f>$E$16+T23</f>
        <v>22.499999999999975</v>
      </c>
      <c r="V23" s="47" t="s">
        <v>820</v>
      </c>
      <c r="W23" s="3">
        <f>IF($AJ$31&gt;0,T23,T16)</f>
        <v>22.499999999999975</v>
      </c>
      <c r="X23" s="3">
        <f>IF($AJ$31&gt;0,U23,U16)</f>
        <v>22.499999999999975</v>
      </c>
      <c r="Z23" s="47" t="s">
        <v>761</v>
      </c>
      <c r="AA23" s="3">
        <f>AX25+AX26</f>
        <v>5.9734892129481594</v>
      </c>
      <c r="AB23" s="243">
        <v>0</v>
      </c>
      <c r="AC23" s="4">
        <v>0</v>
      </c>
      <c r="AD23" s="4">
        <v>0</v>
      </c>
      <c r="AE23" s="4">
        <v>0</v>
      </c>
      <c r="AF23" s="4">
        <v>0</v>
      </c>
      <c r="AG23" s="233">
        <v>0</v>
      </c>
      <c r="AL23" s="202" t="s">
        <v>688</v>
      </c>
      <c r="AM23" s="3">
        <f>IF(AM24&gt;0,AM24,AM24+360)</f>
        <v>240</v>
      </c>
      <c r="AN23" s="3" t="s">
        <v>195</v>
      </c>
      <c r="AO23" s="3">
        <f>IF(AO24&gt;0,AO24,AO24+360)</f>
        <v>240.00000000000003</v>
      </c>
      <c r="AP23" s="3" t="s">
        <v>695</v>
      </c>
      <c r="AQ23" s="3">
        <f>IF(AQ24&gt;0,AQ24,AQ24+360)</f>
        <v>239.99999999999997</v>
      </c>
      <c r="AR23" s="3" t="s">
        <v>696</v>
      </c>
      <c r="AU23" s="47" t="s">
        <v>751</v>
      </c>
      <c r="AV23" s="3" t="str">
        <f>IMSUM(COMPLEX(AM30,AN30),IMPRODUCT(Q18,COMPLEX(AO30,AP30)),IMPRODUCT(Q19,COMPLEX(AQ30,AR30)))</f>
        <v>-4.21884749357559E-15+3.99680288865056E-15i</v>
      </c>
      <c r="AW23" s="47" t="s">
        <v>755</v>
      </c>
      <c r="AX23" s="3" t="str">
        <f>IMSUM(COMPLEX(AM30,AN30),IMPRODUCT(Q12,COMPLEX(AO30,AP30)))</f>
        <v>0.76846804426234-1.00148705350035i</v>
      </c>
      <c r="AZ23" s="90" t="str">
        <f t="shared" si="8"/>
        <v>18.p-h36p4y6</v>
      </c>
      <c r="BA23" s="221">
        <v>18</v>
      </c>
      <c r="BB23" s="222" t="s">
        <v>889</v>
      </c>
      <c r="BC23" s="223"/>
      <c r="BD23" s="223"/>
      <c r="BE23" s="224"/>
      <c r="BF23" s="223" t="s">
        <v>120</v>
      </c>
      <c r="BG23" s="223" t="s">
        <v>120</v>
      </c>
      <c r="BH23" s="223" t="s">
        <v>117</v>
      </c>
      <c r="BI23" s="223" t="s">
        <v>116</v>
      </c>
      <c r="BJ23" s="223" t="s">
        <v>120</v>
      </c>
      <c r="BK23" s="223" t="s">
        <v>120</v>
      </c>
      <c r="BL23" s="223" t="s">
        <v>117</v>
      </c>
      <c r="BM23" s="223" t="s">
        <v>117</v>
      </c>
      <c r="BN23" s="223" t="s">
        <v>116</v>
      </c>
      <c r="BO23" s="223" t="s">
        <v>120</v>
      </c>
      <c r="BP23" s="223" t="s">
        <v>117</v>
      </c>
      <c r="BQ23" s="223" t="s">
        <v>117</v>
      </c>
      <c r="BR23" s="223" t="s">
        <v>116</v>
      </c>
      <c r="BS23" s="223" t="s">
        <v>116</v>
      </c>
      <c r="BT23" s="223" t="s">
        <v>120</v>
      </c>
      <c r="BU23" s="223" t="s">
        <v>117</v>
      </c>
      <c r="BV23" s="223" t="s">
        <v>116</v>
      </c>
      <c r="BW23" s="223" t="s">
        <v>116</v>
      </c>
      <c r="BX23" s="223"/>
      <c r="BY23" s="223"/>
      <c r="BZ23" s="223"/>
      <c r="CA23" s="223"/>
      <c r="CB23" s="223"/>
      <c r="CC23" s="223"/>
      <c r="CD23" s="223"/>
      <c r="CE23" s="223"/>
      <c r="CF23" s="223"/>
      <c r="CG23" s="223"/>
      <c r="CH23" s="223"/>
      <c r="CI23" s="223"/>
      <c r="CJ23" s="223"/>
      <c r="CK23" s="223"/>
      <c r="CL23" s="223"/>
      <c r="CM23" s="223"/>
      <c r="CN23" s="223"/>
      <c r="CO23" s="223"/>
      <c r="CP23" s="223"/>
      <c r="CQ23" s="223"/>
      <c r="CR23" s="223"/>
      <c r="CS23" s="223"/>
      <c r="CT23" s="223"/>
      <c r="CU23" s="223"/>
      <c r="CV23" s="223"/>
      <c r="CW23" s="223"/>
      <c r="CX23" s="223"/>
      <c r="CY23" s="223"/>
      <c r="CZ23" s="223"/>
      <c r="DA23" s="223"/>
      <c r="DB23" s="223"/>
      <c r="DC23" s="223"/>
      <c r="DD23" s="223"/>
      <c r="DE23" s="223"/>
      <c r="DF23" s="223"/>
      <c r="DG23" s="223"/>
      <c r="DH23" s="223"/>
      <c r="DI23" s="223"/>
      <c r="DJ23" s="223"/>
      <c r="DK23" s="223"/>
      <c r="DL23" s="223"/>
      <c r="DM23" s="223"/>
      <c r="DN23" s="223"/>
      <c r="DO23" s="223"/>
      <c r="DP23" s="223"/>
      <c r="DQ23" s="223"/>
      <c r="DR23" s="223"/>
      <c r="DS23" s="223"/>
      <c r="DT23" s="223"/>
      <c r="DU23" s="223"/>
      <c r="DV23" s="223"/>
      <c r="DW23" s="223"/>
      <c r="DX23" s="223"/>
      <c r="DY23" s="223"/>
      <c r="DZ23" s="48" t="s">
        <v>582</v>
      </c>
    </row>
    <row r="24" spans="1:130" x14ac:dyDescent="0.2">
      <c r="A24" s="2"/>
      <c r="B24" s="3" t="s">
        <v>687</v>
      </c>
      <c r="C24" s="58">
        <f>ROUND(AD14,5)</f>
        <v>240</v>
      </c>
      <c r="D24" s="58">
        <f>AO23</f>
        <v>240.00000000000003</v>
      </c>
      <c r="F24" s="47" t="s">
        <v>805</v>
      </c>
      <c r="G24" s="3">
        <f>N31</f>
        <v>7.3160002778712343</v>
      </c>
      <c r="H24" s="3">
        <f>AS31</f>
        <v>7.3160002778712343</v>
      </c>
      <c r="O24" s="82"/>
      <c r="P24" s="42" t="s">
        <v>34</v>
      </c>
      <c r="Q24" s="5">
        <f>IF(AJ31&gt;0,IF(S24&gt;0.00001,S24/AA22*100,0),IF(X24&gt;0.00001,X24/AA23*100,0))</f>
        <v>0</v>
      </c>
      <c r="R24" s="47" t="s">
        <v>783</v>
      </c>
      <c r="S24" s="3">
        <f>IMABS(S20)</f>
        <v>5.8114634563743489E-15</v>
      </c>
      <c r="U24" s="47" t="s">
        <v>785</v>
      </c>
      <c r="V24" s="3">
        <f>ABS(S25-S24)</f>
        <v>7.3160002778712254</v>
      </c>
      <c r="W24" s="47" t="s">
        <v>790</v>
      </c>
      <c r="X24" s="3">
        <f>IMABS(S13)</f>
        <v>1.2623468039256085</v>
      </c>
      <c r="Z24" s="47" t="s">
        <v>792</v>
      </c>
      <c r="AA24" s="4">
        <f>ABS(X25-X24)</f>
        <v>3.4487956050969419</v>
      </c>
      <c r="AB24" s="49">
        <f>AB27*COS(AB21)</f>
        <v>0.67716943354408243</v>
      </c>
      <c r="AC24" s="239">
        <f>AB27*SIN(AB21)</f>
        <v>0.67716943354408365</v>
      </c>
      <c r="AD24" s="239">
        <f>AD27*COS(AD21)</f>
        <v>0.24786121534345401</v>
      </c>
      <c r="AE24" s="239">
        <f>AD27*SIN(AD21)</f>
        <v>-0.92503064888753528</v>
      </c>
      <c r="AF24" s="239">
        <f>AF27*COS(AF21)</f>
        <v>-0.92503064888753583</v>
      </c>
      <c r="AG24" s="51">
        <f>AF27*SIN(AF21)</f>
        <v>0.24786121534345132</v>
      </c>
      <c r="AL24" s="47" t="s">
        <v>685</v>
      </c>
      <c r="AM24" s="3">
        <f>AM29-AQ29</f>
        <v>-120</v>
      </c>
      <c r="AN24" s="3" t="s">
        <v>195</v>
      </c>
      <c r="AO24" s="3">
        <f>AO29-AM29</f>
        <v>240.00000000000003</v>
      </c>
      <c r="AP24" s="3" t="s">
        <v>695</v>
      </c>
      <c r="AQ24" s="3">
        <f>AQ29-AO29</f>
        <v>-120.00000000000003</v>
      </c>
      <c r="AR24" s="3" t="s">
        <v>696</v>
      </c>
      <c r="AU24" s="47" t="s">
        <v>752</v>
      </c>
      <c r="AV24" s="3" t="str">
        <f>IMSUM(COMPLEX(AM30,AN30),IMPRODUCT(Q19,COMPLEX(AO30,AP30)),IMPRODUCT(Q18,COMPLEX(AQ30,AR30)))</f>
        <v>6.75910291657212+2.79971209751971i</v>
      </c>
      <c r="AW24" s="47" t="s">
        <v>756</v>
      </c>
      <c r="AX24" s="3" t="str">
        <f>IMSUM(COMPLEX(AO30,AP30),IMPRODUCT(Q12,COMPLEX(AM30,AN30)))</f>
        <v>-2.86796178518015+3.73760056678574i</v>
      </c>
      <c r="AZ24" s="90" t="str">
        <f t="shared" si="8"/>
        <v>19.h12p2y5z120</v>
      </c>
      <c r="BA24" s="221">
        <v>19</v>
      </c>
      <c r="BB24" s="222" t="s">
        <v>896</v>
      </c>
      <c r="BC24" s="223"/>
      <c r="BD24" s="223"/>
      <c r="BE24" s="224"/>
      <c r="BF24" s="223"/>
      <c r="BG24" s="223"/>
      <c r="BH24" s="223"/>
      <c r="BI24" s="223"/>
      <c r="BJ24" s="223"/>
      <c r="BK24" s="223"/>
      <c r="BL24" s="223"/>
      <c r="BM24" s="223"/>
      <c r="BN24" s="223"/>
      <c r="BO24" s="223"/>
      <c r="BP24" s="223"/>
      <c r="BQ24" s="223"/>
      <c r="BR24" s="223"/>
      <c r="BS24" s="223"/>
      <c r="BT24" s="223"/>
      <c r="BU24" s="223"/>
      <c r="BV24" s="223"/>
      <c r="BW24" s="223"/>
      <c r="BX24" s="223"/>
      <c r="BY24" s="223"/>
      <c r="BZ24" s="223"/>
      <c r="CA24" s="223"/>
      <c r="CB24" s="223"/>
      <c r="CC24" s="223"/>
      <c r="CD24" s="223"/>
      <c r="CE24" s="223"/>
      <c r="CF24" s="223"/>
      <c r="CG24" s="223"/>
      <c r="CH24" s="223"/>
      <c r="CI24" s="223"/>
      <c r="CJ24" s="223"/>
      <c r="CK24" s="223"/>
      <c r="CL24" s="223"/>
      <c r="CM24" s="223"/>
      <c r="CN24" s="223"/>
      <c r="CO24" s="223"/>
      <c r="CP24" s="223"/>
      <c r="CQ24" s="223"/>
      <c r="CR24" s="223"/>
      <c r="CS24" s="223"/>
      <c r="CT24" s="223"/>
      <c r="CU24" s="223"/>
      <c r="CV24" s="223"/>
      <c r="CW24" s="223"/>
      <c r="CX24" s="223"/>
      <c r="CY24" s="223"/>
      <c r="CZ24" s="223"/>
      <c r="DA24" s="223"/>
      <c r="DB24" s="223"/>
      <c r="DC24" s="223"/>
      <c r="DD24" s="223"/>
      <c r="DE24" s="223"/>
      <c r="DF24" s="223"/>
      <c r="DG24" s="223"/>
      <c r="DH24" s="223"/>
      <c r="DI24" s="223"/>
      <c r="DJ24" s="223"/>
      <c r="DK24" s="223"/>
      <c r="DL24" s="223"/>
      <c r="DM24" s="223"/>
      <c r="DN24" s="223"/>
      <c r="DO24" s="223"/>
      <c r="DP24" s="223"/>
      <c r="DQ24" s="223"/>
      <c r="DR24" s="223"/>
      <c r="DS24" s="223"/>
      <c r="DT24" s="223"/>
      <c r="DU24" s="223"/>
      <c r="DV24" s="223"/>
      <c r="DW24" s="223"/>
      <c r="DX24" s="223"/>
      <c r="DY24" s="223"/>
      <c r="DZ24" s="48" t="s">
        <v>582</v>
      </c>
    </row>
    <row r="25" spans="1:130" x14ac:dyDescent="0.2">
      <c r="A25" s="2"/>
      <c r="B25" s="3" t="s">
        <v>700</v>
      </c>
      <c r="C25" s="58">
        <f>ROUND(AF14,5)</f>
        <v>240</v>
      </c>
      <c r="D25" s="58">
        <f>AQ23</f>
        <v>239.99999999999997</v>
      </c>
      <c r="F25" s="47" t="s">
        <v>598</v>
      </c>
      <c r="G25" s="4">
        <f>P31</f>
        <v>-22.499999999999972</v>
      </c>
      <c r="H25" s="3">
        <f>AT31</f>
        <v>-14.999999999999972</v>
      </c>
      <c r="O25" s="82"/>
      <c r="P25" s="42" t="s">
        <v>35</v>
      </c>
      <c r="Q25" s="5">
        <f>IF(AJ31&gt;0,IF(S25&gt;0.00001,S25/AA22*100,0),IF(X25&gt;0.00001,X25/AA23*100,0))</f>
        <v>99.999999999999915</v>
      </c>
      <c r="R25" s="47" t="s">
        <v>784</v>
      </c>
      <c r="S25" s="3">
        <f>IMABS(S21)</f>
        <v>7.3160002778712316</v>
      </c>
      <c r="U25" s="47" t="s">
        <v>786</v>
      </c>
      <c r="V25" s="3">
        <f>S25+S24</f>
        <v>7.3160002778712379</v>
      </c>
      <c r="W25" s="47" t="s">
        <v>791</v>
      </c>
      <c r="X25" s="3">
        <f>IMABS(S14)</f>
        <v>4.7111424090225507</v>
      </c>
      <c r="Z25" s="47" t="s">
        <v>793</v>
      </c>
      <c r="AA25" s="4">
        <f>X24+X25</f>
        <v>5.9734892129481594</v>
      </c>
      <c r="AH25" s="4" t="s">
        <v>41</v>
      </c>
      <c r="AI25" s="4" t="s">
        <v>46</v>
      </c>
      <c r="AJ25" s="4" t="s">
        <v>65</v>
      </c>
      <c r="AL25" s="47" t="s">
        <v>898</v>
      </c>
      <c r="AM25" s="3">
        <f>IF(AH30&gt;0,AM27/AH30,0)</f>
        <v>0.9576621969425485</v>
      </c>
      <c r="AO25" s="3">
        <f>IF(AI30&gt;0,AO27/AI30,0)</f>
        <v>0.95766219694254862</v>
      </c>
      <c r="AQ25" s="3">
        <f>IF(AJ30&gt;0,AQ27/AJ30,0)</f>
        <v>0.95766219694254839</v>
      </c>
      <c r="AU25" s="47" t="s">
        <v>753</v>
      </c>
      <c r="AV25" s="3">
        <f>IMABS(AV23)</f>
        <v>5.8114634563743489E-15</v>
      </c>
      <c r="AW25" s="47" t="s">
        <v>757</v>
      </c>
      <c r="AX25" s="3">
        <f>IMABS(AX23)</f>
        <v>1.2623468039256085</v>
      </c>
      <c r="AZ25" s="90" t="str">
        <f t="shared" si="8"/>
        <v>20.P-h36p6y6</v>
      </c>
      <c r="BA25" s="226">
        <v>20</v>
      </c>
      <c r="BB25" s="227"/>
      <c r="BC25" s="228"/>
      <c r="BD25" s="228"/>
      <c r="BE25" s="229"/>
      <c r="BF25" s="223"/>
      <c r="BG25" s="223"/>
      <c r="BH25" s="223"/>
      <c r="BI25" s="223"/>
      <c r="BJ25" s="223"/>
      <c r="BK25" s="223"/>
      <c r="BL25" s="223"/>
      <c r="BM25" s="223"/>
      <c r="BN25" s="223"/>
      <c r="BO25" s="223"/>
      <c r="BP25" s="223"/>
      <c r="BQ25" s="223"/>
      <c r="BR25" s="223"/>
      <c r="BS25" s="223"/>
      <c r="BT25" s="223"/>
      <c r="BU25" s="223"/>
      <c r="BV25" s="223"/>
      <c r="BW25" s="223"/>
      <c r="BX25" s="223"/>
      <c r="BY25" s="223"/>
      <c r="BZ25" s="223"/>
      <c r="CA25" s="223"/>
      <c r="CB25" s="223"/>
      <c r="CC25" s="223"/>
      <c r="CD25" s="223"/>
      <c r="CE25" s="223"/>
      <c r="CF25" s="223"/>
      <c r="CG25" s="223"/>
      <c r="CH25" s="223"/>
      <c r="CI25" s="223"/>
      <c r="CJ25" s="223"/>
      <c r="CK25" s="223"/>
      <c r="CL25" s="223"/>
      <c r="CM25" s="223"/>
      <c r="CN25" s="223"/>
      <c r="CO25" s="223"/>
      <c r="CP25" s="223"/>
      <c r="CQ25" s="223"/>
      <c r="CR25" s="223"/>
      <c r="CS25" s="223"/>
      <c r="CT25" s="223"/>
      <c r="CU25" s="223"/>
      <c r="CV25" s="223"/>
      <c r="CW25" s="223"/>
      <c r="CX25" s="223"/>
      <c r="CY25" s="223"/>
      <c r="CZ25" s="223"/>
      <c r="DA25" s="223"/>
      <c r="DB25" s="223"/>
      <c r="DC25" s="223"/>
      <c r="DD25" s="223"/>
      <c r="DE25" s="223"/>
      <c r="DF25" s="223"/>
      <c r="DG25" s="223"/>
      <c r="DH25" s="223"/>
      <c r="DI25" s="223"/>
      <c r="DJ25" s="223"/>
      <c r="DK25" s="223"/>
      <c r="DL25" s="223"/>
      <c r="DM25" s="223"/>
      <c r="DN25" s="223"/>
      <c r="DO25" s="223"/>
      <c r="DP25" s="223"/>
      <c r="DQ25" s="223"/>
      <c r="DR25" s="223"/>
      <c r="DS25" s="223"/>
      <c r="DT25" s="223"/>
      <c r="DU25" s="223"/>
      <c r="DV25" s="223"/>
      <c r="DW25" s="223"/>
      <c r="DX25" s="223"/>
      <c r="DY25" s="223"/>
      <c r="DZ25" s="51" t="s">
        <v>582</v>
      </c>
    </row>
    <row r="26" spans="1:130" ht="18" x14ac:dyDescent="0.25">
      <c r="A26" s="2"/>
      <c r="E26" s="38" t="s">
        <v>602</v>
      </c>
      <c r="P26" s="206" t="s">
        <v>769</v>
      </c>
      <c r="Q26" s="244" t="str">
        <f>IF(AJ31&gt;0,T26,X26)</f>
        <v>+</v>
      </c>
      <c r="S26" s="47" t="s">
        <v>799</v>
      </c>
      <c r="T26" s="4" t="str">
        <f>IF(Q24+Q25&gt;$U$26,IF(AND(Q24=0,Q25=0),"",IF(S24&gt;S25,"-","+")),0)</f>
        <v>+</v>
      </c>
      <c r="U26" s="256">
        <v>0.01</v>
      </c>
      <c r="W26" s="47" t="s">
        <v>800</v>
      </c>
      <c r="X26" s="4" t="str">
        <f>IF(ABS(X24-X25)&gt;0.00001,IF(AND(Q24=0,Q25=0),"",IF(X24&gt;X25,"-","+")),0)</f>
        <v>+</v>
      </c>
      <c r="AA26" s="47" t="s">
        <v>599</v>
      </c>
      <c r="AB26" s="3">
        <f>SQRT(AB31^2+AC31^2)</f>
        <v>30.645190302161552</v>
      </c>
      <c r="AD26" s="3">
        <f>SQRT(AD31^2+AE31^2)</f>
        <v>30.645190302161556</v>
      </c>
      <c r="AF26" s="3">
        <f>SQRT(AF31^2+AG31^2)</f>
        <v>30.645190302161549</v>
      </c>
      <c r="AG26" s="47" t="s">
        <v>897</v>
      </c>
      <c r="AH26" s="3">
        <f>IF(AH30&gt;0,AB26/AH30,0)</f>
        <v>0.9576621969425485</v>
      </c>
      <c r="AI26" s="3">
        <f>IF(AI30&gt;0,AD26/AI30,0)</f>
        <v>0.95766219694254862</v>
      </c>
      <c r="AJ26" s="3">
        <f>IF(AJ30&gt;0,AF26/AJ30,0)</f>
        <v>0.95766219694254839</v>
      </c>
      <c r="AO26" s="47" t="s">
        <v>600</v>
      </c>
      <c r="AP26" s="4">
        <f>J31</f>
        <v>4</v>
      </c>
      <c r="AQ26" s="245" t="s">
        <v>32</v>
      </c>
      <c r="AR26" s="3">
        <f>PI()/(H30/J31)</f>
        <v>0.26179938779914941</v>
      </c>
      <c r="AS26" s="3">
        <f>AR26*180/PI()</f>
        <v>14.999999999999998</v>
      </c>
      <c r="AT26" s="3" t="s">
        <v>601</v>
      </c>
      <c r="AU26" s="47" t="s">
        <v>754</v>
      </c>
      <c r="AV26" s="3">
        <f>IMABS(AV24)</f>
        <v>7.3160002778712316</v>
      </c>
      <c r="AW26" s="47" t="s">
        <v>758</v>
      </c>
      <c r="AX26" s="3">
        <f>IMABS(AX24)</f>
        <v>4.7111424090225507</v>
      </c>
      <c r="AZ26" s="90" t="str">
        <f t="shared" si="8"/>
        <v>21.p-h36p4y6</v>
      </c>
      <c r="BA26" s="217">
        <v>21</v>
      </c>
      <c r="BB26" s="218" t="s">
        <v>839</v>
      </c>
      <c r="BC26" s="219">
        <v>18</v>
      </c>
      <c r="BD26" s="219">
        <v>4</v>
      </c>
      <c r="BE26" s="220">
        <v>3</v>
      </c>
      <c r="BF26" s="219" t="s">
        <v>41</v>
      </c>
      <c r="BG26" s="219" t="s">
        <v>120</v>
      </c>
      <c r="BH26" s="219" t="s">
        <v>120</v>
      </c>
      <c r="BI26" s="219" t="s">
        <v>46</v>
      </c>
      <c r="BJ26" s="219" t="s">
        <v>46</v>
      </c>
      <c r="BK26" s="219" t="s">
        <v>116</v>
      </c>
      <c r="BL26" s="219" t="s">
        <v>65</v>
      </c>
      <c r="BM26" s="219" t="s">
        <v>117</v>
      </c>
      <c r="BN26" s="219" t="s">
        <v>117</v>
      </c>
      <c r="BO26" s="219" t="s">
        <v>41</v>
      </c>
      <c r="BP26" s="219" t="s">
        <v>41</v>
      </c>
      <c r="BQ26" s="219" t="s">
        <v>120</v>
      </c>
      <c r="BR26" s="219" t="s">
        <v>46</v>
      </c>
      <c r="BS26" s="219" t="s">
        <v>116</v>
      </c>
      <c r="BT26" s="219" t="s">
        <v>116</v>
      </c>
      <c r="BU26" s="219" t="s">
        <v>65</v>
      </c>
      <c r="BV26" s="219" t="s">
        <v>65</v>
      </c>
      <c r="BW26" s="219" t="s">
        <v>117</v>
      </c>
      <c r="BX26" s="219"/>
      <c r="BY26" s="219"/>
      <c r="BZ26" s="219"/>
      <c r="CA26" s="219"/>
      <c r="CB26" s="219"/>
      <c r="CC26" s="219"/>
      <c r="CD26" s="219"/>
      <c r="CE26" s="219"/>
      <c r="CF26" s="219"/>
      <c r="CG26" s="219"/>
      <c r="CH26" s="219"/>
      <c r="CI26" s="219"/>
      <c r="CJ26" s="219"/>
      <c r="CK26" s="219"/>
      <c r="CL26" s="219"/>
      <c r="CM26" s="219"/>
      <c r="CN26" s="219"/>
      <c r="CO26" s="219"/>
      <c r="CP26" s="219"/>
      <c r="CQ26" s="219"/>
      <c r="CR26" s="219"/>
      <c r="CS26" s="219"/>
      <c r="CT26" s="219"/>
      <c r="CU26" s="219"/>
      <c r="CV26" s="219"/>
      <c r="CW26" s="219"/>
      <c r="CX26" s="219"/>
      <c r="CY26" s="219"/>
      <c r="CZ26" s="219"/>
      <c r="DA26" s="219"/>
      <c r="DB26" s="219"/>
      <c r="DC26" s="219"/>
      <c r="DD26" s="219"/>
      <c r="DE26" s="219"/>
      <c r="DF26" s="219"/>
      <c r="DG26" s="219"/>
      <c r="DH26" s="219"/>
      <c r="DI26" s="219"/>
      <c r="DJ26" s="219"/>
      <c r="DK26" s="219"/>
      <c r="DL26" s="219"/>
      <c r="DM26" s="219"/>
      <c r="DN26" s="219"/>
      <c r="DO26" s="219"/>
      <c r="DP26" s="219"/>
      <c r="DQ26" s="219"/>
      <c r="DR26" s="219"/>
      <c r="DS26" s="219"/>
      <c r="DT26" s="219"/>
      <c r="DU26" s="219"/>
      <c r="DV26" s="219"/>
      <c r="DW26" s="219"/>
      <c r="DX26" s="219"/>
      <c r="DY26" s="219"/>
      <c r="DZ26" s="45" t="s">
        <v>582</v>
      </c>
    </row>
    <row r="27" spans="1:130" x14ac:dyDescent="0.2">
      <c r="A27" s="2"/>
      <c r="D27" s="47" t="s">
        <v>224</v>
      </c>
      <c r="E27" s="265" t="s">
        <v>78</v>
      </c>
      <c r="F27" s="266"/>
      <c r="G27" s="3" t="str">
        <f>INDEX(BB6:BB205,VLOOKUP($E$27,$AZ$6:$DY$205,2,FALSE)*4-2)</f>
        <v>1.Mentett tekercselés</v>
      </c>
      <c r="I27" s="65"/>
      <c r="O27" s="65"/>
      <c r="P27" s="56">
        <f>IF(P31&gt;0,P31,P31+360)</f>
        <v>337.5</v>
      </c>
      <c r="Q27" s="3" t="s">
        <v>782</v>
      </c>
      <c r="X27" s="47"/>
      <c r="AA27" s="47" t="s">
        <v>603</v>
      </c>
      <c r="AB27" s="3">
        <f>J6*$J$9</f>
        <v>0.9576621969425485</v>
      </c>
      <c r="AD27" s="47">
        <f>J7*$J$9</f>
        <v>0.95766219694254862</v>
      </c>
      <c r="AF27" s="3">
        <f>J8*$J$9</f>
        <v>0.95766219694254839</v>
      </c>
      <c r="AG27" s="47" t="s">
        <v>557</v>
      </c>
      <c r="AH27" s="3">
        <v>1</v>
      </c>
      <c r="AI27" s="3">
        <f>AI31/AH31</f>
        <v>1</v>
      </c>
      <c r="AJ27" s="3">
        <f>AJ31/AH31</f>
        <v>1</v>
      </c>
      <c r="AK27" s="74"/>
      <c r="AL27" s="3" t="s">
        <v>604</v>
      </c>
      <c r="AM27" s="3">
        <f>SQRT(AM32^2+AN32^2)</f>
        <v>30.645190302161552</v>
      </c>
      <c r="AO27" s="3">
        <f>SQRT(AO32^2+AP32^2)</f>
        <v>30.645190302161556</v>
      </c>
      <c r="AQ27" s="3">
        <f>SQRT(AQ32^2+AR32^2)</f>
        <v>30.645190302161549</v>
      </c>
      <c r="AU27" s="47"/>
      <c r="AZ27" s="90" t="str">
        <f t="shared" si="8"/>
        <v>22.P-h36p8y5Liker1r</v>
      </c>
      <c r="BA27" s="221">
        <v>22</v>
      </c>
      <c r="BB27" s="222" t="s">
        <v>888</v>
      </c>
      <c r="BC27" s="223"/>
      <c r="BD27" s="223"/>
      <c r="BE27" s="224"/>
      <c r="BF27" s="223" t="s">
        <v>120</v>
      </c>
      <c r="BG27" s="223" t="s">
        <v>120</v>
      </c>
      <c r="BH27" s="223" t="s">
        <v>46</v>
      </c>
      <c r="BI27" s="223" t="s">
        <v>116</v>
      </c>
      <c r="BJ27" s="223" t="s">
        <v>65</v>
      </c>
      <c r="BK27" s="223" t="s">
        <v>65</v>
      </c>
      <c r="BL27" s="223" t="s">
        <v>117</v>
      </c>
      <c r="BM27" s="223" t="s">
        <v>117</v>
      </c>
      <c r="BN27" s="223" t="s">
        <v>41</v>
      </c>
      <c r="BO27" s="223" t="s">
        <v>120</v>
      </c>
      <c r="BP27" s="223" t="s">
        <v>46</v>
      </c>
      <c r="BQ27" s="223" t="s">
        <v>46</v>
      </c>
      <c r="BR27" s="223" t="s">
        <v>116</v>
      </c>
      <c r="BS27" s="223" t="s">
        <v>116</v>
      </c>
      <c r="BT27" s="223" t="s">
        <v>65</v>
      </c>
      <c r="BU27" s="223" t="s">
        <v>117</v>
      </c>
      <c r="BV27" s="223" t="s">
        <v>41</v>
      </c>
      <c r="BW27" s="223" t="s">
        <v>41</v>
      </c>
      <c r="BX27" s="223"/>
      <c r="BY27" s="223"/>
      <c r="BZ27" s="223"/>
      <c r="CA27" s="223"/>
      <c r="CB27" s="223"/>
      <c r="CC27" s="223"/>
      <c r="CD27" s="223"/>
      <c r="CE27" s="223"/>
      <c r="CF27" s="223"/>
      <c r="CG27" s="223"/>
      <c r="CH27" s="223"/>
      <c r="CI27" s="223"/>
      <c r="CJ27" s="223"/>
      <c r="CK27" s="223"/>
      <c r="CL27" s="223"/>
      <c r="CM27" s="223"/>
      <c r="CN27" s="223"/>
      <c r="CO27" s="223"/>
      <c r="CP27" s="223"/>
      <c r="CQ27" s="223"/>
      <c r="CR27" s="223"/>
      <c r="CS27" s="223"/>
      <c r="CT27" s="223"/>
      <c r="CU27" s="223"/>
      <c r="CV27" s="223"/>
      <c r="CW27" s="223"/>
      <c r="CX27" s="223"/>
      <c r="CY27" s="223"/>
      <c r="CZ27" s="223"/>
      <c r="DA27" s="223"/>
      <c r="DB27" s="223"/>
      <c r="DC27" s="223"/>
      <c r="DD27" s="223"/>
      <c r="DE27" s="223"/>
      <c r="DF27" s="223"/>
      <c r="DG27" s="223"/>
      <c r="DH27" s="223"/>
      <c r="DI27" s="223"/>
      <c r="DJ27" s="223"/>
      <c r="DK27" s="223"/>
      <c r="DL27" s="223"/>
      <c r="DM27" s="223"/>
      <c r="DN27" s="223"/>
      <c r="DO27" s="223"/>
      <c r="DP27" s="223"/>
      <c r="DQ27" s="223"/>
      <c r="DR27" s="223"/>
      <c r="DS27" s="223"/>
      <c r="DT27" s="223"/>
      <c r="DU27" s="223"/>
      <c r="DV27" s="223"/>
      <c r="DW27" s="223"/>
      <c r="DX27" s="223"/>
      <c r="DY27" s="223"/>
      <c r="DZ27" s="48" t="s">
        <v>582</v>
      </c>
    </row>
    <row r="28" spans="1:130" x14ac:dyDescent="0.2">
      <c r="K28" s="47" t="s">
        <v>697</v>
      </c>
      <c r="L28" s="4">
        <f>360/AV33*J31/2</f>
        <v>60</v>
      </c>
      <c r="O28" s="47" t="s">
        <v>747</v>
      </c>
      <c r="P28" s="74" t="str">
        <f>IF(H30&gt;J30/10,"Igen","Nincs elég horonyszám a szinuszgörbe rajzolásához.")</f>
        <v>Igen</v>
      </c>
      <c r="X28" s="47"/>
      <c r="AA28" s="47" t="s">
        <v>742</v>
      </c>
      <c r="AB28" s="3">
        <f>IMREAL(Q8)/3</f>
        <v>2.2530343055240367</v>
      </c>
      <c r="AC28" s="3">
        <f>IMAGINARY(Q8)/3</f>
        <v>0.93323736583990657</v>
      </c>
      <c r="AD28" s="3">
        <f>IMREAL(Q10)/3</f>
        <v>-1.93472441934025</v>
      </c>
      <c r="AE28" s="3">
        <f>IMAGINARY(Q10)/3</f>
        <v>1.4845662612617001</v>
      </c>
      <c r="AF28" s="3">
        <f>IMREAL(Q9)/3</f>
        <v>-0.31830988618379336</v>
      </c>
      <c r="AG28" s="3">
        <f>IMAGINARY(Q9)/3</f>
        <v>-2.4178036271016001</v>
      </c>
      <c r="AK28" s="74"/>
      <c r="AL28" s="47" t="s">
        <v>739</v>
      </c>
      <c r="AM28" s="3">
        <f>IF(AM31&gt;0,AM31,AM31+360)</f>
        <v>67.500000000000028</v>
      </c>
      <c r="AO28" s="3">
        <f>IF(AO31&gt;0,AO31,AO31+360)</f>
        <v>307.50000000000006</v>
      </c>
      <c r="AQ28" s="3">
        <f>IF(AQ31&gt;0,AQ31,AQ31+360)</f>
        <v>187.50000000000003</v>
      </c>
      <c r="AS28" s="47" t="s">
        <v>943</v>
      </c>
      <c r="AT28" s="4">
        <f>IF(J32&gt;1,MATCH(IF(G34="A","A'","A"),H34:H145,0)-1,MATCH(IF(G34="A","A'","A"),H34:H145,0)-MATCH(IF(G34="A","C'","C"),H34:H145,0)+1)</f>
        <v>9</v>
      </c>
      <c r="AU28" s="47"/>
      <c r="AZ28" s="90" t="str">
        <f t="shared" si="8"/>
        <v>23.p-h36p6y5Liker1r</v>
      </c>
      <c r="BA28" s="221">
        <v>23</v>
      </c>
      <c r="BB28" s="222"/>
      <c r="BC28" s="223"/>
      <c r="BD28" s="223"/>
      <c r="BE28" s="224"/>
      <c r="BF28" s="223"/>
      <c r="BG28" s="223"/>
      <c r="BH28" s="223"/>
      <c r="BI28" s="223"/>
      <c r="BJ28" s="223"/>
      <c r="BK28" s="223"/>
      <c r="BL28" s="223"/>
      <c r="BM28" s="223"/>
      <c r="BN28" s="223"/>
      <c r="BO28" s="223"/>
      <c r="BP28" s="223"/>
      <c r="BQ28" s="223"/>
      <c r="BR28" s="223"/>
      <c r="BS28" s="223"/>
      <c r="BT28" s="223"/>
      <c r="BU28" s="223"/>
      <c r="BV28" s="223"/>
      <c r="BW28" s="223"/>
      <c r="BX28" s="223"/>
      <c r="BY28" s="223"/>
      <c r="BZ28" s="223"/>
      <c r="CA28" s="223"/>
      <c r="CB28" s="223"/>
      <c r="CC28" s="223"/>
      <c r="CD28" s="223"/>
      <c r="CE28" s="223"/>
      <c r="CF28" s="223"/>
      <c r="CG28" s="223"/>
      <c r="CH28" s="223"/>
      <c r="CI28" s="223"/>
      <c r="CJ28" s="223"/>
      <c r="CK28" s="223"/>
      <c r="CL28" s="223"/>
      <c r="CM28" s="223"/>
      <c r="CN28" s="223"/>
      <c r="CO28" s="223"/>
      <c r="CP28" s="223"/>
      <c r="CQ28" s="223"/>
      <c r="CR28" s="223"/>
      <c r="CS28" s="223"/>
      <c r="CT28" s="223"/>
      <c r="CU28" s="223"/>
      <c r="CV28" s="223"/>
      <c r="CW28" s="223"/>
      <c r="CX28" s="223"/>
      <c r="CY28" s="223"/>
      <c r="CZ28" s="223"/>
      <c r="DA28" s="223"/>
      <c r="DB28" s="223"/>
      <c r="DC28" s="223"/>
      <c r="DD28" s="223"/>
      <c r="DE28" s="223"/>
      <c r="DF28" s="223"/>
      <c r="DG28" s="223"/>
      <c r="DH28" s="223"/>
      <c r="DI28" s="223"/>
      <c r="DJ28" s="223"/>
      <c r="DK28" s="223"/>
      <c r="DL28" s="223"/>
      <c r="DM28" s="223"/>
      <c r="DN28" s="223"/>
      <c r="DO28" s="223"/>
      <c r="DP28" s="223"/>
      <c r="DQ28" s="223"/>
      <c r="DR28" s="223"/>
      <c r="DS28" s="223"/>
      <c r="DT28" s="223"/>
      <c r="DU28" s="223"/>
      <c r="DV28" s="223"/>
      <c r="DW28" s="223"/>
      <c r="DX28" s="223"/>
      <c r="DY28" s="223"/>
      <c r="DZ28" s="48" t="s">
        <v>582</v>
      </c>
    </row>
    <row r="29" spans="1:130" x14ac:dyDescent="0.2">
      <c r="A29" s="2"/>
      <c r="B29" s="246" t="s">
        <v>666</v>
      </c>
      <c r="C29" s="156"/>
      <c r="D29" s="247" t="s">
        <v>667</v>
      </c>
      <c r="E29" s="160"/>
      <c r="G29" s="1" t="s">
        <v>789</v>
      </c>
      <c r="I29" s="248" t="s">
        <v>937</v>
      </c>
      <c r="K29" s="47" t="str">
        <f>"m="&amp;IF(ISERROR(MATCH("C",G34:G145,0)),2,3)&amp;"  q="</f>
        <v>m=3  q=</v>
      </c>
      <c r="L29" s="4">
        <f>H30/J31/IF(ISERROR(MATCH("C",G34:G145,0)),2,3)</f>
        <v>4</v>
      </c>
      <c r="M29" s="1" t="s">
        <v>707</v>
      </c>
      <c r="P29" s="1" t="s">
        <v>773</v>
      </c>
      <c r="X29" s="47"/>
      <c r="AA29" s="47"/>
      <c r="AB29" s="3" t="s">
        <v>775</v>
      </c>
      <c r="AC29" s="3" t="s">
        <v>776</v>
      </c>
      <c r="AD29" s="3" t="s">
        <v>777</v>
      </c>
      <c r="AE29" s="3" t="s">
        <v>778</v>
      </c>
      <c r="AF29" s="3" t="s">
        <v>779</v>
      </c>
      <c r="AG29" s="3" t="s">
        <v>780</v>
      </c>
      <c r="AK29" s="74"/>
      <c r="AL29" s="47" t="s">
        <v>710</v>
      </c>
      <c r="AM29" s="3">
        <v>0</v>
      </c>
      <c r="AN29" s="3" t="s">
        <v>692</v>
      </c>
      <c r="AO29" s="3">
        <f>AO28-AM28</f>
        <v>240.00000000000003</v>
      </c>
      <c r="AP29" s="3" t="s">
        <v>693</v>
      </c>
      <c r="AQ29" s="3">
        <f>AQ28-AM28</f>
        <v>120</v>
      </c>
      <c r="AR29" s="3" t="s">
        <v>694</v>
      </c>
      <c r="AS29" s="3" t="s">
        <v>691</v>
      </c>
      <c r="AU29" s="47" t="s">
        <v>759</v>
      </c>
      <c r="AZ29" s="90" t="str">
        <f t="shared" si="8"/>
        <v>24.h</v>
      </c>
      <c r="BA29" s="226">
        <v>24</v>
      </c>
      <c r="BB29" s="227"/>
      <c r="BC29" s="228"/>
      <c r="BD29" s="228"/>
      <c r="BE29" s="229"/>
      <c r="BF29" s="223"/>
      <c r="BG29" s="223"/>
      <c r="BH29" s="223"/>
      <c r="BI29" s="223"/>
      <c r="BJ29" s="223"/>
      <c r="BK29" s="223"/>
      <c r="BL29" s="223"/>
      <c r="BM29" s="223"/>
      <c r="BN29" s="223"/>
      <c r="BO29" s="223"/>
      <c r="BP29" s="223"/>
      <c r="BQ29" s="223"/>
      <c r="BR29" s="223"/>
      <c r="BS29" s="223"/>
      <c r="BT29" s="223"/>
      <c r="BU29" s="223"/>
      <c r="BV29" s="223"/>
      <c r="BW29" s="223"/>
      <c r="BX29" s="223"/>
      <c r="BY29" s="223"/>
      <c r="BZ29" s="223"/>
      <c r="CA29" s="223"/>
      <c r="CB29" s="223"/>
      <c r="CC29" s="223"/>
      <c r="CD29" s="223"/>
      <c r="CE29" s="223"/>
      <c r="CF29" s="223"/>
      <c r="CG29" s="223"/>
      <c r="CH29" s="223"/>
      <c r="CI29" s="223"/>
      <c r="CJ29" s="223"/>
      <c r="CK29" s="223"/>
      <c r="CL29" s="223"/>
      <c r="CM29" s="223"/>
      <c r="CN29" s="223"/>
      <c r="CO29" s="223"/>
      <c r="CP29" s="223"/>
      <c r="CQ29" s="223"/>
      <c r="CR29" s="223"/>
      <c r="CS29" s="223"/>
      <c r="CT29" s="223"/>
      <c r="CU29" s="223"/>
      <c r="CV29" s="223"/>
      <c r="CW29" s="223"/>
      <c r="CX29" s="223"/>
      <c r="CY29" s="223"/>
      <c r="CZ29" s="223"/>
      <c r="DA29" s="223"/>
      <c r="DB29" s="223"/>
      <c r="DC29" s="223"/>
      <c r="DD29" s="223"/>
      <c r="DE29" s="223"/>
      <c r="DF29" s="223"/>
      <c r="DG29" s="223"/>
      <c r="DH29" s="223"/>
      <c r="DI29" s="223"/>
      <c r="DJ29" s="223"/>
      <c r="DK29" s="223"/>
      <c r="DL29" s="223"/>
      <c r="DM29" s="223"/>
      <c r="DN29" s="223"/>
      <c r="DO29" s="223"/>
      <c r="DP29" s="223"/>
      <c r="DQ29" s="223"/>
      <c r="DR29" s="223"/>
      <c r="DS29" s="223"/>
      <c r="DT29" s="223"/>
      <c r="DU29" s="223"/>
      <c r="DV29" s="223"/>
      <c r="DW29" s="223"/>
      <c r="DX29" s="223"/>
      <c r="DY29" s="223"/>
      <c r="DZ29" s="51" t="s">
        <v>582</v>
      </c>
    </row>
    <row r="30" spans="1:130" ht="15" x14ac:dyDescent="0.25">
      <c r="A30" s="42"/>
      <c r="B30" s="42" t="s">
        <v>84</v>
      </c>
      <c r="C30" s="5">
        <f>COUNTA(B34:B105)</f>
        <v>48</v>
      </c>
      <c r="D30" s="42" t="s">
        <v>84</v>
      </c>
      <c r="E30" s="5">
        <f>COUNTIF(D34:D105,"&lt;&gt;0")</f>
        <v>48</v>
      </c>
      <c r="G30" s="47" t="s">
        <v>84</v>
      </c>
      <c r="H30" s="41">
        <f>COUNTA(G34:G145)</f>
        <v>48</v>
      </c>
      <c r="I30" s="47" t="s">
        <v>614</v>
      </c>
      <c r="J30" s="59">
        <v>4</v>
      </c>
      <c r="K30" s="245" t="s">
        <v>33</v>
      </c>
      <c r="L30" s="4">
        <f>L32*180/PI()</f>
        <v>14.999999999999998</v>
      </c>
      <c r="AA30" s="259" t="s">
        <v>774</v>
      </c>
      <c r="AB30" s="90">
        <f t="shared" ref="AB30:AG30" si="9">AB31/$J$30/PI()</f>
        <v>2.2530343055240416</v>
      </c>
      <c r="AC30" s="90">
        <f t="shared" si="9"/>
        <v>0.93323736583990413</v>
      </c>
      <c r="AD30" s="90">
        <f t="shared" si="9"/>
        <v>-1.9347244193402486</v>
      </c>
      <c r="AE30" s="90">
        <f t="shared" si="9"/>
        <v>1.4845662612616997</v>
      </c>
      <c r="AF30" s="90">
        <f t="shared" si="9"/>
        <v>-0.31830988618379225</v>
      </c>
      <c r="AG30" s="90">
        <f t="shared" si="9"/>
        <v>-2.4178036271016019</v>
      </c>
      <c r="AH30" s="3">
        <f>SUM(AH34:AH145)</f>
        <v>32</v>
      </c>
      <c r="AI30" s="3">
        <f>SUM(AI34:AI145)</f>
        <v>32</v>
      </c>
      <c r="AJ30" s="3">
        <f>SUM(AJ34:AJ145)</f>
        <v>32</v>
      </c>
      <c r="AK30" s="3" t="s">
        <v>606</v>
      </c>
      <c r="AM30" s="90">
        <f t="shared" ref="AM30:AR30" si="10">AM32/$J$31/PI()</f>
        <v>2.2530343055240416</v>
      </c>
      <c r="AN30" s="90">
        <f t="shared" si="10"/>
        <v>0.93323736583990413</v>
      </c>
      <c r="AO30" s="90">
        <f t="shared" si="10"/>
        <v>-1.9347244193402486</v>
      </c>
      <c r="AP30" s="90">
        <f t="shared" si="10"/>
        <v>1.4845662612616997</v>
      </c>
      <c r="AQ30" s="90">
        <f t="shared" si="10"/>
        <v>-0.31830988618379225</v>
      </c>
      <c r="AR30" s="90">
        <f t="shared" si="10"/>
        <v>-2.4178036271016019</v>
      </c>
      <c r="AS30" s="3" t="s">
        <v>607</v>
      </c>
      <c r="AZ30" s="90" t="str">
        <f t="shared" si="8"/>
        <v>25.h</v>
      </c>
      <c r="BA30" s="217">
        <v>25</v>
      </c>
      <c r="BB30" s="218" t="s">
        <v>840</v>
      </c>
      <c r="BC30" s="219">
        <v>36</v>
      </c>
      <c r="BD30" s="219">
        <v>10</v>
      </c>
      <c r="BE30" s="220">
        <v>3</v>
      </c>
      <c r="BF30" s="219" t="s">
        <v>41</v>
      </c>
      <c r="BG30" s="219" t="s">
        <v>120</v>
      </c>
      <c r="BH30" s="219" t="s">
        <v>117</v>
      </c>
      <c r="BI30" s="219" t="s">
        <v>117</v>
      </c>
      <c r="BJ30" s="219" t="s">
        <v>116</v>
      </c>
      <c r="BK30" s="219" t="s">
        <v>116</v>
      </c>
      <c r="BL30" s="219" t="s">
        <v>120</v>
      </c>
      <c r="BM30" s="219" t="s">
        <v>46</v>
      </c>
      <c r="BN30" s="219" t="s">
        <v>41</v>
      </c>
      <c r="BO30" s="219" t="s">
        <v>41</v>
      </c>
      <c r="BP30" s="219" t="s">
        <v>65</v>
      </c>
      <c r="BQ30" s="219" t="s">
        <v>65</v>
      </c>
      <c r="BR30" s="219" t="s">
        <v>46</v>
      </c>
      <c r="BS30" s="219" t="s">
        <v>116</v>
      </c>
      <c r="BT30" s="219" t="s">
        <v>120</v>
      </c>
      <c r="BU30" s="219" t="s">
        <v>120</v>
      </c>
      <c r="BV30" s="219" t="s">
        <v>117</v>
      </c>
      <c r="BW30" s="219" t="s">
        <v>117</v>
      </c>
      <c r="BX30" s="219" t="s">
        <v>116</v>
      </c>
      <c r="BY30" s="219" t="s">
        <v>65</v>
      </c>
      <c r="BZ30" s="219" t="s">
        <v>46</v>
      </c>
      <c r="CA30" s="219" t="s">
        <v>46</v>
      </c>
      <c r="CB30" s="219" t="s">
        <v>41</v>
      </c>
      <c r="CC30" s="219" t="s">
        <v>41</v>
      </c>
      <c r="CD30" s="219" t="s">
        <v>65</v>
      </c>
      <c r="CE30" s="219" t="s">
        <v>117</v>
      </c>
      <c r="CF30" s="219" t="s">
        <v>116</v>
      </c>
      <c r="CG30" s="219" t="s">
        <v>116</v>
      </c>
      <c r="CH30" s="219" t="s">
        <v>120</v>
      </c>
      <c r="CI30" s="219" t="s">
        <v>120</v>
      </c>
      <c r="CJ30" s="219" t="s">
        <v>117</v>
      </c>
      <c r="CK30" s="219" t="s">
        <v>41</v>
      </c>
      <c r="CL30" s="219" t="s">
        <v>65</v>
      </c>
      <c r="CM30" s="219" t="s">
        <v>65</v>
      </c>
      <c r="CN30" s="219" t="s">
        <v>46</v>
      </c>
      <c r="CO30" s="219" t="s">
        <v>46</v>
      </c>
      <c r="CP30" s="219"/>
      <c r="CQ30" s="219"/>
      <c r="CR30" s="219"/>
      <c r="CS30" s="219"/>
      <c r="CT30" s="219"/>
      <c r="CU30" s="219"/>
      <c r="CV30" s="219"/>
      <c r="CW30" s="219"/>
      <c r="CX30" s="219"/>
      <c r="CY30" s="219"/>
      <c r="CZ30" s="219"/>
      <c r="DA30" s="219"/>
      <c r="DB30" s="219"/>
      <c r="DC30" s="219"/>
      <c r="DD30" s="219"/>
      <c r="DE30" s="219"/>
      <c r="DF30" s="219"/>
      <c r="DG30" s="219"/>
      <c r="DH30" s="219"/>
      <c r="DI30" s="219"/>
      <c r="DJ30" s="219"/>
      <c r="DK30" s="219"/>
      <c r="DL30" s="219"/>
      <c r="DM30" s="219"/>
      <c r="DN30" s="219"/>
      <c r="DO30" s="219"/>
      <c r="DP30" s="219"/>
      <c r="DQ30" s="219"/>
      <c r="DR30" s="219"/>
      <c r="DS30" s="219"/>
      <c r="DT30" s="219"/>
      <c r="DU30" s="219"/>
      <c r="DV30" s="219"/>
      <c r="DW30" s="219"/>
      <c r="DX30" s="219"/>
      <c r="DY30" s="219"/>
      <c r="DZ30" s="45" t="s">
        <v>582</v>
      </c>
    </row>
    <row r="31" spans="1:130" x14ac:dyDescent="0.2">
      <c r="A31" s="42"/>
      <c r="B31" s="47" t="s">
        <v>608</v>
      </c>
      <c r="C31" s="4">
        <v>4</v>
      </c>
      <c r="D31" s="47" t="s">
        <v>608</v>
      </c>
      <c r="E31" s="4">
        <f>VLOOKUP($E$27,$BB$6:$DY$105,3,FALSE)</f>
        <v>4</v>
      </c>
      <c r="F31" s="47" t="s">
        <v>613</v>
      </c>
      <c r="G31" s="249" t="str">
        <f>"Ya="&amp;H30/J31&amp;" Y="</f>
        <v>Ya=12 Y=</v>
      </c>
      <c r="H31" s="41">
        <f>MATCH("B'",H34:H145,0)-MATCH("B",G34:G145,0)</f>
        <v>12</v>
      </c>
      <c r="I31" s="47" t="s">
        <v>608</v>
      </c>
      <c r="J31" s="59">
        <v>4</v>
      </c>
      <c r="M31" s="47" t="s">
        <v>768</v>
      </c>
      <c r="N31" s="3">
        <f>SQRT(P32^2+Q32^2)/J30/PI()*2</f>
        <v>7.3160002778712343</v>
      </c>
      <c r="O31" s="250" t="s">
        <v>609</v>
      </c>
      <c r="P31" s="3">
        <f>IF(ABS(Q32)&gt;0,ATAN2(Q32,P32)*180/PI()-90,0)</f>
        <v>-22.499999999999972</v>
      </c>
      <c r="Q31" s="3">
        <f>SQRT(P32^2+Q32^2)</f>
        <v>45.967785453242307</v>
      </c>
      <c r="R31" s="65"/>
      <c r="AA31" s="47" t="s">
        <v>610</v>
      </c>
      <c r="AB31" s="3">
        <f t="shared" ref="AB31:AG31" si="11">IF(ABS(SUM(AB34:AB145))&lt;0.000001,0.000001,SUM(AB34:AB145))</f>
        <v>28.312464090080439</v>
      </c>
      <c r="AC31" s="3">
        <f t="shared" si="11"/>
        <v>11.727406610312531</v>
      </c>
      <c r="AD31" s="3">
        <f t="shared" si="11"/>
        <v>-24.312464090080415</v>
      </c>
      <c r="AE31" s="3">
        <f t="shared" si="11"/>
        <v>18.655609840588085</v>
      </c>
      <c r="AF31" s="3">
        <f t="shared" si="11"/>
        <v>-4.0000000000000195</v>
      </c>
      <c r="AG31" s="3">
        <f t="shared" si="11"/>
        <v>-30.383016450900595</v>
      </c>
      <c r="AH31" s="3">
        <f>S32+T32</f>
        <v>32</v>
      </c>
      <c r="AI31" s="3">
        <f>U32+V32</f>
        <v>32</v>
      </c>
      <c r="AJ31" s="3">
        <f>W32+X32</f>
        <v>32</v>
      </c>
      <c r="AK31" s="3" t="s">
        <v>611</v>
      </c>
      <c r="AL31" s="47" t="s">
        <v>612</v>
      </c>
      <c r="AM31" s="3">
        <f>ATAN2(AN32,AM32)*180/PI()</f>
        <v>67.500000000000028</v>
      </c>
      <c r="AN31" s="3" t="s">
        <v>692</v>
      </c>
      <c r="AO31" s="3">
        <f>ATAN2(AP32,AO32)*180/PI()</f>
        <v>-52.499999999999929</v>
      </c>
      <c r="AP31" s="3" t="s">
        <v>693</v>
      </c>
      <c r="AQ31" s="3">
        <f>IF(AR32=0,0,ATAN2(AR32,AQ32)*180/PI())</f>
        <v>-172.49999999999997</v>
      </c>
      <c r="AR31" s="3" t="s">
        <v>694</v>
      </c>
      <c r="AS31" s="3">
        <f>SQRT(AS32^2+AT32^2)/J31/PI()*2</f>
        <v>7.3160002778712343</v>
      </c>
      <c r="AT31" s="3">
        <f>ATAN2(AT32,AS32)*180/PI()-90+AS26/2</f>
        <v>-14.999999999999972</v>
      </c>
      <c r="AV31" s="2"/>
      <c r="AW31" s="2"/>
      <c r="AX31" s="2"/>
      <c r="AZ31" s="90" t="str">
        <f t="shared" si="8"/>
        <v>26.h</v>
      </c>
      <c r="BA31" s="221">
        <v>26</v>
      </c>
      <c r="BB31" s="222" t="s">
        <v>841</v>
      </c>
      <c r="BC31" s="223"/>
      <c r="BD31" s="223"/>
      <c r="BE31" s="224"/>
      <c r="BF31" s="223" t="s">
        <v>120</v>
      </c>
      <c r="BG31" s="223" t="s">
        <v>117</v>
      </c>
      <c r="BH31" s="223" t="s">
        <v>117</v>
      </c>
      <c r="BI31" s="223" t="s">
        <v>116</v>
      </c>
      <c r="BJ31" s="223" t="s">
        <v>65</v>
      </c>
      <c r="BK31" s="223" t="s">
        <v>46</v>
      </c>
      <c r="BL31" s="223" t="s">
        <v>46</v>
      </c>
      <c r="BM31" s="223" t="s">
        <v>41</v>
      </c>
      <c r="BN31" s="223" t="s">
        <v>41</v>
      </c>
      <c r="BO31" s="223" t="s">
        <v>65</v>
      </c>
      <c r="BP31" s="223" t="s">
        <v>117</v>
      </c>
      <c r="BQ31" s="223" t="s">
        <v>116</v>
      </c>
      <c r="BR31" s="223" t="s">
        <v>116</v>
      </c>
      <c r="BS31" s="223" t="s">
        <v>120</v>
      </c>
      <c r="BT31" s="223" t="s">
        <v>120</v>
      </c>
      <c r="BU31" s="223" t="s">
        <v>117</v>
      </c>
      <c r="BV31" s="223" t="s">
        <v>41</v>
      </c>
      <c r="BW31" s="223" t="s">
        <v>65</v>
      </c>
      <c r="BX31" s="223" t="s">
        <v>65</v>
      </c>
      <c r="BY31" s="223" t="s">
        <v>46</v>
      </c>
      <c r="BZ31" s="223" t="s">
        <v>46</v>
      </c>
      <c r="CA31" s="223" t="s">
        <v>41</v>
      </c>
      <c r="CB31" s="223" t="s">
        <v>120</v>
      </c>
      <c r="CC31" s="223" t="s">
        <v>117</v>
      </c>
      <c r="CD31" s="223" t="s">
        <v>117</v>
      </c>
      <c r="CE31" s="223" t="s">
        <v>116</v>
      </c>
      <c r="CF31" s="223" t="s">
        <v>116</v>
      </c>
      <c r="CG31" s="223" t="s">
        <v>120</v>
      </c>
      <c r="CH31" s="223" t="s">
        <v>46</v>
      </c>
      <c r="CI31" s="223" t="s">
        <v>41</v>
      </c>
      <c r="CJ31" s="223" t="s">
        <v>41</v>
      </c>
      <c r="CK31" s="223" t="s">
        <v>65</v>
      </c>
      <c r="CL31" s="223" t="s">
        <v>65</v>
      </c>
      <c r="CM31" s="223" t="s">
        <v>46</v>
      </c>
      <c r="CN31" s="223" t="s">
        <v>116</v>
      </c>
      <c r="CO31" s="223" t="s">
        <v>120</v>
      </c>
      <c r="CP31" s="223"/>
      <c r="CQ31" s="223"/>
      <c r="CR31" s="223"/>
      <c r="CS31" s="223"/>
      <c r="CT31" s="223"/>
      <c r="CU31" s="223"/>
      <c r="CV31" s="223"/>
      <c r="CW31" s="223"/>
      <c r="CX31" s="223"/>
      <c r="CY31" s="223"/>
      <c r="CZ31" s="223"/>
      <c r="DA31" s="223"/>
      <c r="DB31" s="223"/>
      <c r="DC31" s="223"/>
      <c r="DD31" s="223"/>
      <c r="DE31" s="223"/>
      <c r="DF31" s="223"/>
      <c r="DG31" s="223"/>
      <c r="DH31" s="223"/>
      <c r="DI31" s="223"/>
      <c r="DJ31" s="223"/>
      <c r="DK31" s="223"/>
      <c r="DL31" s="223"/>
      <c r="DM31" s="223"/>
      <c r="DN31" s="223"/>
      <c r="DO31" s="223"/>
      <c r="DP31" s="223"/>
      <c r="DQ31" s="223"/>
      <c r="DR31" s="223"/>
      <c r="DS31" s="223"/>
      <c r="DT31" s="223"/>
      <c r="DU31" s="223"/>
      <c r="DV31" s="223"/>
      <c r="DW31" s="223"/>
      <c r="DX31" s="223"/>
      <c r="DY31" s="223"/>
      <c r="DZ31" s="48" t="s">
        <v>582</v>
      </c>
    </row>
    <row r="32" spans="1:130" ht="15" x14ac:dyDescent="0.25">
      <c r="B32" s="47" t="s">
        <v>83</v>
      </c>
      <c r="C32" s="4">
        <v>3</v>
      </c>
      <c r="D32" s="47" t="s">
        <v>83</v>
      </c>
      <c r="E32" s="4">
        <f>IF(ISERROR(VLOOKUP("C",D34:D145,1,FALSE)),2,3)</f>
        <v>3</v>
      </c>
      <c r="G32" s="47" t="s">
        <v>83</v>
      </c>
      <c r="H32" s="41">
        <f>IF(AJ31&gt;0,3,2)</f>
        <v>3</v>
      </c>
      <c r="I32" s="47" t="s">
        <v>940</v>
      </c>
      <c r="J32" s="76">
        <f>IF(ISERROR(MATCH(2,AL34:AL145,0)),1,2)</f>
        <v>1</v>
      </c>
      <c r="K32" s="245" t="s">
        <v>32</v>
      </c>
      <c r="L32" s="3">
        <f>PI()/(H30/J30)</f>
        <v>0.26179938779914941</v>
      </c>
      <c r="M32" s="4" t="s">
        <v>615</v>
      </c>
      <c r="N32" s="202" t="s">
        <v>616</v>
      </c>
      <c r="O32" s="2">
        <f>SUM(N34:N145)/H30</f>
        <v>4</v>
      </c>
      <c r="P32" s="56">
        <f>SUM(P34:P145)</f>
        <v>42.468696135120638</v>
      </c>
      <c r="Q32" s="3">
        <f>SUM(Q34:Q145)</f>
        <v>17.591109915468795</v>
      </c>
      <c r="R32" s="3" t="s">
        <v>748</v>
      </c>
      <c r="S32" s="3">
        <f t="shared" ref="S32:X32" si="12">$H$30-COUNTIF(S34:S145,0)</f>
        <v>16</v>
      </c>
      <c r="T32" s="3">
        <f t="shared" si="12"/>
        <v>16</v>
      </c>
      <c r="U32" s="3">
        <f t="shared" si="12"/>
        <v>16</v>
      </c>
      <c r="V32" s="3">
        <f t="shared" si="12"/>
        <v>16</v>
      </c>
      <c r="W32" s="3">
        <f t="shared" si="12"/>
        <v>16</v>
      </c>
      <c r="X32" s="3">
        <f t="shared" si="12"/>
        <v>16</v>
      </c>
      <c r="Y32" s="2"/>
      <c r="AG32" s="47" t="s">
        <v>806</v>
      </c>
      <c r="AH32" s="3">
        <v>1</v>
      </c>
      <c r="AI32" s="3">
        <f>AI31/AH31</f>
        <v>1</v>
      </c>
      <c r="AK32" s="3" t="s">
        <v>617</v>
      </c>
      <c r="AL32" s="47"/>
      <c r="AM32" s="4">
        <f t="shared" ref="AM32:AT32" si="13">SUM(AM34:AM145)</f>
        <v>28.312464090080439</v>
      </c>
      <c r="AN32" s="4">
        <f t="shared" si="13"/>
        <v>11.727406610312531</v>
      </c>
      <c r="AO32" s="4">
        <f t="shared" si="13"/>
        <v>-24.312464090080415</v>
      </c>
      <c r="AP32" s="4">
        <f t="shared" si="13"/>
        <v>18.655609840588085</v>
      </c>
      <c r="AQ32" s="4">
        <f t="shared" si="13"/>
        <v>-4.0000000000000195</v>
      </c>
      <c r="AR32" s="4">
        <f t="shared" si="13"/>
        <v>-30.383016450900595</v>
      </c>
      <c r="AS32" s="56">
        <f t="shared" si="13"/>
        <v>42.468696135120638</v>
      </c>
      <c r="AT32" s="3">
        <f t="shared" si="13"/>
        <v>17.591109915468795</v>
      </c>
      <c r="AV32" s="3" t="s">
        <v>890</v>
      </c>
      <c r="AW32" s="3" t="s">
        <v>891</v>
      </c>
      <c r="AZ32" s="90" t="str">
        <f t="shared" si="8"/>
        <v>27.h</v>
      </c>
      <c r="BA32" s="221">
        <v>27</v>
      </c>
      <c r="BB32" s="222"/>
      <c r="BC32" s="223"/>
      <c r="BD32" s="223"/>
      <c r="BE32" s="224"/>
      <c r="BF32" s="223"/>
      <c r="BG32" s="223"/>
      <c r="BH32" s="223"/>
      <c r="BI32" s="223"/>
      <c r="BJ32" s="223"/>
      <c r="BK32" s="223"/>
      <c r="BL32" s="223"/>
      <c r="BM32" s="223"/>
      <c r="BN32" s="223"/>
      <c r="BO32" s="223"/>
      <c r="BP32" s="223"/>
      <c r="BQ32" s="223"/>
      <c r="BR32" s="223"/>
      <c r="BS32" s="223"/>
      <c r="BT32" s="223"/>
      <c r="BU32" s="223"/>
      <c r="BV32" s="223"/>
      <c r="BW32" s="223"/>
      <c r="BX32" s="223"/>
      <c r="BY32" s="223"/>
      <c r="BZ32" s="223"/>
      <c r="CA32" s="223"/>
      <c r="CB32" s="223"/>
      <c r="CC32" s="223"/>
      <c r="CD32" s="223"/>
      <c r="CE32" s="223"/>
      <c r="CF32" s="223"/>
      <c r="CG32" s="223"/>
      <c r="CH32" s="223"/>
      <c r="CI32" s="223"/>
      <c r="CJ32" s="223"/>
      <c r="CK32" s="223"/>
      <c r="CL32" s="223"/>
      <c r="CM32" s="223"/>
      <c r="CN32" s="223"/>
      <c r="CO32" s="223"/>
      <c r="CP32" s="223"/>
      <c r="CQ32" s="223"/>
      <c r="CR32" s="223"/>
      <c r="CS32" s="223"/>
      <c r="CT32" s="223"/>
      <c r="CU32" s="223"/>
      <c r="CV32" s="223"/>
      <c r="CW32" s="223"/>
      <c r="CX32" s="223"/>
      <c r="CY32" s="223"/>
      <c r="CZ32" s="223"/>
      <c r="DA32" s="223"/>
      <c r="DB32" s="223"/>
      <c r="DC32" s="223"/>
      <c r="DD32" s="223"/>
      <c r="DE32" s="223"/>
      <c r="DF32" s="223"/>
      <c r="DG32" s="223"/>
      <c r="DH32" s="223"/>
      <c r="DI32" s="223"/>
      <c r="DJ32" s="223"/>
      <c r="DK32" s="223"/>
      <c r="DL32" s="223"/>
      <c r="DM32" s="223"/>
      <c r="DN32" s="223"/>
      <c r="DO32" s="223"/>
      <c r="DP32" s="223"/>
      <c r="DQ32" s="223"/>
      <c r="DR32" s="223"/>
      <c r="DS32" s="223"/>
      <c r="DT32" s="223"/>
      <c r="DU32" s="223"/>
      <c r="DV32" s="223"/>
      <c r="DW32" s="223"/>
      <c r="DX32" s="223"/>
      <c r="DY32" s="223"/>
      <c r="DZ32" s="48" t="s">
        <v>582</v>
      </c>
    </row>
    <row r="33" spans="1:130" x14ac:dyDescent="0.2">
      <c r="A33" s="42"/>
      <c r="B33" s="3" t="s">
        <v>618</v>
      </c>
      <c r="C33" s="3" t="s">
        <v>619</v>
      </c>
      <c r="D33" s="3" t="s">
        <v>618</v>
      </c>
      <c r="E33" s="3" t="s">
        <v>619</v>
      </c>
      <c r="F33" s="47">
        <v>0</v>
      </c>
      <c r="G33" s="4" t="s">
        <v>618</v>
      </c>
      <c r="H33" s="4" t="s">
        <v>619</v>
      </c>
      <c r="I33" s="4" t="s">
        <v>620</v>
      </c>
      <c r="J33" s="4" t="s">
        <v>621</v>
      </c>
      <c r="K33" s="3" t="s">
        <v>622</v>
      </c>
      <c r="L33" s="3" t="s">
        <v>623</v>
      </c>
      <c r="M33" s="3">
        <v>0</v>
      </c>
      <c r="N33" s="4" t="s">
        <v>624</v>
      </c>
      <c r="O33" s="3" t="s">
        <v>625</v>
      </c>
      <c r="P33" s="4" t="s">
        <v>39</v>
      </c>
      <c r="Q33" s="4" t="s">
        <v>626</v>
      </c>
      <c r="R33" s="3">
        <f ca="1">RAND()*0+IF($P$28="Igen",(SIN((360/$H$30*F33/2*$J$30+$P$31)*PI()/180)*$N$31),0)</f>
        <v>-2.7997120975197114</v>
      </c>
      <c r="S33" s="4" t="s">
        <v>66</v>
      </c>
      <c r="T33" s="4" t="s">
        <v>627</v>
      </c>
      <c r="U33" s="4" t="s">
        <v>628</v>
      </c>
      <c r="V33" s="4" t="s">
        <v>629</v>
      </c>
      <c r="W33" s="4" t="s">
        <v>630</v>
      </c>
      <c r="X33" s="4" t="s">
        <v>631</v>
      </c>
      <c r="Y33" s="4" t="s">
        <v>632</v>
      </c>
      <c r="Z33" s="4" t="s">
        <v>633</v>
      </c>
      <c r="AA33" s="4" t="s">
        <v>634</v>
      </c>
      <c r="AB33" s="4" t="s">
        <v>635</v>
      </c>
      <c r="AC33" s="4" t="s">
        <v>43</v>
      </c>
      <c r="AD33" s="4" t="s">
        <v>636</v>
      </c>
      <c r="AE33" s="4" t="s">
        <v>637</v>
      </c>
      <c r="AF33" s="4" t="s">
        <v>638</v>
      </c>
      <c r="AG33" s="4" t="s">
        <v>639</v>
      </c>
      <c r="AH33" s="4" t="s">
        <v>640</v>
      </c>
      <c r="AI33" s="4" t="s">
        <v>641</v>
      </c>
      <c r="AJ33" s="4" t="s">
        <v>642</v>
      </c>
      <c r="AK33" s="3">
        <f ca="1">SUM(AK34:AK145)</f>
        <v>1296</v>
      </c>
      <c r="AL33" s="3" t="s">
        <v>939</v>
      </c>
      <c r="AM33" s="4" t="s">
        <v>643</v>
      </c>
      <c r="AN33" s="4" t="s">
        <v>644</v>
      </c>
      <c r="AO33" s="4" t="s">
        <v>645</v>
      </c>
      <c r="AP33" s="4" t="s">
        <v>646</v>
      </c>
      <c r="AQ33" s="4" t="s">
        <v>647</v>
      </c>
      <c r="AR33" s="4" t="s">
        <v>648</v>
      </c>
      <c r="AS33" s="4" t="s">
        <v>39</v>
      </c>
      <c r="AT33" s="4" t="s">
        <v>626</v>
      </c>
      <c r="AU33" s="4"/>
      <c r="AV33" s="3">
        <f>SUM(AV35:AV105)</f>
        <v>12</v>
      </c>
      <c r="AW33" s="4" t="s">
        <v>620</v>
      </c>
      <c r="AX33" s="4" t="s">
        <v>621</v>
      </c>
      <c r="AY33" s="74"/>
      <c r="AZ33" s="90" t="str">
        <f t="shared" si="8"/>
        <v>28.h</v>
      </c>
      <c r="BA33" s="226">
        <v>28</v>
      </c>
      <c r="BB33" s="227"/>
      <c r="BC33" s="228"/>
      <c r="BD33" s="228"/>
      <c r="BE33" s="229"/>
      <c r="BF33" s="223"/>
      <c r="BG33" s="223"/>
      <c r="BH33" s="223"/>
      <c r="BI33" s="223"/>
      <c r="BJ33" s="223"/>
      <c r="BK33" s="223"/>
      <c r="BL33" s="223"/>
      <c r="BM33" s="223"/>
      <c r="BN33" s="223"/>
      <c r="BO33" s="223"/>
      <c r="BP33" s="223"/>
      <c r="BQ33" s="223"/>
      <c r="BR33" s="223"/>
      <c r="BS33" s="223"/>
      <c r="BT33" s="223"/>
      <c r="BU33" s="223"/>
      <c r="BV33" s="223"/>
      <c r="BW33" s="223"/>
      <c r="BX33" s="223"/>
      <c r="BY33" s="223"/>
      <c r="BZ33" s="223"/>
      <c r="CA33" s="223"/>
      <c r="CB33" s="223"/>
      <c r="CC33" s="223"/>
      <c r="CD33" s="223"/>
      <c r="CE33" s="223"/>
      <c r="CF33" s="223"/>
      <c r="CG33" s="223"/>
      <c r="CH33" s="223"/>
      <c r="CI33" s="223"/>
      <c r="CJ33" s="223"/>
      <c r="CK33" s="223"/>
      <c r="CL33" s="223"/>
      <c r="CM33" s="223"/>
      <c r="CN33" s="223"/>
      <c r="CO33" s="223"/>
      <c r="CP33" s="223"/>
      <c r="CQ33" s="223"/>
      <c r="CR33" s="223"/>
      <c r="CS33" s="223"/>
      <c r="CT33" s="223"/>
      <c r="CU33" s="223"/>
      <c r="CV33" s="223"/>
      <c r="CW33" s="223"/>
      <c r="CX33" s="223"/>
      <c r="CY33" s="223"/>
      <c r="CZ33" s="223"/>
      <c r="DA33" s="223"/>
      <c r="DB33" s="223"/>
      <c r="DC33" s="223"/>
      <c r="DD33" s="223"/>
      <c r="DE33" s="223"/>
      <c r="DF33" s="223"/>
      <c r="DG33" s="223"/>
      <c r="DH33" s="223"/>
      <c r="DI33" s="223"/>
      <c r="DJ33" s="223"/>
      <c r="DK33" s="223"/>
      <c r="DL33" s="223"/>
      <c r="DM33" s="223"/>
      <c r="DN33" s="223"/>
      <c r="DO33" s="223"/>
      <c r="DP33" s="223"/>
      <c r="DQ33" s="223"/>
      <c r="DR33" s="223"/>
      <c r="DS33" s="223"/>
      <c r="DT33" s="223"/>
      <c r="DU33" s="223"/>
      <c r="DV33" s="223"/>
      <c r="DW33" s="223"/>
      <c r="DX33" s="223"/>
      <c r="DY33" s="223"/>
      <c r="DZ33" s="51" t="s">
        <v>582</v>
      </c>
    </row>
    <row r="34" spans="1:130" x14ac:dyDescent="0.2">
      <c r="A34" s="2"/>
      <c r="B34" s="2" t="s">
        <v>41</v>
      </c>
      <c r="C34" s="3" t="s">
        <v>41</v>
      </c>
      <c r="D34" s="3" t="str">
        <f t="shared" ref="D34:D65" si="14">VLOOKUP($E$27,$BB$6:$DY$205,4+F34,FALSE)</f>
        <v>A</v>
      </c>
      <c r="E34" s="3" t="str">
        <f t="shared" ref="E34:E65" si="15">INDEX($BF$6:$DY$205,VLOOKUP($E$27,$AZ$6:$DY$205,2,FALSE)*4-2,F34)</f>
        <v>A</v>
      </c>
      <c r="F34" s="47">
        <v>1</v>
      </c>
      <c r="G34" s="57" t="s">
        <v>41</v>
      </c>
      <c r="H34" s="57" t="s">
        <v>41</v>
      </c>
      <c r="I34" s="57">
        <v>1</v>
      </c>
      <c r="J34" s="57">
        <v>1</v>
      </c>
      <c r="K34" s="3">
        <f>IF(G34="x",0,INDEX($C$16:$C$21,MATCH(G34,$B$16:$B$21,0))*I34)</f>
        <v>1</v>
      </c>
      <c r="L34" s="3">
        <f>IF(H34="x",0,INDEX($C$16:$C$21,MATCH(H34,$B$16:$B$21,0))*J34)</f>
        <v>1</v>
      </c>
      <c r="M34" s="3">
        <f>K34+L34</f>
        <v>2</v>
      </c>
      <c r="N34" s="3">
        <f>SUM($M$33:M34)</f>
        <v>2</v>
      </c>
      <c r="O34" s="3">
        <f ca="1">RAND()*0+(N34-$O$32)</f>
        <v>-2</v>
      </c>
      <c r="P34" s="3">
        <f>M34*COS((F34-1)*$L$32)</f>
        <v>2</v>
      </c>
      <c r="Q34" s="3">
        <f>M34*SIN((F34-1)*$L$32)</f>
        <v>0</v>
      </c>
      <c r="R34" s="3">
        <f>IF($P$28="Igen",SIN((360/$H$30*F34/2*$J$30+$P$31)*PI()/180)*$N$31,0)</f>
        <v>-0.9549296585513678</v>
      </c>
      <c r="S34" s="3">
        <f>IF(G34="A",I34,IF(G34="A'",-1*I34,0))</f>
        <v>1</v>
      </c>
      <c r="T34" s="3">
        <f>IF(H34="A",J34,IF(H34="A'",-1*J34,0))</f>
        <v>1</v>
      </c>
      <c r="U34" s="3">
        <f>IF(G34="B",I34,IF(G34="B'",-1*I34,0))</f>
        <v>0</v>
      </c>
      <c r="V34" s="3">
        <f>IF(H34="B",J34,IF(H34="B'",-1*J34,0))</f>
        <v>0</v>
      </c>
      <c r="W34" s="3">
        <f>IF(G34="C",I34,IF(G34="C'",-1*I34,0))</f>
        <v>0</v>
      </c>
      <c r="X34" s="3">
        <f>IF(H34="C",J34,IF(H34="C'",-1*J34,0))</f>
        <v>0</v>
      </c>
      <c r="Y34" s="3">
        <f>S34+T34</f>
        <v>2</v>
      </c>
      <c r="Z34" s="3">
        <f>U34+V34</f>
        <v>0</v>
      </c>
      <c r="AA34" s="3">
        <f>W34+X34</f>
        <v>0</v>
      </c>
      <c r="AB34" s="65">
        <f>Y34*COS(($F34-1)*$L$32)</f>
        <v>2</v>
      </c>
      <c r="AC34" s="3">
        <f>Y34*SIN(($F34-1)*$L$32)</f>
        <v>0</v>
      </c>
      <c r="AD34" s="65">
        <f>Z34*COS(($F34-1)*$L$32)</f>
        <v>0</v>
      </c>
      <c r="AE34" s="3">
        <f>Z34*SIN(($F34-1)*$L$32)</f>
        <v>0</v>
      </c>
      <c r="AF34" s="65">
        <f>AA34*COS(($F34-1)*$L$32)</f>
        <v>0</v>
      </c>
      <c r="AG34" s="3">
        <f>AA34*SIN(($F34-1)*$L$32)</f>
        <v>0</v>
      </c>
      <c r="AH34" s="3">
        <f>ABS(S34)+ABS(T34)</f>
        <v>2</v>
      </c>
      <c r="AI34" s="3">
        <f>ABS(U34)+ABS(V34)</f>
        <v>0</v>
      </c>
      <c r="AJ34" s="3">
        <f>ABS(W34)+ABS(X34)</f>
        <v>0</v>
      </c>
      <c r="AK34" s="3">
        <f ca="1">O34^2</f>
        <v>4</v>
      </c>
      <c r="AL34" s="4">
        <f>IF(G34=H34,1,2)</f>
        <v>1</v>
      </c>
      <c r="AM34" s="4">
        <f>Y34*COS((F34-1)*$AR$26)</f>
        <v>2</v>
      </c>
      <c r="AN34" s="4">
        <f>Y34*SIN((F34-1)*$AR$26)</f>
        <v>0</v>
      </c>
      <c r="AO34" s="4">
        <f>Z34*COS((F34-1)*$AR$26)</f>
        <v>0</v>
      </c>
      <c r="AP34" s="3">
        <f>Z34*SIN((F34-1)*$AR$26)</f>
        <v>0</v>
      </c>
      <c r="AQ34" s="3">
        <f>AA34*COS((F34-1)*$AR$26)</f>
        <v>0</v>
      </c>
      <c r="AR34" s="3">
        <f>AA34*SIN((F34-1)*$AR$26)</f>
        <v>0</v>
      </c>
      <c r="AS34" s="3">
        <f>M34*COS((F34-1)*$AR$26)</f>
        <v>2</v>
      </c>
      <c r="AT34" s="65">
        <f>M34*SIN((F34-1)*$AR$26)</f>
        <v>0</v>
      </c>
      <c r="AU34" s="65"/>
      <c r="AW34" s="3">
        <f t="shared" ref="AW34:AW65" si="16">INDEX($BF$6:$DY$205,VLOOKUP($E$27,$AZ$6:$DY$205,2,FALSE)*4-1,F34)</f>
        <v>1</v>
      </c>
      <c r="AX34" s="3">
        <f t="shared" ref="AX34:AX65" si="17">INDEX($BF$6:$DY$205,VLOOKUP($E$27,$AZ$6:$DY$205,2,FALSE)*4-0,F34)</f>
        <v>1</v>
      </c>
      <c r="AY34" s="65"/>
      <c r="AZ34" s="90" t="str">
        <f t="shared" si="8"/>
        <v>29.h</v>
      </c>
      <c r="BA34" s="217">
        <v>29</v>
      </c>
      <c r="BB34" s="218" t="s">
        <v>842</v>
      </c>
      <c r="BC34" s="219">
        <v>36</v>
      </c>
      <c r="BD34" s="219">
        <v>8</v>
      </c>
      <c r="BE34" s="220">
        <v>3</v>
      </c>
      <c r="BF34" s="219" t="s">
        <v>116</v>
      </c>
      <c r="BG34" s="219" t="s">
        <v>65</v>
      </c>
      <c r="BH34" s="219" t="s">
        <v>117</v>
      </c>
      <c r="BI34" s="219" t="s">
        <v>117</v>
      </c>
      <c r="BJ34" s="219" t="s">
        <v>41</v>
      </c>
      <c r="BK34" s="219" t="s">
        <v>41</v>
      </c>
      <c r="BL34" s="219" t="s">
        <v>120</v>
      </c>
      <c r="BM34" s="219" t="s">
        <v>46</v>
      </c>
      <c r="BN34" s="219" t="s">
        <v>116</v>
      </c>
      <c r="BO34" s="219" t="s">
        <v>116</v>
      </c>
      <c r="BP34" s="219" t="s">
        <v>65</v>
      </c>
      <c r="BQ34" s="219" t="s">
        <v>65</v>
      </c>
      <c r="BR34" s="219" t="s">
        <v>117</v>
      </c>
      <c r="BS34" s="219" t="s">
        <v>41</v>
      </c>
      <c r="BT34" s="219" t="s">
        <v>120</v>
      </c>
      <c r="BU34" s="219" t="s">
        <v>120</v>
      </c>
      <c r="BV34" s="219" t="s">
        <v>46</v>
      </c>
      <c r="BW34" s="219" t="s">
        <v>46</v>
      </c>
      <c r="BX34" s="219" t="s">
        <v>116</v>
      </c>
      <c r="BY34" s="219" t="s">
        <v>65</v>
      </c>
      <c r="BZ34" s="219" t="s">
        <v>117</v>
      </c>
      <c r="CA34" s="219" t="s">
        <v>117</v>
      </c>
      <c r="CB34" s="219" t="s">
        <v>41</v>
      </c>
      <c r="CC34" s="219" t="s">
        <v>41</v>
      </c>
      <c r="CD34" s="219" t="s">
        <v>120</v>
      </c>
      <c r="CE34" s="219" t="s">
        <v>46</v>
      </c>
      <c r="CF34" s="219" t="s">
        <v>116</v>
      </c>
      <c r="CG34" s="219" t="s">
        <v>116</v>
      </c>
      <c r="CH34" s="219" t="s">
        <v>65</v>
      </c>
      <c r="CI34" s="219" t="s">
        <v>65</v>
      </c>
      <c r="CJ34" s="219" t="s">
        <v>117</v>
      </c>
      <c r="CK34" s="219" t="s">
        <v>41</v>
      </c>
      <c r="CL34" s="219" t="s">
        <v>120</v>
      </c>
      <c r="CM34" s="219" t="s">
        <v>120</v>
      </c>
      <c r="CN34" s="219" t="s">
        <v>46</v>
      </c>
      <c r="CO34" s="219" t="s">
        <v>46</v>
      </c>
      <c r="CP34" s="219"/>
      <c r="CQ34" s="219"/>
      <c r="CR34" s="219"/>
      <c r="CS34" s="219"/>
      <c r="CT34" s="219"/>
      <c r="CU34" s="219"/>
      <c r="CV34" s="219"/>
      <c r="CW34" s="219"/>
      <c r="CX34" s="219"/>
      <c r="CY34" s="219"/>
      <c r="CZ34" s="219"/>
      <c r="DA34" s="219"/>
      <c r="DB34" s="219"/>
      <c r="DC34" s="219"/>
      <c r="DD34" s="219"/>
      <c r="DE34" s="219"/>
      <c r="DF34" s="219"/>
      <c r="DG34" s="219"/>
      <c r="DH34" s="219"/>
      <c r="DI34" s="219"/>
      <c r="DJ34" s="219"/>
      <c r="DK34" s="219"/>
      <c r="DL34" s="219"/>
      <c r="DM34" s="219"/>
      <c r="DN34" s="219"/>
      <c r="DO34" s="219"/>
      <c r="DP34" s="219"/>
      <c r="DQ34" s="219"/>
      <c r="DR34" s="219"/>
      <c r="DS34" s="219"/>
      <c r="DT34" s="219"/>
      <c r="DU34" s="219"/>
      <c r="DV34" s="219"/>
      <c r="DW34" s="219"/>
      <c r="DX34" s="219"/>
      <c r="DY34" s="219"/>
      <c r="DZ34" s="45" t="s">
        <v>582</v>
      </c>
    </row>
    <row r="35" spans="1:130" x14ac:dyDescent="0.2">
      <c r="A35" s="2"/>
      <c r="B35" s="2" t="s">
        <v>41</v>
      </c>
      <c r="C35" s="3" t="s">
        <v>41</v>
      </c>
      <c r="D35" s="3" t="str">
        <f t="shared" si="14"/>
        <v>A</v>
      </c>
      <c r="E35" s="3" t="str">
        <f t="shared" si="15"/>
        <v>A</v>
      </c>
      <c r="F35" s="3">
        <v>2</v>
      </c>
      <c r="G35" s="57" t="s">
        <v>41</v>
      </c>
      <c r="H35" s="57" t="s">
        <v>41</v>
      </c>
      <c r="I35" s="57">
        <v>1</v>
      </c>
      <c r="J35" s="57">
        <v>1</v>
      </c>
      <c r="K35" s="3">
        <f>IF(G35="x",0,INDEX($C$16:$C$21,MATCH(G35,$B$16:$B$21,0))*I35)</f>
        <v>1</v>
      </c>
      <c r="L35" s="3">
        <f>IF(H35="x",0,INDEX($C$16:$C$21,MATCH(H35,$B$16:$B$21,0))*J35)</f>
        <v>1</v>
      </c>
      <c r="M35" s="3">
        <f>K35+L35</f>
        <v>2</v>
      </c>
      <c r="N35" s="3">
        <f>SUM($M$33:M35)</f>
        <v>4</v>
      </c>
      <c r="O35" s="3">
        <f t="shared" ref="O35" si="18">N35-$O$32</f>
        <v>0</v>
      </c>
      <c r="P35" s="3">
        <f>M35*COS((F35-1)*$L$32)</f>
        <v>1.9318516525781366</v>
      </c>
      <c r="Q35" s="3">
        <f>M35*SIN((F35-1)*$L$32)</f>
        <v>0.51763809020504148</v>
      </c>
      <c r="R35" s="3">
        <f>IF($P$28="Igen",SIN((360/$H$30*F35/2*$J$30+$P$31)*PI()/180)*$N$31,0)</f>
        <v>0.95492965855137513</v>
      </c>
      <c r="S35" s="3">
        <f>IF(G35="A",I35,IF(G35="A'",-1*I35,0))</f>
        <v>1</v>
      </c>
      <c r="T35" s="3">
        <f>IF(H35="A",J35,IF(H35="A'",-1*J35,0))</f>
        <v>1</v>
      </c>
      <c r="U35" s="3">
        <f>IF(G35="B",I35,IF(G35="B'",-1*I35,0))</f>
        <v>0</v>
      </c>
      <c r="V35" s="3">
        <f>IF(H35="B",J35,IF(H35="B'",-1*J35,0))</f>
        <v>0</v>
      </c>
      <c r="W35" s="3">
        <f>IF(G35="C",I35,IF(G35="C'",-1*I35,0))</f>
        <v>0</v>
      </c>
      <c r="X35" s="3">
        <f>IF(H35="C",J35,IF(H35="C'",-1*J35,0))</f>
        <v>0</v>
      </c>
      <c r="Y35" s="3">
        <f>S35+T35</f>
        <v>2</v>
      </c>
      <c r="Z35" s="3">
        <f>U35+V35</f>
        <v>0</v>
      </c>
      <c r="AA35" s="3">
        <f>W35+X35</f>
        <v>0</v>
      </c>
      <c r="AB35" s="65">
        <f>Y35*COS(($F35-1)*$L$32)</f>
        <v>1.9318516525781366</v>
      </c>
      <c r="AC35" s="3">
        <f>Y35*SIN(($F35-1)*$L$32)</f>
        <v>0.51763809020504148</v>
      </c>
      <c r="AD35" s="65">
        <f>Z35*COS(($F35-1)*$L$32)</f>
        <v>0</v>
      </c>
      <c r="AE35" s="3">
        <f>Z35*SIN(($F35-1)*$L$32)</f>
        <v>0</v>
      </c>
      <c r="AF35" s="65">
        <f>AA35*COS(($F35-1)*$L$32)</f>
        <v>0</v>
      </c>
      <c r="AG35" s="3">
        <f>AA35*SIN(($F35-1)*$L$32)</f>
        <v>0</v>
      </c>
      <c r="AH35" s="3">
        <f>ABS(S35)+ABS(T35)</f>
        <v>2</v>
      </c>
      <c r="AI35" s="3">
        <f>ABS(U35)+ABS(V35)</f>
        <v>0</v>
      </c>
      <c r="AJ35" s="3">
        <f>ABS(W35)+ABS(X35)</f>
        <v>0</v>
      </c>
      <c r="AK35" s="3">
        <f>O35^2</f>
        <v>0</v>
      </c>
      <c r="AL35" s="4">
        <f>IF(G35=H35,1,2)</f>
        <v>1</v>
      </c>
      <c r="AM35" s="4">
        <f>Y35*COS((F35-1)*$AR$26)</f>
        <v>1.9318516525781366</v>
      </c>
      <c r="AN35" s="4">
        <f>Y35*SIN((F35-1)*$AR$26)</f>
        <v>0.51763809020504148</v>
      </c>
      <c r="AO35" s="4">
        <f>Z35*COS((F35-1)*$AR$26)</f>
        <v>0</v>
      </c>
      <c r="AP35" s="3">
        <f>Z35*SIN((F35-1)*$AR$26)</f>
        <v>0</v>
      </c>
      <c r="AQ35" s="3">
        <f>AA35*COS((F35-1)*$AR$26)</f>
        <v>0</v>
      </c>
      <c r="AR35" s="3">
        <f>AA35*SIN((F35-1)*$AR$26)</f>
        <v>0</v>
      </c>
      <c r="AS35" s="3">
        <f>M35*COS((F35-1)*$AR$26)</f>
        <v>1.9318516525781366</v>
      </c>
      <c r="AT35" s="65">
        <f>M35*SIN((F35-1)*$AR$26)</f>
        <v>0.51763809020504148</v>
      </c>
      <c r="AU35" s="65"/>
      <c r="AV35" s="3">
        <f t="shared" ref="AV35:AV66" si="19">IF(G34=G35,0,1)</f>
        <v>0</v>
      </c>
      <c r="AW35" s="3">
        <f t="shared" si="16"/>
        <v>1</v>
      </c>
      <c r="AX35" s="3">
        <f t="shared" si="17"/>
        <v>1</v>
      </c>
      <c r="AY35" s="65"/>
      <c r="AZ35" s="90" t="str">
        <f t="shared" si="8"/>
        <v>30.h</v>
      </c>
      <c r="BA35" s="221">
        <v>30</v>
      </c>
      <c r="BB35" s="222" t="s">
        <v>843</v>
      </c>
      <c r="BC35" s="223"/>
      <c r="BD35" s="223"/>
      <c r="BE35" s="224"/>
      <c r="BF35" s="223" t="s">
        <v>65</v>
      </c>
      <c r="BG35" s="223" t="s">
        <v>117</v>
      </c>
      <c r="BH35" s="223" t="s">
        <v>117</v>
      </c>
      <c r="BI35" s="223" t="s">
        <v>41</v>
      </c>
      <c r="BJ35" s="223" t="s">
        <v>120</v>
      </c>
      <c r="BK35" s="223" t="s">
        <v>46</v>
      </c>
      <c r="BL35" s="223" t="s">
        <v>46</v>
      </c>
      <c r="BM35" s="223" t="s">
        <v>116</v>
      </c>
      <c r="BN35" s="223" t="s">
        <v>116</v>
      </c>
      <c r="BO35" s="223" t="s">
        <v>65</v>
      </c>
      <c r="BP35" s="223" t="s">
        <v>117</v>
      </c>
      <c r="BQ35" s="223" t="s">
        <v>41</v>
      </c>
      <c r="BR35" s="223" t="s">
        <v>41</v>
      </c>
      <c r="BS35" s="223" t="s">
        <v>120</v>
      </c>
      <c r="BT35" s="223" t="s">
        <v>120</v>
      </c>
      <c r="BU35" s="223" t="s">
        <v>46</v>
      </c>
      <c r="BV35" s="223" t="s">
        <v>116</v>
      </c>
      <c r="BW35" s="223" t="s">
        <v>65</v>
      </c>
      <c r="BX35" s="223" t="s">
        <v>65</v>
      </c>
      <c r="BY35" s="223" t="s">
        <v>117</v>
      </c>
      <c r="BZ35" s="223" t="s">
        <v>117</v>
      </c>
      <c r="CA35" s="223" t="s">
        <v>41</v>
      </c>
      <c r="CB35" s="223" t="s">
        <v>120</v>
      </c>
      <c r="CC35" s="223" t="s">
        <v>46</v>
      </c>
      <c r="CD35" s="223" t="s">
        <v>46</v>
      </c>
      <c r="CE35" s="223" t="s">
        <v>116</v>
      </c>
      <c r="CF35" s="223" t="s">
        <v>116</v>
      </c>
      <c r="CG35" s="223" t="s">
        <v>65</v>
      </c>
      <c r="CH35" s="223" t="s">
        <v>117</v>
      </c>
      <c r="CI35" s="223" t="s">
        <v>41</v>
      </c>
      <c r="CJ35" s="223" t="s">
        <v>41</v>
      </c>
      <c r="CK35" s="223" t="s">
        <v>120</v>
      </c>
      <c r="CL35" s="223" t="s">
        <v>120</v>
      </c>
      <c r="CM35" s="223" t="s">
        <v>46</v>
      </c>
      <c r="CN35" s="223" t="s">
        <v>116</v>
      </c>
      <c r="CO35" s="223" t="s">
        <v>65</v>
      </c>
      <c r="CP35" s="223"/>
      <c r="CQ35" s="223"/>
      <c r="CR35" s="223"/>
      <c r="CS35" s="223"/>
      <c r="CT35" s="223"/>
      <c r="CU35" s="223"/>
      <c r="CV35" s="223"/>
      <c r="CW35" s="223"/>
      <c r="CX35" s="223"/>
      <c r="CY35" s="223"/>
      <c r="CZ35" s="223"/>
      <c r="DA35" s="223"/>
      <c r="DB35" s="223"/>
      <c r="DC35" s="223"/>
      <c r="DD35" s="223"/>
      <c r="DE35" s="223"/>
      <c r="DF35" s="223"/>
      <c r="DG35" s="223"/>
      <c r="DH35" s="223"/>
      <c r="DI35" s="223"/>
      <c r="DJ35" s="223"/>
      <c r="DK35" s="223"/>
      <c r="DL35" s="223"/>
      <c r="DM35" s="223"/>
      <c r="DN35" s="223"/>
      <c r="DO35" s="223"/>
      <c r="DP35" s="223"/>
      <c r="DQ35" s="223"/>
      <c r="DR35" s="223"/>
      <c r="DS35" s="223"/>
      <c r="DT35" s="223"/>
      <c r="DU35" s="223"/>
      <c r="DV35" s="223"/>
      <c r="DW35" s="223"/>
      <c r="DX35" s="223"/>
      <c r="DY35" s="223"/>
      <c r="DZ35" s="48" t="s">
        <v>582</v>
      </c>
    </row>
    <row r="36" spans="1:130" x14ac:dyDescent="0.2">
      <c r="A36" s="2"/>
      <c r="B36" s="2" t="s">
        <v>41</v>
      </c>
      <c r="C36" s="3" t="s">
        <v>41</v>
      </c>
      <c r="D36" s="3" t="str">
        <f t="shared" si="14"/>
        <v>A</v>
      </c>
      <c r="E36" s="3" t="str">
        <f t="shared" si="15"/>
        <v>A</v>
      </c>
      <c r="F36" s="3">
        <v>3</v>
      </c>
      <c r="G36" s="57" t="s">
        <v>41</v>
      </c>
      <c r="H36" s="57" t="s">
        <v>41</v>
      </c>
      <c r="I36" s="57">
        <v>1</v>
      </c>
      <c r="J36" s="57">
        <v>1</v>
      </c>
      <c r="K36" s="3">
        <f t="shared" ref="K36:K81" si="20">IF(G36="x",0,INDEX($C$16:$C$21,MATCH(G36,$B$16:$B$21,0))*I36)</f>
        <v>1</v>
      </c>
      <c r="L36" s="3">
        <f t="shared" ref="L36:L81" si="21">IF(H36="x",0,INDEX($C$16:$C$21,MATCH(H36,$B$16:$B$21,0))*J36)</f>
        <v>1</v>
      </c>
      <c r="M36" s="3">
        <f t="shared" ref="M36:M81" si="22">K36+L36</f>
        <v>2</v>
      </c>
      <c r="N36" s="3">
        <f>SUM($M$33:M36)</f>
        <v>6</v>
      </c>
      <c r="O36" s="3">
        <f t="shared" ref="O36:O81" si="23">N36-$O$32</f>
        <v>2</v>
      </c>
      <c r="P36" s="3">
        <f t="shared" ref="P36:P81" si="24">M36*COS((F36-1)*$L$32)</f>
        <v>1.7320508075688774</v>
      </c>
      <c r="Q36" s="3">
        <f t="shared" ref="Q36:Q81" si="25">M36*SIN((F36-1)*$L$32)</f>
        <v>0.99999999999999989</v>
      </c>
      <c r="R36" s="3">
        <f t="shared" ref="R36:R81" si="26">IF($P$28="Igen",SIN((360/$H$30*F36/2*$J$30+$P$31)*PI()/180)*$N$31,0)</f>
        <v>2.7997120975197176</v>
      </c>
      <c r="S36" s="3">
        <f t="shared" ref="S36:S81" si="27">IF(G36="A",I36,IF(G36="A'",-1*I36,0))</f>
        <v>1</v>
      </c>
      <c r="T36" s="3">
        <f t="shared" ref="T36:T81" si="28">IF(H36="A",J36,IF(H36="A'",-1*J36,0))</f>
        <v>1</v>
      </c>
      <c r="U36" s="3">
        <f t="shared" ref="U36:U81" si="29">IF(G36="B",I36,IF(G36="B'",-1*I36,0))</f>
        <v>0</v>
      </c>
      <c r="V36" s="3">
        <f t="shared" ref="V36:V81" si="30">IF(H36="B",J36,IF(H36="B'",-1*J36,0))</f>
        <v>0</v>
      </c>
      <c r="W36" s="3">
        <f t="shared" ref="W36:W81" si="31">IF(G36="C",I36,IF(G36="C'",-1*I36,0))</f>
        <v>0</v>
      </c>
      <c r="X36" s="3">
        <f t="shared" ref="X36:X81" si="32">IF(H36="C",J36,IF(H36="C'",-1*J36,0))</f>
        <v>0</v>
      </c>
      <c r="Y36" s="3">
        <f t="shared" ref="Y36:Y81" si="33">S36+T36</f>
        <v>2</v>
      </c>
      <c r="Z36" s="3">
        <f t="shared" ref="Z36:Z81" si="34">U36+V36</f>
        <v>0</v>
      </c>
      <c r="AA36" s="3">
        <f t="shared" ref="AA36:AA81" si="35">W36+X36</f>
        <v>0</v>
      </c>
      <c r="AB36" s="65">
        <f t="shared" ref="AB36:AB81" si="36">Y36*COS(($F36-1)*$L$32)</f>
        <v>1.7320508075688774</v>
      </c>
      <c r="AC36" s="3">
        <f t="shared" ref="AC36:AC81" si="37">Y36*SIN(($F36-1)*$L$32)</f>
        <v>0.99999999999999989</v>
      </c>
      <c r="AD36" s="65">
        <f t="shared" ref="AD36:AD81" si="38">Z36*COS(($F36-1)*$L$32)</f>
        <v>0</v>
      </c>
      <c r="AE36" s="3">
        <f t="shared" ref="AE36:AE81" si="39">Z36*SIN(($F36-1)*$L$32)</f>
        <v>0</v>
      </c>
      <c r="AF36" s="65">
        <f t="shared" ref="AF36:AF81" si="40">AA36*COS(($F36-1)*$L$32)</f>
        <v>0</v>
      </c>
      <c r="AG36" s="3">
        <f t="shared" ref="AG36:AG81" si="41">AA36*SIN(($F36-1)*$L$32)</f>
        <v>0</v>
      </c>
      <c r="AH36" s="3">
        <f t="shared" ref="AH36:AH81" si="42">ABS(S36)+ABS(T36)</f>
        <v>2</v>
      </c>
      <c r="AI36" s="3">
        <f t="shared" ref="AI36:AI81" si="43">ABS(U36)+ABS(V36)</f>
        <v>0</v>
      </c>
      <c r="AJ36" s="3">
        <f t="shared" ref="AJ36:AJ81" si="44">ABS(W36)+ABS(X36)</f>
        <v>0</v>
      </c>
      <c r="AK36" s="3">
        <f t="shared" ref="AK36:AK81" si="45">O36^2</f>
        <v>4</v>
      </c>
      <c r="AL36" s="4">
        <f t="shared" ref="AL36:AL81" si="46">IF(G36=H36,1,2)</f>
        <v>1</v>
      </c>
      <c r="AM36" s="4">
        <f t="shared" ref="AM36:AM81" si="47">Y36*COS((F36-1)*$AR$26)</f>
        <v>1.7320508075688774</v>
      </c>
      <c r="AN36" s="4">
        <f t="shared" ref="AN36:AN81" si="48">Y36*SIN((F36-1)*$AR$26)</f>
        <v>0.99999999999999989</v>
      </c>
      <c r="AO36" s="4">
        <f t="shared" ref="AO36:AO81" si="49">Z36*COS((F36-1)*$AR$26)</f>
        <v>0</v>
      </c>
      <c r="AP36" s="3">
        <f t="shared" ref="AP36:AP81" si="50">Z36*SIN((F36-1)*$AR$26)</f>
        <v>0</v>
      </c>
      <c r="AQ36" s="3">
        <f t="shared" ref="AQ36:AQ81" si="51">AA36*COS((F36-1)*$AR$26)</f>
        <v>0</v>
      </c>
      <c r="AR36" s="3">
        <f t="shared" ref="AR36:AR81" si="52">AA36*SIN((F36-1)*$AR$26)</f>
        <v>0</v>
      </c>
      <c r="AS36" s="3">
        <f t="shared" ref="AS36:AS81" si="53">M36*COS((F36-1)*$AR$26)</f>
        <v>1.7320508075688774</v>
      </c>
      <c r="AT36" s="65">
        <f t="shared" ref="AT36:AT81" si="54">M36*SIN((F36-1)*$AR$26)</f>
        <v>0.99999999999999989</v>
      </c>
      <c r="AU36" s="65"/>
      <c r="AV36" s="3">
        <f t="shared" si="19"/>
        <v>0</v>
      </c>
      <c r="AW36" s="3">
        <f t="shared" si="16"/>
        <v>1</v>
      </c>
      <c r="AX36" s="3">
        <f t="shared" si="17"/>
        <v>1</v>
      </c>
      <c r="AY36" s="65"/>
      <c r="AZ36" s="90" t="str">
        <f t="shared" si="8"/>
        <v>31.h</v>
      </c>
      <c r="BA36" s="221">
        <v>31</v>
      </c>
      <c r="BB36" s="222"/>
      <c r="BC36" s="223"/>
      <c r="BD36" s="223"/>
      <c r="BE36" s="224"/>
      <c r="BF36" s="223"/>
      <c r="BG36" s="223"/>
      <c r="BH36" s="223"/>
      <c r="BI36" s="223"/>
      <c r="BJ36" s="223"/>
      <c r="BK36" s="223"/>
      <c r="BL36" s="223"/>
      <c r="BM36" s="223"/>
      <c r="BN36" s="223"/>
      <c r="BO36" s="223"/>
      <c r="BP36" s="223"/>
      <c r="BQ36" s="223"/>
      <c r="BR36" s="223"/>
      <c r="BS36" s="223"/>
      <c r="BT36" s="223"/>
      <c r="BU36" s="223"/>
      <c r="BV36" s="223"/>
      <c r="BW36" s="223"/>
      <c r="BX36" s="223"/>
      <c r="BY36" s="223"/>
      <c r="BZ36" s="223"/>
      <c r="CA36" s="223"/>
      <c r="CB36" s="223"/>
      <c r="CC36" s="223"/>
      <c r="CD36" s="223"/>
      <c r="CE36" s="223"/>
      <c r="CF36" s="223"/>
      <c r="CG36" s="223"/>
      <c r="CH36" s="223"/>
      <c r="CI36" s="223"/>
      <c r="CJ36" s="223"/>
      <c r="CK36" s="223"/>
      <c r="CL36" s="223"/>
      <c r="CM36" s="223"/>
      <c r="CN36" s="223"/>
      <c r="CO36" s="223"/>
      <c r="CP36" s="223"/>
      <c r="CQ36" s="223"/>
      <c r="CR36" s="223"/>
      <c r="CS36" s="223"/>
      <c r="CT36" s="223"/>
      <c r="CU36" s="223"/>
      <c r="CV36" s="223"/>
      <c r="CW36" s="223"/>
      <c r="CX36" s="223"/>
      <c r="CY36" s="223"/>
      <c r="CZ36" s="223"/>
      <c r="DA36" s="223"/>
      <c r="DB36" s="223"/>
      <c r="DC36" s="223"/>
      <c r="DD36" s="223"/>
      <c r="DE36" s="223"/>
      <c r="DF36" s="223"/>
      <c r="DG36" s="223"/>
      <c r="DH36" s="223"/>
      <c r="DI36" s="223"/>
      <c r="DJ36" s="223"/>
      <c r="DK36" s="223"/>
      <c r="DL36" s="223"/>
      <c r="DM36" s="223"/>
      <c r="DN36" s="223"/>
      <c r="DO36" s="223"/>
      <c r="DP36" s="223"/>
      <c r="DQ36" s="223"/>
      <c r="DR36" s="223"/>
      <c r="DS36" s="223"/>
      <c r="DT36" s="223"/>
      <c r="DU36" s="223"/>
      <c r="DV36" s="223"/>
      <c r="DW36" s="223"/>
      <c r="DX36" s="223"/>
      <c r="DY36" s="223"/>
      <c r="DZ36" s="48" t="s">
        <v>582</v>
      </c>
    </row>
    <row r="37" spans="1:130" x14ac:dyDescent="0.2">
      <c r="A37" s="2"/>
      <c r="B37" s="2" t="s">
        <v>41</v>
      </c>
      <c r="C37" s="3" t="s">
        <v>41</v>
      </c>
      <c r="D37" s="3" t="str">
        <f t="shared" si="14"/>
        <v>A</v>
      </c>
      <c r="E37" s="3" t="str">
        <f t="shared" si="15"/>
        <v>A</v>
      </c>
      <c r="F37" s="3">
        <v>4</v>
      </c>
      <c r="G37" s="57" t="s">
        <v>41</v>
      </c>
      <c r="H37" s="57" t="s">
        <v>41</v>
      </c>
      <c r="I37" s="57">
        <v>1</v>
      </c>
      <c r="J37" s="57">
        <v>1</v>
      </c>
      <c r="K37" s="3">
        <f t="shared" si="20"/>
        <v>1</v>
      </c>
      <c r="L37" s="3">
        <f t="shared" si="21"/>
        <v>1</v>
      </c>
      <c r="M37" s="3">
        <f t="shared" si="22"/>
        <v>2</v>
      </c>
      <c r="N37" s="3">
        <f>SUM($M$33:M37)</f>
        <v>8</v>
      </c>
      <c r="O37" s="3">
        <f t="shared" si="23"/>
        <v>4</v>
      </c>
      <c r="P37" s="3">
        <f t="shared" si="24"/>
        <v>1.4142135623730951</v>
      </c>
      <c r="Q37" s="3">
        <f t="shared" si="25"/>
        <v>1.4142135623730949</v>
      </c>
      <c r="R37" s="3">
        <f t="shared" si="26"/>
        <v>4.4536987837850921</v>
      </c>
      <c r="S37" s="3">
        <f t="shared" si="27"/>
        <v>1</v>
      </c>
      <c r="T37" s="3">
        <f t="shared" si="28"/>
        <v>1</v>
      </c>
      <c r="U37" s="3">
        <f t="shared" si="29"/>
        <v>0</v>
      </c>
      <c r="V37" s="3">
        <f t="shared" si="30"/>
        <v>0</v>
      </c>
      <c r="W37" s="3">
        <f t="shared" si="31"/>
        <v>0</v>
      </c>
      <c r="X37" s="3">
        <f t="shared" si="32"/>
        <v>0</v>
      </c>
      <c r="Y37" s="3">
        <f t="shared" si="33"/>
        <v>2</v>
      </c>
      <c r="Z37" s="3">
        <f t="shared" si="34"/>
        <v>0</v>
      </c>
      <c r="AA37" s="3">
        <f t="shared" si="35"/>
        <v>0</v>
      </c>
      <c r="AB37" s="65">
        <f t="shared" si="36"/>
        <v>1.4142135623730951</v>
      </c>
      <c r="AC37" s="3">
        <f t="shared" si="37"/>
        <v>1.4142135623730949</v>
      </c>
      <c r="AD37" s="65">
        <f t="shared" si="38"/>
        <v>0</v>
      </c>
      <c r="AE37" s="3">
        <f t="shared" si="39"/>
        <v>0</v>
      </c>
      <c r="AF37" s="65">
        <f t="shared" si="40"/>
        <v>0</v>
      </c>
      <c r="AG37" s="3">
        <f t="shared" si="41"/>
        <v>0</v>
      </c>
      <c r="AH37" s="3">
        <f t="shared" si="42"/>
        <v>2</v>
      </c>
      <c r="AI37" s="3">
        <f t="shared" si="43"/>
        <v>0</v>
      </c>
      <c r="AJ37" s="3">
        <f t="shared" si="44"/>
        <v>0</v>
      </c>
      <c r="AK37" s="3">
        <f t="shared" si="45"/>
        <v>16</v>
      </c>
      <c r="AL37" s="4">
        <f t="shared" si="46"/>
        <v>1</v>
      </c>
      <c r="AM37" s="4">
        <f t="shared" si="47"/>
        <v>1.4142135623730951</v>
      </c>
      <c r="AN37" s="4">
        <f t="shared" si="48"/>
        <v>1.4142135623730949</v>
      </c>
      <c r="AO37" s="4">
        <f t="shared" si="49"/>
        <v>0</v>
      </c>
      <c r="AP37" s="3">
        <f t="shared" si="50"/>
        <v>0</v>
      </c>
      <c r="AQ37" s="3">
        <f t="shared" si="51"/>
        <v>0</v>
      </c>
      <c r="AR37" s="3">
        <f t="shared" si="52"/>
        <v>0</v>
      </c>
      <c r="AS37" s="3">
        <f t="shared" si="53"/>
        <v>1.4142135623730951</v>
      </c>
      <c r="AT37" s="65">
        <f t="shared" si="54"/>
        <v>1.4142135623730949</v>
      </c>
      <c r="AU37" s="65"/>
      <c r="AV37" s="3">
        <f t="shared" si="19"/>
        <v>0</v>
      </c>
      <c r="AW37" s="3">
        <f t="shared" si="16"/>
        <v>1</v>
      </c>
      <c r="AX37" s="3">
        <f t="shared" si="17"/>
        <v>1</v>
      </c>
      <c r="AY37" s="65"/>
      <c r="AZ37" s="90" t="str">
        <f t="shared" si="8"/>
        <v>32.h</v>
      </c>
      <c r="BA37" s="226">
        <v>32</v>
      </c>
      <c r="BB37" s="227"/>
      <c r="BC37" s="228"/>
      <c r="BD37" s="228"/>
      <c r="BE37" s="229"/>
      <c r="BF37" s="223"/>
      <c r="BG37" s="223"/>
      <c r="BH37" s="223"/>
      <c r="BI37" s="223"/>
      <c r="BJ37" s="223"/>
      <c r="BK37" s="223"/>
      <c r="BL37" s="223"/>
      <c r="BM37" s="223"/>
      <c r="BN37" s="223"/>
      <c r="BO37" s="223"/>
      <c r="BP37" s="223"/>
      <c r="BQ37" s="223"/>
      <c r="BR37" s="223"/>
      <c r="BS37" s="223"/>
      <c r="BT37" s="223"/>
      <c r="BU37" s="223"/>
      <c r="BV37" s="223"/>
      <c r="BW37" s="223"/>
      <c r="BX37" s="223"/>
      <c r="BY37" s="223"/>
      <c r="BZ37" s="223"/>
      <c r="CA37" s="223"/>
      <c r="CB37" s="223"/>
      <c r="CC37" s="223"/>
      <c r="CD37" s="223"/>
      <c r="CE37" s="223"/>
      <c r="CF37" s="223"/>
      <c r="CG37" s="223"/>
      <c r="CH37" s="223"/>
      <c r="CI37" s="223"/>
      <c r="CJ37" s="223"/>
      <c r="CK37" s="223"/>
      <c r="CL37" s="223"/>
      <c r="CM37" s="223"/>
      <c r="CN37" s="223"/>
      <c r="CO37" s="223"/>
      <c r="CP37" s="223"/>
      <c r="CQ37" s="223"/>
      <c r="CR37" s="223"/>
      <c r="CS37" s="223"/>
      <c r="CT37" s="223"/>
      <c r="CU37" s="223"/>
      <c r="CV37" s="223"/>
      <c r="CW37" s="223"/>
      <c r="CX37" s="223"/>
      <c r="CY37" s="223"/>
      <c r="CZ37" s="223"/>
      <c r="DA37" s="223"/>
      <c r="DB37" s="223"/>
      <c r="DC37" s="223"/>
      <c r="DD37" s="223"/>
      <c r="DE37" s="223"/>
      <c r="DF37" s="223"/>
      <c r="DG37" s="223"/>
      <c r="DH37" s="223"/>
      <c r="DI37" s="223"/>
      <c r="DJ37" s="223"/>
      <c r="DK37" s="223"/>
      <c r="DL37" s="223"/>
      <c r="DM37" s="223"/>
      <c r="DN37" s="223"/>
      <c r="DO37" s="223"/>
      <c r="DP37" s="223"/>
      <c r="DQ37" s="223"/>
      <c r="DR37" s="223"/>
      <c r="DS37" s="223"/>
      <c r="DT37" s="223"/>
      <c r="DU37" s="223"/>
      <c r="DV37" s="223"/>
      <c r="DW37" s="223"/>
      <c r="DX37" s="223"/>
      <c r="DY37" s="223"/>
      <c r="DZ37" s="51" t="s">
        <v>582</v>
      </c>
    </row>
    <row r="38" spans="1:130" x14ac:dyDescent="0.2">
      <c r="A38" s="2"/>
      <c r="B38" s="2" t="s">
        <v>120</v>
      </c>
      <c r="C38" s="3" t="s">
        <v>120</v>
      </c>
      <c r="D38" s="3" t="str">
        <f t="shared" si="14"/>
        <v>C'</v>
      </c>
      <c r="E38" s="3" t="str">
        <f t="shared" si="15"/>
        <v>C'</v>
      </c>
      <c r="F38" s="3">
        <v>5</v>
      </c>
      <c r="G38" s="57" t="s">
        <v>120</v>
      </c>
      <c r="H38" s="57" t="s">
        <v>120</v>
      </c>
      <c r="I38" s="57">
        <v>1</v>
      </c>
      <c r="J38" s="57">
        <v>1</v>
      </c>
      <c r="K38" s="3">
        <f t="shared" si="20"/>
        <v>0.49999999999999978</v>
      </c>
      <c r="L38" s="3">
        <f t="shared" si="21"/>
        <v>0.49999999999999978</v>
      </c>
      <c r="M38" s="3">
        <f t="shared" si="22"/>
        <v>0.99999999999999956</v>
      </c>
      <c r="N38" s="3">
        <f>SUM($M$33:M38)</f>
        <v>9</v>
      </c>
      <c r="O38" s="3">
        <f t="shared" si="23"/>
        <v>5</v>
      </c>
      <c r="P38" s="3">
        <f t="shared" si="24"/>
        <v>0.49999999999999989</v>
      </c>
      <c r="Q38" s="3">
        <f t="shared" si="25"/>
        <v>0.86602540378443826</v>
      </c>
      <c r="R38" s="3">
        <f t="shared" si="26"/>
        <v>5.804173258020751</v>
      </c>
      <c r="S38" s="3">
        <f t="shared" si="27"/>
        <v>0</v>
      </c>
      <c r="T38" s="3">
        <f t="shared" si="28"/>
        <v>0</v>
      </c>
      <c r="U38" s="3">
        <f t="shared" si="29"/>
        <v>0</v>
      </c>
      <c r="V38" s="3">
        <f t="shared" si="30"/>
        <v>0</v>
      </c>
      <c r="W38" s="3">
        <f t="shared" si="31"/>
        <v>-1</v>
      </c>
      <c r="X38" s="3">
        <f t="shared" si="32"/>
        <v>-1</v>
      </c>
      <c r="Y38" s="3">
        <f t="shared" si="33"/>
        <v>0</v>
      </c>
      <c r="Z38" s="3">
        <f t="shared" si="34"/>
        <v>0</v>
      </c>
      <c r="AA38" s="3">
        <f t="shared" si="35"/>
        <v>-2</v>
      </c>
      <c r="AB38" s="65">
        <f t="shared" si="36"/>
        <v>0</v>
      </c>
      <c r="AC38" s="3">
        <f t="shared" si="37"/>
        <v>0</v>
      </c>
      <c r="AD38" s="65">
        <f t="shared" si="38"/>
        <v>0</v>
      </c>
      <c r="AE38" s="3">
        <f t="shared" si="39"/>
        <v>0</v>
      </c>
      <c r="AF38" s="65">
        <f t="shared" si="40"/>
        <v>-1.0000000000000002</v>
      </c>
      <c r="AG38" s="3">
        <f t="shared" si="41"/>
        <v>-1.7320508075688772</v>
      </c>
      <c r="AH38" s="3">
        <f t="shared" si="42"/>
        <v>0</v>
      </c>
      <c r="AI38" s="3">
        <f t="shared" si="43"/>
        <v>0</v>
      </c>
      <c r="AJ38" s="3">
        <f t="shared" si="44"/>
        <v>2</v>
      </c>
      <c r="AK38" s="3">
        <f t="shared" si="45"/>
        <v>25</v>
      </c>
      <c r="AL38" s="4">
        <f t="shared" si="46"/>
        <v>1</v>
      </c>
      <c r="AM38" s="4">
        <f t="shared" si="47"/>
        <v>0</v>
      </c>
      <c r="AN38" s="4">
        <f t="shared" si="48"/>
        <v>0</v>
      </c>
      <c r="AO38" s="4">
        <f t="shared" si="49"/>
        <v>0</v>
      </c>
      <c r="AP38" s="3">
        <f t="shared" si="50"/>
        <v>0</v>
      </c>
      <c r="AQ38" s="3">
        <f t="shared" si="51"/>
        <v>-1.0000000000000002</v>
      </c>
      <c r="AR38" s="3">
        <f t="shared" si="52"/>
        <v>-1.7320508075688772</v>
      </c>
      <c r="AS38" s="3">
        <f t="shared" si="53"/>
        <v>0.49999999999999989</v>
      </c>
      <c r="AT38" s="65">
        <f t="shared" si="54"/>
        <v>0.86602540378443826</v>
      </c>
      <c r="AU38" s="65"/>
      <c r="AV38" s="3">
        <f t="shared" si="19"/>
        <v>1</v>
      </c>
      <c r="AW38" s="3">
        <f t="shared" si="16"/>
        <v>1</v>
      </c>
      <c r="AX38" s="3">
        <f t="shared" si="17"/>
        <v>1</v>
      </c>
      <c r="AY38" s="65"/>
      <c r="AZ38" s="90" t="str">
        <f t="shared" ref="AZ38:AZ55" si="55">INDEX($BB$6:$BB$205,4*BA38-3)</f>
        <v>33.h</v>
      </c>
      <c r="BA38" s="217">
        <v>33</v>
      </c>
      <c r="BB38" s="218" t="s">
        <v>844</v>
      </c>
      <c r="BC38" s="219">
        <v>36</v>
      </c>
      <c r="BD38" s="219">
        <v>16</v>
      </c>
      <c r="BE38" s="220">
        <v>2</v>
      </c>
      <c r="BF38" s="219" t="s">
        <v>41</v>
      </c>
      <c r="BG38" s="219" t="s">
        <v>117</v>
      </c>
      <c r="BH38" s="219" t="s">
        <v>116</v>
      </c>
      <c r="BI38" s="219" t="s">
        <v>46</v>
      </c>
      <c r="BJ38" s="219" t="s">
        <v>41</v>
      </c>
      <c r="BK38" s="219" t="s">
        <v>117</v>
      </c>
      <c r="BL38" s="219" t="s">
        <v>116</v>
      </c>
      <c r="BM38" s="219" t="s">
        <v>46</v>
      </c>
      <c r="BN38" s="219" t="s">
        <v>120</v>
      </c>
      <c r="BO38" s="219" t="s">
        <v>41</v>
      </c>
      <c r="BP38" s="219" t="s">
        <v>65</v>
      </c>
      <c r="BQ38" s="219" t="s">
        <v>116</v>
      </c>
      <c r="BR38" s="219" t="s">
        <v>46</v>
      </c>
      <c r="BS38" s="219" t="s">
        <v>120</v>
      </c>
      <c r="BT38" s="219" t="s">
        <v>117</v>
      </c>
      <c r="BU38" s="219" t="s">
        <v>65</v>
      </c>
      <c r="BV38" s="219" t="s">
        <v>46</v>
      </c>
      <c r="BW38" s="219" t="s">
        <v>120</v>
      </c>
      <c r="BX38" s="219" t="s">
        <v>117</v>
      </c>
      <c r="BY38" s="219" t="s">
        <v>65</v>
      </c>
      <c r="BZ38" s="219" t="s">
        <v>116</v>
      </c>
      <c r="CA38" s="219" t="s">
        <v>46</v>
      </c>
      <c r="CB38" s="219" t="s">
        <v>41</v>
      </c>
      <c r="CC38" s="219" t="s">
        <v>117</v>
      </c>
      <c r="CD38" s="219" t="s">
        <v>65</v>
      </c>
      <c r="CE38" s="219" t="s">
        <v>116</v>
      </c>
      <c r="CF38" s="219" t="s">
        <v>120</v>
      </c>
      <c r="CG38" s="219" t="s">
        <v>41</v>
      </c>
      <c r="CH38" s="219" t="s">
        <v>65</v>
      </c>
      <c r="CI38" s="219" t="s">
        <v>116</v>
      </c>
      <c r="CJ38" s="219" t="s">
        <v>120</v>
      </c>
      <c r="CK38" s="219" t="s">
        <v>41</v>
      </c>
      <c r="CL38" s="219" t="s">
        <v>117</v>
      </c>
      <c r="CM38" s="219" t="s">
        <v>65</v>
      </c>
      <c r="CN38" s="219" t="s">
        <v>46</v>
      </c>
      <c r="CO38" s="219" t="s">
        <v>120</v>
      </c>
      <c r="CP38" s="219"/>
      <c r="CQ38" s="219"/>
      <c r="CR38" s="219"/>
      <c r="CS38" s="219"/>
      <c r="CT38" s="219"/>
      <c r="CU38" s="219"/>
      <c r="CV38" s="219"/>
      <c r="CW38" s="219"/>
      <c r="CX38" s="219"/>
      <c r="CY38" s="219"/>
      <c r="CZ38" s="219"/>
      <c r="DA38" s="219"/>
      <c r="DB38" s="219"/>
      <c r="DC38" s="219"/>
      <c r="DD38" s="219"/>
      <c r="DE38" s="219"/>
      <c r="DF38" s="219"/>
      <c r="DG38" s="219"/>
      <c r="DH38" s="219"/>
      <c r="DI38" s="219"/>
      <c r="DJ38" s="219"/>
      <c r="DK38" s="219"/>
      <c r="DL38" s="219"/>
      <c r="DM38" s="219"/>
      <c r="DN38" s="219"/>
      <c r="DO38" s="219"/>
      <c r="DP38" s="219"/>
      <c r="DQ38" s="219"/>
      <c r="DR38" s="219"/>
      <c r="DS38" s="219"/>
      <c r="DT38" s="219"/>
      <c r="DU38" s="219"/>
      <c r="DV38" s="219"/>
      <c r="DW38" s="219"/>
      <c r="DX38" s="219"/>
      <c r="DY38" s="219"/>
      <c r="DZ38" s="45" t="s">
        <v>582</v>
      </c>
    </row>
    <row r="39" spans="1:130" x14ac:dyDescent="0.2">
      <c r="A39" s="2"/>
      <c r="B39" s="2" t="s">
        <v>120</v>
      </c>
      <c r="C39" s="3" t="s">
        <v>120</v>
      </c>
      <c r="D39" s="3" t="str">
        <f t="shared" si="14"/>
        <v>C'</v>
      </c>
      <c r="E39" s="3" t="str">
        <f t="shared" si="15"/>
        <v>C'</v>
      </c>
      <c r="F39" s="3">
        <v>6</v>
      </c>
      <c r="G39" s="57" t="s">
        <v>120</v>
      </c>
      <c r="H39" s="57" t="s">
        <v>120</v>
      </c>
      <c r="I39" s="57">
        <v>1</v>
      </c>
      <c r="J39" s="57">
        <v>1</v>
      </c>
      <c r="K39" s="3">
        <f t="shared" si="20"/>
        <v>0.49999999999999978</v>
      </c>
      <c r="L39" s="3">
        <f t="shared" si="21"/>
        <v>0.49999999999999978</v>
      </c>
      <c r="M39" s="3">
        <f t="shared" si="22"/>
        <v>0.99999999999999956</v>
      </c>
      <c r="N39" s="3">
        <f>SUM($M$33:M39)</f>
        <v>10</v>
      </c>
      <c r="O39" s="3">
        <f t="shared" si="23"/>
        <v>6</v>
      </c>
      <c r="P39" s="3">
        <f t="shared" si="24"/>
        <v>0.25881904510252085</v>
      </c>
      <c r="Q39" s="3">
        <f t="shared" si="25"/>
        <v>0.96592582628906776</v>
      </c>
      <c r="R39" s="3">
        <f t="shared" si="26"/>
        <v>6.7591029165721217</v>
      </c>
      <c r="S39" s="3">
        <f t="shared" si="27"/>
        <v>0</v>
      </c>
      <c r="T39" s="3">
        <f t="shared" si="28"/>
        <v>0</v>
      </c>
      <c r="U39" s="3">
        <f t="shared" si="29"/>
        <v>0</v>
      </c>
      <c r="V39" s="3">
        <f t="shared" si="30"/>
        <v>0</v>
      </c>
      <c r="W39" s="3">
        <f t="shared" si="31"/>
        <v>-1</v>
      </c>
      <c r="X39" s="3">
        <f t="shared" si="32"/>
        <v>-1</v>
      </c>
      <c r="Y39" s="3">
        <f t="shared" si="33"/>
        <v>0</v>
      </c>
      <c r="Z39" s="3">
        <f t="shared" si="34"/>
        <v>0</v>
      </c>
      <c r="AA39" s="3">
        <f t="shared" si="35"/>
        <v>-2</v>
      </c>
      <c r="AB39" s="65">
        <f t="shared" si="36"/>
        <v>0</v>
      </c>
      <c r="AC39" s="3">
        <f t="shared" si="37"/>
        <v>0</v>
      </c>
      <c r="AD39" s="65">
        <f t="shared" si="38"/>
        <v>0</v>
      </c>
      <c r="AE39" s="3">
        <f t="shared" si="39"/>
        <v>0</v>
      </c>
      <c r="AF39" s="65">
        <f t="shared" si="40"/>
        <v>-0.51763809020504192</v>
      </c>
      <c r="AG39" s="3">
        <f t="shared" si="41"/>
        <v>-1.9318516525781364</v>
      </c>
      <c r="AH39" s="3">
        <f t="shared" si="42"/>
        <v>0</v>
      </c>
      <c r="AI39" s="3">
        <f t="shared" si="43"/>
        <v>0</v>
      </c>
      <c r="AJ39" s="3">
        <f t="shared" si="44"/>
        <v>2</v>
      </c>
      <c r="AK39" s="3">
        <f t="shared" si="45"/>
        <v>36</v>
      </c>
      <c r="AL39" s="4">
        <f t="shared" si="46"/>
        <v>1</v>
      </c>
      <c r="AM39" s="4">
        <f t="shared" si="47"/>
        <v>0</v>
      </c>
      <c r="AN39" s="4">
        <f t="shared" si="48"/>
        <v>0</v>
      </c>
      <c r="AO39" s="4">
        <f t="shared" si="49"/>
        <v>0</v>
      </c>
      <c r="AP39" s="3">
        <f t="shared" si="50"/>
        <v>0</v>
      </c>
      <c r="AQ39" s="3">
        <f t="shared" si="51"/>
        <v>-0.51763809020504192</v>
      </c>
      <c r="AR39" s="3">
        <f t="shared" si="52"/>
        <v>-1.9318516525781364</v>
      </c>
      <c r="AS39" s="3">
        <f t="shared" si="53"/>
        <v>0.25881904510252085</v>
      </c>
      <c r="AT39" s="65">
        <f t="shared" si="54"/>
        <v>0.96592582628906776</v>
      </c>
      <c r="AU39" s="65"/>
      <c r="AV39" s="3">
        <f t="shared" si="19"/>
        <v>0</v>
      </c>
      <c r="AW39" s="3">
        <f t="shared" si="16"/>
        <v>1</v>
      </c>
      <c r="AX39" s="3">
        <f t="shared" si="17"/>
        <v>1</v>
      </c>
      <c r="AY39" s="65"/>
      <c r="AZ39" s="90" t="str">
        <f t="shared" si="55"/>
        <v>34.h</v>
      </c>
      <c r="BA39" s="221">
        <v>34</v>
      </c>
      <c r="BB39" s="222" t="s">
        <v>845</v>
      </c>
      <c r="BC39" s="223"/>
      <c r="BD39" s="223"/>
      <c r="BE39" s="224"/>
      <c r="BF39" s="223" t="s">
        <v>41</v>
      </c>
      <c r="BG39" s="223" t="s">
        <v>117</v>
      </c>
      <c r="BH39" s="223" t="s">
        <v>116</v>
      </c>
      <c r="BI39" s="223" t="s">
        <v>46</v>
      </c>
      <c r="BJ39" s="223" t="s">
        <v>41</v>
      </c>
      <c r="BK39" s="223" t="s">
        <v>117</v>
      </c>
      <c r="BL39" s="223" t="s">
        <v>116</v>
      </c>
      <c r="BM39" s="223" t="s">
        <v>46</v>
      </c>
      <c r="BN39" s="223" t="s">
        <v>120</v>
      </c>
      <c r="BO39" s="223" t="s">
        <v>41</v>
      </c>
      <c r="BP39" s="223" t="s">
        <v>65</v>
      </c>
      <c r="BQ39" s="223" t="s">
        <v>116</v>
      </c>
      <c r="BR39" s="223" t="s">
        <v>46</v>
      </c>
      <c r="BS39" s="223" t="s">
        <v>120</v>
      </c>
      <c r="BT39" s="223" t="s">
        <v>117</v>
      </c>
      <c r="BU39" s="223" t="s">
        <v>65</v>
      </c>
      <c r="BV39" s="223" t="s">
        <v>46</v>
      </c>
      <c r="BW39" s="223" t="s">
        <v>120</v>
      </c>
      <c r="BX39" s="223" t="s">
        <v>117</v>
      </c>
      <c r="BY39" s="223" t="s">
        <v>65</v>
      </c>
      <c r="BZ39" s="223" t="s">
        <v>116</v>
      </c>
      <c r="CA39" s="223" t="s">
        <v>46</v>
      </c>
      <c r="CB39" s="223" t="s">
        <v>41</v>
      </c>
      <c r="CC39" s="223" t="s">
        <v>117</v>
      </c>
      <c r="CD39" s="223" t="s">
        <v>65</v>
      </c>
      <c r="CE39" s="223" t="s">
        <v>116</v>
      </c>
      <c r="CF39" s="223" t="s">
        <v>120</v>
      </c>
      <c r="CG39" s="223" t="s">
        <v>41</v>
      </c>
      <c r="CH39" s="223" t="s">
        <v>65</v>
      </c>
      <c r="CI39" s="223" t="s">
        <v>116</v>
      </c>
      <c r="CJ39" s="223" t="s">
        <v>120</v>
      </c>
      <c r="CK39" s="223" t="s">
        <v>41</v>
      </c>
      <c r="CL39" s="223" t="s">
        <v>117</v>
      </c>
      <c r="CM39" s="223" t="s">
        <v>65</v>
      </c>
      <c r="CN39" s="223" t="s">
        <v>46</v>
      </c>
      <c r="CO39" s="223" t="s">
        <v>120</v>
      </c>
      <c r="CP39" s="223"/>
      <c r="CQ39" s="223"/>
      <c r="CR39" s="223"/>
      <c r="CS39" s="223"/>
      <c r="CT39" s="223"/>
      <c r="CU39" s="223"/>
      <c r="CV39" s="223"/>
      <c r="CW39" s="223"/>
      <c r="CX39" s="223"/>
      <c r="CY39" s="223"/>
      <c r="CZ39" s="223"/>
      <c r="DA39" s="223"/>
      <c r="DB39" s="223"/>
      <c r="DC39" s="223"/>
      <c r="DD39" s="223"/>
      <c r="DE39" s="223"/>
      <c r="DF39" s="223"/>
      <c r="DG39" s="223"/>
      <c r="DH39" s="223"/>
      <c r="DI39" s="223"/>
      <c r="DJ39" s="223"/>
      <c r="DK39" s="223"/>
      <c r="DL39" s="223"/>
      <c r="DM39" s="223"/>
      <c r="DN39" s="223"/>
      <c r="DO39" s="223"/>
      <c r="DP39" s="223"/>
      <c r="DQ39" s="223"/>
      <c r="DR39" s="223"/>
      <c r="DS39" s="223"/>
      <c r="DT39" s="223"/>
      <c r="DU39" s="223"/>
      <c r="DV39" s="223"/>
      <c r="DW39" s="223"/>
      <c r="DX39" s="223"/>
      <c r="DY39" s="223"/>
      <c r="DZ39" s="48" t="s">
        <v>582</v>
      </c>
    </row>
    <row r="40" spans="1:130" x14ac:dyDescent="0.2">
      <c r="A40" s="2"/>
      <c r="B40" s="2" t="s">
        <v>120</v>
      </c>
      <c r="C40" s="3" t="s">
        <v>120</v>
      </c>
      <c r="D40" s="3" t="str">
        <f t="shared" si="14"/>
        <v>C'</v>
      </c>
      <c r="E40" s="3" t="str">
        <f t="shared" si="15"/>
        <v>C'</v>
      </c>
      <c r="F40" s="3">
        <v>7</v>
      </c>
      <c r="G40" s="57" t="s">
        <v>120</v>
      </c>
      <c r="H40" s="57" t="s">
        <v>120</v>
      </c>
      <c r="I40" s="57">
        <v>1</v>
      </c>
      <c r="J40" s="57">
        <v>1</v>
      </c>
      <c r="K40" s="3">
        <f t="shared" si="20"/>
        <v>0.49999999999999978</v>
      </c>
      <c r="L40" s="3">
        <f t="shared" si="21"/>
        <v>0.49999999999999978</v>
      </c>
      <c r="M40" s="3">
        <f t="shared" si="22"/>
        <v>0.99999999999999956</v>
      </c>
      <c r="N40" s="3">
        <f>SUM($M$33:M40)</f>
        <v>11</v>
      </c>
      <c r="O40" s="3">
        <f t="shared" si="23"/>
        <v>7</v>
      </c>
      <c r="P40" s="3">
        <f t="shared" si="24"/>
        <v>6.1257422745430976E-17</v>
      </c>
      <c r="Q40" s="3">
        <f t="shared" si="25"/>
        <v>0.99999999999999956</v>
      </c>
      <c r="R40" s="3">
        <f t="shared" si="26"/>
        <v>7.2534108813048048</v>
      </c>
      <c r="S40" s="3">
        <f t="shared" si="27"/>
        <v>0</v>
      </c>
      <c r="T40" s="3">
        <f t="shared" si="28"/>
        <v>0</v>
      </c>
      <c r="U40" s="3">
        <f t="shared" si="29"/>
        <v>0</v>
      </c>
      <c r="V40" s="3">
        <f t="shared" si="30"/>
        <v>0</v>
      </c>
      <c r="W40" s="3">
        <f t="shared" si="31"/>
        <v>-1</v>
      </c>
      <c r="X40" s="3">
        <f t="shared" si="32"/>
        <v>-1</v>
      </c>
      <c r="Y40" s="3">
        <f t="shared" si="33"/>
        <v>0</v>
      </c>
      <c r="Z40" s="3">
        <f t="shared" si="34"/>
        <v>0</v>
      </c>
      <c r="AA40" s="3">
        <f t="shared" si="35"/>
        <v>-2</v>
      </c>
      <c r="AB40" s="65">
        <f t="shared" si="36"/>
        <v>0</v>
      </c>
      <c r="AC40" s="3">
        <f t="shared" si="37"/>
        <v>0</v>
      </c>
      <c r="AD40" s="65">
        <f t="shared" si="38"/>
        <v>0</v>
      </c>
      <c r="AE40" s="3">
        <f t="shared" si="39"/>
        <v>0</v>
      </c>
      <c r="AF40" s="65">
        <f t="shared" si="40"/>
        <v>-1.22514845490862E-16</v>
      </c>
      <c r="AG40" s="3">
        <f t="shared" si="41"/>
        <v>-2</v>
      </c>
      <c r="AH40" s="3">
        <f t="shared" si="42"/>
        <v>0</v>
      </c>
      <c r="AI40" s="3">
        <f t="shared" si="43"/>
        <v>0</v>
      </c>
      <c r="AJ40" s="3">
        <f t="shared" si="44"/>
        <v>2</v>
      </c>
      <c r="AK40" s="3">
        <f t="shared" si="45"/>
        <v>49</v>
      </c>
      <c r="AL40" s="4">
        <f t="shared" si="46"/>
        <v>1</v>
      </c>
      <c r="AM40" s="4">
        <f t="shared" si="47"/>
        <v>0</v>
      </c>
      <c r="AN40" s="4">
        <f t="shared" si="48"/>
        <v>0</v>
      </c>
      <c r="AO40" s="4">
        <f t="shared" si="49"/>
        <v>0</v>
      </c>
      <c r="AP40" s="3">
        <f t="shared" si="50"/>
        <v>0</v>
      </c>
      <c r="AQ40" s="3">
        <f t="shared" si="51"/>
        <v>-1.22514845490862E-16</v>
      </c>
      <c r="AR40" s="3">
        <f t="shared" si="52"/>
        <v>-2</v>
      </c>
      <c r="AS40" s="3">
        <f t="shared" si="53"/>
        <v>6.1257422745430976E-17</v>
      </c>
      <c r="AT40" s="65">
        <f t="shared" si="54"/>
        <v>0.99999999999999956</v>
      </c>
      <c r="AU40" s="65"/>
      <c r="AV40" s="3">
        <f t="shared" si="19"/>
        <v>0</v>
      </c>
      <c r="AW40" s="3">
        <f t="shared" si="16"/>
        <v>1</v>
      </c>
      <c r="AX40" s="3">
        <f t="shared" si="17"/>
        <v>1</v>
      </c>
      <c r="AY40" s="65"/>
      <c r="AZ40" s="90" t="str">
        <f t="shared" si="55"/>
        <v>35.h</v>
      </c>
      <c r="BA40" s="221">
        <v>35</v>
      </c>
      <c r="BB40" s="222"/>
      <c r="BC40" s="223"/>
      <c r="BD40" s="223"/>
      <c r="BE40" s="224"/>
      <c r="BF40" s="223"/>
      <c r="BG40" s="223"/>
      <c r="BH40" s="223"/>
      <c r="BI40" s="223"/>
      <c r="BJ40" s="223"/>
      <c r="BK40" s="223"/>
      <c r="BL40" s="223"/>
      <c r="BM40" s="223"/>
      <c r="BN40" s="223"/>
      <c r="BO40" s="223"/>
      <c r="BP40" s="223"/>
      <c r="BQ40" s="223"/>
      <c r="BR40" s="223"/>
      <c r="BS40" s="223"/>
      <c r="BT40" s="223"/>
      <c r="BU40" s="223"/>
      <c r="BV40" s="223"/>
      <c r="BW40" s="223"/>
      <c r="BX40" s="223"/>
      <c r="BY40" s="223"/>
      <c r="BZ40" s="223"/>
      <c r="CA40" s="223"/>
      <c r="CB40" s="223"/>
      <c r="CC40" s="223"/>
      <c r="CD40" s="223"/>
      <c r="CE40" s="223"/>
      <c r="CF40" s="223"/>
      <c r="CG40" s="223"/>
      <c r="CH40" s="223"/>
      <c r="CI40" s="223"/>
      <c r="CJ40" s="223"/>
      <c r="CK40" s="223"/>
      <c r="CL40" s="223"/>
      <c r="CM40" s="223"/>
      <c r="CN40" s="223"/>
      <c r="CO40" s="223"/>
      <c r="CP40" s="223"/>
      <c r="CQ40" s="223"/>
      <c r="CR40" s="223"/>
      <c r="CS40" s="223"/>
      <c r="CT40" s="223"/>
      <c r="CU40" s="223"/>
      <c r="CV40" s="223"/>
      <c r="CW40" s="223"/>
      <c r="CX40" s="223"/>
      <c r="CY40" s="223"/>
      <c r="CZ40" s="223"/>
      <c r="DA40" s="223"/>
      <c r="DB40" s="223"/>
      <c r="DC40" s="223"/>
      <c r="DD40" s="223"/>
      <c r="DE40" s="223"/>
      <c r="DF40" s="223"/>
      <c r="DG40" s="223"/>
      <c r="DH40" s="223"/>
      <c r="DI40" s="223"/>
      <c r="DJ40" s="223"/>
      <c r="DK40" s="223"/>
      <c r="DL40" s="223"/>
      <c r="DM40" s="223"/>
      <c r="DN40" s="223"/>
      <c r="DO40" s="223"/>
      <c r="DP40" s="223"/>
      <c r="DQ40" s="223"/>
      <c r="DR40" s="223"/>
      <c r="DS40" s="223"/>
      <c r="DT40" s="223"/>
      <c r="DU40" s="223"/>
      <c r="DV40" s="223"/>
      <c r="DW40" s="223"/>
      <c r="DX40" s="223"/>
      <c r="DY40" s="223"/>
      <c r="DZ40" s="48" t="s">
        <v>582</v>
      </c>
    </row>
    <row r="41" spans="1:130" x14ac:dyDescent="0.2">
      <c r="A41" s="2"/>
      <c r="B41" s="2" t="s">
        <v>120</v>
      </c>
      <c r="C41" s="3" t="s">
        <v>120</v>
      </c>
      <c r="D41" s="3" t="str">
        <f t="shared" si="14"/>
        <v>C'</v>
      </c>
      <c r="E41" s="3" t="str">
        <f t="shared" si="15"/>
        <v>C'</v>
      </c>
      <c r="F41" s="3">
        <v>8</v>
      </c>
      <c r="G41" s="57" t="s">
        <v>120</v>
      </c>
      <c r="H41" s="57" t="s">
        <v>120</v>
      </c>
      <c r="I41" s="57">
        <v>1</v>
      </c>
      <c r="J41" s="57">
        <v>1</v>
      </c>
      <c r="K41" s="3">
        <f t="shared" si="20"/>
        <v>0.49999999999999978</v>
      </c>
      <c r="L41" s="3">
        <f t="shared" si="21"/>
        <v>0.49999999999999978</v>
      </c>
      <c r="M41" s="3">
        <f t="shared" si="22"/>
        <v>0.99999999999999956</v>
      </c>
      <c r="N41" s="3">
        <f>SUM($M$33:M41)</f>
        <v>12</v>
      </c>
      <c r="O41" s="3">
        <f t="shared" si="23"/>
        <v>8</v>
      </c>
      <c r="P41" s="3">
        <f t="shared" si="24"/>
        <v>-0.25881904510252052</v>
      </c>
      <c r="Q41" s="3">
        <f t="shared" si="25"/>
        <v>0.96592582628906787</v>
      </c>
      <c r="R41" s="3">
        <f t="shared" si="26"/>
        <v>7.2534108813048039</v>
      </c>
      <c r="S41" s="3">
        <f t="shared" si="27"/>
        <v>0</v>
      </c>
      <c r="T41" s="3">
        <f t="shared" si="28"/>
        <v>0</v>
      </c>
      <c r="U41" s="3">
        <f t="shared" si="29"/>
        <v>0</v>
      </c>
      <c r="V41" s="3">
        <f t="shared" si="30"/>
        <v>0</v>
      </c>
      <c r="W41" s="3">
        <f t="shared" si="31"/>
        <v>-1</v>
      </c>
      <c r="X41" s="3">
        <f t="shared" si="32"/>
        <v>-1</v>
      </c>
      <c r="Y41" s="3">
        <f t="shared" si="33"/>
        <v>0</v>
      </c>
      <c r="Z41" s="3">
        <f t="shared" si="34"/>
        <v>0</v>
      </c>
      <c r="AA41" s="3">
        <f t="shared" si="35"/>
        <v>-2</v>
      </c>
      <c r="AB41" s="65">
        <f t="shared" si="36"/>
        <v>0</v>
      </c>
      <c r="AC41" s="3">
        <f t="shared" si="37"/>
        <v>0</v>
      </c>
      <c r="AD41" s="65">
        <f t="shared" si="38"/>
        <v>0</v>
      </c>
      <c r="AE41" s="3">
        <f t="shared" si="39"/>
        <v>0</v>
      </c>
      <c r="AF41" s="65">
        <f t="shared" si="40"/>
        <v>0.51763809020504126</v>
      </c>
      <c r="AG41" s="3">
        <f t="shared" si="41"/>
        <v>-1.9318516525781366</v>
      </c>
      <c r="AH41" s="3">
        <f t="shared" si="42"/>
        <v>0</v>
      </c>
      <c r="AI41" s="3">
        <f t="shared" si="43"/>
        <v>0</v>
      </c>
      <c r="AJ41" s="3">
        <f t="shared" si="44"/>
        <v>2</v>
      </c>
      <c r="AK41" s="3">
        <f t="shared" si="45"/>
        <v>64</v>
      </c>
      <c r="AL41" s="4">
        <f t="shared" si="46"/>
        <v>1</v>
      </c>
      <c r="AM41" s="4">
        <f t="shared" si="47"/>
        <v>0</v>
      </c>
      <c r="AN41" s="4">
        <f t="shared" si="48"/>
        <v>0</v>
      </c>
      <c r="AO41" s="4">
        <f t="shared" si="49"/>
        <v>0</v>
      </c>
      <c r="AP41" s="3">
        <f t="shared" si="50"/>
        <v>0</v>
      </c>
      <c r="AQ41" s="3">
        <f t="shared" si="51"/>
        <v>0.51763809020504126</v>
      </c>
      <c r="AR41" s="3">
        <f t="shared" si="52"/>
        <v>-1.9318516525781366</v>
      </c>
      <c r="AS41" s="3">
        <f t="shared" si="53"/>
        <v>-0.25881904510252052</v>
      </c>
      <c r="AT41" s="65">
        <f t="shared" si="54"/>
        <v>0.96592582628906787</v>
      </c>
      <c r="AU41" s="65"/>
      <c r="AV41" s="3">
        <f t="shared" si="19"/>
        <v>0</v>
      </c>
      <c r="AW41" s="3">
        <f t="shared" si="16"/>
        <v>1</v>
      </c>
      <c r="AX41" s="3">
        <f t="shared" si="17"/>
        <v>1</v>
      </c>
      <c r="AY41" s="65"/>
      <c r="AZ41" s="90" t="str">
        <f t="shared" si="55"/>
        <v>36.h</v>
      </c>
      <c r="BA41" s="226">
        <v>36</v>
      </c>
      <c r="BB41" s="227"/>
      <c r="BC41" s="228"/>
      <c r="BD41" s="228"/>
      <c r="BE41" s="229"/>
      <c r="BF41" s="223"/>
      <c r="BG41" s="223"/>
      <c r="BH41" s="223"/>
      <c r="BI41" s="223"/>
      <c r="BJ41" s="223"/>
      <c r="BK41" s="223"/>
      <c r="BL41" s="223"/>
      <c r="BM41" s="223"/>
      <c r="BN41" s="223"/>
      <c r="BO41" s="223"/>
      <c r="BP41" s="223"/>
      <c r="BQ41" s="223"/>
      <c r="BR41" s="223"/>
      <c r="BS41" s="223"/>
      <c r="BT41" s="223"/>
      <c r="BU41" s="223"/>
      <c r="BV41" s="223"/>
      <c r="BW41" s="223"/>
      <c r="BX41" s="223"/>
      <c r="BY41" s="223"/>
      <c r="BZ41" s="223"/>
      <c r="CA41" s="223"/>
      <c r="CB41" s="223"/>
      <c r="CC41" s="223"/>
      <c r="CD41" s="223"/>
      <c r="CE41" s="223"/>
      <c r="CF41" s="223"/>
      <c r="CG41" s="223"/>
      <c r="CH41" s="223"/>
      <c r="CI41" s="223"/>
      <c r="CJ41" s="223"/>
      <c r="CK41" s="223"/>
      <c r="CL41" s="223"/>
      <c r="CM41" s="223"/>
      <c r="CN41" s="223"/>
      <c r="CO41" s="223"/>
      <c r="CP41" s="223"/>
      <c r="CQ41" s="223"/>
      <c r="CR41" s="223"/>
      <c r="CS41" s="223"/>
      <c r="CT41" s="223"/>
      <c r="CU41" s="223"/>
      <c r="CV41" s="223"/>
      <c r="CW41" s="223"/>
      <c r="CX41" s="223"/>
      <c r="CY41" s="223"/>
      <c r="CZ41" s="223"/>
      <c r="DA41" s="223"/>
      <c r="DB41" s="223"/>
      <c r="DC41" s="223"/>
      <c r="DD41" s="223"/>
      <c r="DE41" s="223"/>
      <c r="DF41" s="223"/>
      <c r="DG41" s="223"/>
      <c r="DH41" s="223"/>
      <c r="DI41" s="223"/>
      <c r="DJ41" s="223"/>
      <c r="DK41" s="223"/>
      <c r="DL41" s="223"/>
      <c r="DM41" s="223"/>
      <c r="DN41" s="223"/>
      <c r="DO41" s="223"/>
      <c r="DP41" s="223"/>
      <c r="DQ41" s="223"/>
      <c r="DR41" s="223"/>
      <c r="DS41" s="223"/>
      <c r="DT41" s="223"/>
      <c r="DU41" s="223"/>
      <c r="DV41" s="223"/>
      <c r="DW41" s="223"/>
      <c r="DX41" s="223"/>
      <c r="DY41" s="223"/>
      <c r="DZ41" s="51" t="s">
        <v>582</v>
      </c>
    </row>
    <row r="42" spans="1:130" x14ac:dyDescent="0.2">
      <c r="A42" s="2"/>
      <c r="B42" s="2" t="s">
        <v>46</v>
      </c>
      <c r="C42" s="3" t="s">
        <v>46</v>
      </c>
      <c r="D42" s="3" t="str">
        <f t="shared" si="14"/>
        <v>B</v>
      </c>
      <c r="E42" s="3" t="str">
        <f t="shared" si="15"/>
        <v>B</v>
      </c>
      <c r="F42" s="3">
        <v>9</v>
      </c>
      <c r="G42" s="57" t="s">
        <v>46</v>
      </c>
      <c r="H42" s="57" t="s">
        <v>46</v>
      </c>
      <c r="I42" s="57">
        <v>1</v>
      </c>
      <c r="J42" s="57">
        <v>1</v>
      </c>
      <c r="K42" s="3">
        <f t="shared" si="20"/>
        <v>-0.49999999999999961</v>
      </c>
      <c r="L42" s="3">
        <f t="shared" si="21"/>
        <v>-0.49999999999999961</v>
      </c>
      <c r="M42" s="3">
        <f t="shared" si="22"/>
        <v>-0.99999999999999922</v>
      </c>
      <c r="N42" s="3">
        <f>SUM($M$33:M42)</f>
        <v>11</v>
      </c>
      <c r="O42" s="3">
        <f t="shared" si="23"/>
        <v>7</v>
      </c>
      <c r="P42" s="3">
        <f t="shared" si="24"/>
        <v>0.49999999999999939</v>
      </c>
      <c r="Q42" s="3">
        <f t="shared" si="25"/>
        <v>-0.86602540378443804</v>
      </c>
      <c r="R42" s="3">
        <f t="shared" si="26"/>
        <v>6.7591029165721181</v>
      </c>
      <c r="S42" s="3">
        <f t="shared" si="27"/>
        <v>0</v>
      </c>
      <c r="T42" s="3">
        <f t="shared" si="28"/>
        <v>0</v>
      </c>
      <c r="U42" s="3">
        <f t="shared" si="29"/>
        <v>1</v>
      </c>
      <c r="V42" s="3">
        <f t="shared" si="30"/>
        <v>1</v>
      </c>
      <c r="W42" s="3">
        <f t="shared" si="31"/>
        <v>0</v>
      </c>
      <c r="X42" s="3">
        <f t="shared" si="32"/>
        <v>0</v>
      </c>
      <c r="Y42" s="3">
        <f t="shared" si="33"/>
        <v>0</v>
      </c>
      <c r="Z42" s="3">
        <f t="shared" si="34"/>
        <v>2</v>
      </c>
      <c r="AA42" s="3">
        <f t="shared" si="35"/>
        <v>0</v>
      </c>
      <c r="AB42" s="65">
        <f t="shared" si="36"/>
        <v>0</v>
      </c>
      <c r="AC42" s="3">
        <f t="shared" si="37"/>
        <v>0</v>
      </c>
      <c r="AD42" s="65">
        <f t="shared" si="38"/>
        <v>-0.99999999999999956</v>
      </c>
      <c r="AE42" s="3">
        <f t="shared" si="39"/>
        <v>1.7320508075688774</v>
      </c>
      <c r="AF42" s="65">
        <f t="shared" si="40"/>
        <v>0</v>
      </c>
      <c r="AG42" s="3">
        <f t="shared" si="41"/>
        <v>0</v>
      </c>
      <c r="AH42" s="3">
        <f t="shared" si="42"/>
        <v>0</v>
      </c>
      <c r="AI42" s="3">
        <f t="shared" si="43"/>
        <v>2</v>
      </c>
      <c r="AJ42" s="3">
        <f t="shared" si="44"/>
        <v>0</v>
      </c>
      <c r="AK42" s="3">
        <f t="shared" si="45"/>
        <v>49</v>
      </c>
      <c r="AL42" s="4">
        <f t="shared" si="46"/>
        <v>1</v>
      </c>
      <c r="AM42" s="4">
        <f t="shared" si="47"/>
        <v>0</v>
      </c>
      <c r="AN42" s="4">
        <f t="shared" si="48"/>
        <v>0</v>
      </c>
      <c r="AO42" s="4">
        <f t="shared" si="49"/>
        <v>-0.99999999999999956</v>
      </c>
      <c r="AP42" s="3">
        <f t="shared" si="50"/>
        <v>1.7320508075688774</v>
      </c>
      <c r="AQ42" s="3">
        <f t="shared" si="51"/>
        <v>0</v>
      </c>
      <c r="AR42" s="3">
        <f t="shared" si="52"/>
        <v>0</v>
      </c>
      <c r="AS42" s="3">
        <f t="shared" si="53"/>
        <v>0.49999999999999939</v>
      </c>
      <c r="AT42" s="65">
        <f t="shared" si="54"/>
        <v>-0.86602540378443804</v>
      </c>
      <c r="AU42" s="65"/>
      <c r="AV42" s="3">
        <f t="shared" si="19"/>
        <v>1</v>
      </c>
      <c r="AW42" s="3">
        <f t="shared" si="16"/>
        <v>1</v>
      </c>
      <c r="AX42" s="3">
        <f t="shared" si="17"/>
        <v>1</v>
      </c>
      <c r="AY42" s="65"/>
      <c r="AZ42" s="90" t="str">
        <f t="shared" si="55"/>
        <v>37.h</v>
      </c>
      <c r="BA42" s="217">
        <v>37</v>
      </c>
      <c r="BB42" s="218" t="s">
        <v>846</v>
      </c>
      <c r="BC42" s="219">
        <v>24</v>
      </c>
      <c r="BD42" s="219">
        <v>6</v>
      </c>
      <c r="BE42" s="220">
        <v>4</v>
      </c>
      <c r="BF42" s="219" t="s">
        <v>41</v>
      </c>
      <c r="BG42" s="219" t="s">
        <v>117</v>
      </c>
      <c r="BH42" s="219" t="s">
        <v>117</v>
      </c>
      <c r="BI42" s="219" t="s">
        <v>65</v>
      </c>
      <c r="BJ42" s="219" t="s">
        <v>116</v>
      </c>
      <c r="BK42" s="219" t="s">
        <v>46</v>
      </c>
      <c r="BL42" s="219" t="s">
        <v>46</v>
      </c>
      <c r="BM42" s="219" t="s">
        <v>120</v>
      </c>
      <c r="BN42" s="219" t="s">
        <v>41</v>
      </c>
      <c r="BO42" s="219" t="s">
        <v>41</v>
      </c>
      <c r="BP42" s="219" t="s">
        <v>117</v>
      </c>
      <c r="BQ42" s="219" t="s">
        <v>65</v>
      </c>
      <c r="BR42" s="219" t="s">
        <v>116</v>
      </c>
      <c r="BS42" s="219" t="s">
        <v>116</v>
      </c>
      <c r="BT42" s="219" t="s">
        <v>46</v>
      </c>
      <c r="BU42" s="219" t="s">
        <v>120</v>
      </c>
      <c r="BV42" s="219" t="s">
        <v>41</v>
      </c>
      <c r="BW42" s="219" t="s">
        <v>117</v>
      </c>
      <c r="BX42" s="219" t="s">
        <v>65</v>
      </c>
      <c r="BY42" s="219" t="s">
        <v>65</v>
      </c>
      <c r="BZ42" s="219" t="s">
        <v>116</v>
      </c>
      <c r="CA42" s="219" t="s">
        <v>46</v>
      </c>
      <c r="CB42" s="219" t="s">
        <v>120</v>
      </c>
      <c r="CC42" s="219" t="s">
        <v>120</v>
      </c>
      <c r="CD42" s="219"/>
      <c r="CE42" s="219"/>
      <c r="CF42" s="219"/>
      <c r="CG42" s="219"/>
      <c r="CH42" s="219"/>
      <c r="CI42" s="219"/>
      <c r="CJ42" s="219"/>
      <c r="CK42" s="219"/>
      <c r="CL42" s="219"/>
      <c r="CM42" s="219"/>
      <c r="CN42" s="219"/>
      <c r="CO42" s="219"/>
      <c r="CP42" s="219"/>
      <c r="CQ42" s="219"/>
      <c r="CR42" s="219"/>
      <c r="CS42" s="219"/>
      <c r="CT42" s="219"/>
      <c r="CU42" s="219"/>
      <c r="CV42" s="219"/>
      <c r="CW42" s="219"/>
      <c r="CX42" s="219"/>
      <c r="CY42" s="219"/>
      <c r="CZ42" s="219"/>
      <c r="DA42" s="219"/>
      <c r="DB42" s="219"/>
      <c r="DC42" s="219"/>
      <c r="DD42" s="219"/>
      <c r="DE42" s="219"/>
      <c r="DF42" s="219"/>
      <c r="DG42" s="219"/>
      <c r="DH42" s="219"/>
      <c r="DI42" s="219"/>
      <c r="DJ42" s="219"/>
      <c r="DK42" s="219"/>
      <c r="DL42" s="219"/>
      <c r="DM42" s="219"/>
      <c r="DN42" s="219"/>
      <c r="DO42" s="219"/>
      <c r="DP42" s="219"/>
      <c r="DQ42" s="219"/>
      <c r="DR42" s="219"/>
      <c r="DS42" s="219"/>
      <c r="DT42" s="219"/>
      <c r="DU42" s="219"/>
      <c r="DV42" s="219"/>
      <c r="DW42" s="219"/>
      <c r="DX42" s="219"/>
      <c r="DY42" s="219"/>
      <c r="DZ42" s="45" t="s">
        <v>582</v>
      </c>
    </row>
    <row r="43" spans="1:130" x14ac:dyDescent="0.2">
      <c r="A43" s="2"/>
      <c r="B43" s="2" t="s">
        <v>46</v>
      </c>
      <c r="C43" s="3" t="s">
        <v>46</v>
      </c>
      <c r="D43" s="3" t="str">
        <f t="shared" si="14"/>
        <v>B</v>
      </c>
      <c r="E43" s="3" t="str">
        <f t="shared" si="15"/>
        <v>B</v>
      </c>
      <c r="F43" s="3">
        <v>10</v>
      </c>
      <c r="G43" s="57" t="s">
        <v>46</v>
      </c>
      <c r="H43" s="57" t="s">
        <v>46</v>
      </c>
      <c r="I43" s="57">
        <v>1</v>
      </c>
      <c r="J43" s="57">
        <v>1</v>
      </c>
      <c r="K43" s="3">
        <f t="shared" si="20"/>
        <v>-0.49999999999999961</v>
      </c>
      <c r="L43" s="3">
        <f t="shared" si="21"/>
        <v>-0.49999999999999961</v>
      </c>
      <c r="M43" s="3">
        <f t="shared" si="22"/>
        <v>-0.99999999999999922</v>
      </c>
      <c r="N43" s="3">
        <f>SUM($M$33:M43)</f>
        <v>10</v>
      </c>
      <c r="O43" s="3">
        <f t="shared" si="23"/>
        <v>6</v>
      </c>
      <c r="P43" s="3">
        <f t="shared" si="24"/>
        <v>0.70710678118654691</v>
      </c>
      <c r="Q43" s="3">
        <f t="shared" si="25"/>
        <v>-0.70710678118654702</v>
      </c>
      <c r="R43" s="3">
        <f t="shared" si="26"/>
        <v>5.8041732580207483</v>
      </c>
      <c r="S43" s="3">
        <f t="shared" si="27"/>
        <v>0</v>
      </c>
      <c r="T43" s="3">
        <f t="shared" si="28"/>
        <v>0</v>
      </c>
      <c r="U43" s="3">
        <f t="shared" si="29"/>
        <v>1</v>
      </c>
      <c r="V43" s="3">
        <f t="shared" si="30"/>
        <v>1</v>
      </c>
      <c r="W43" s="3">
        <f t="shared" si="31"/>
        <v>0</v>
      </c>
      <c r="X43" s="3">
        <f t="shared" si="32"/>
        <v>0</v>
      </c>
      <c r="Y43" s="3">
        <f t="shared" si="33"/>
        <v>0</v>
      </c>
      <c r="Z43" s="3">
        <f t="shared" si="34"/>
        <v>2</v>
      </c>
      <c r="AA43" s="3">
        <f t="shared" si="35"/>
        <v>0</v>
      </c>
      <c r="AB43" s="65">
        <f t="shared" si="36"/>
        <v>0</v>
      </c>
      <c r="AC43" s="3">
        <f t="shared" si="37"/>
        <v>0</v>
      </c>
      <c r="AD43" s="65">
        <f t="shared" si="38"/>
        <v>-1.4142135623730949</v>
      </c>
      <c r="AE43" s="3">
        <f t="shared" si="39"/>
        <v>1.4142135623730951</v>
      </c>
      <c r="AF43" s="65">
        <f t="shared" si="40"/>
        <v>0</v>
      </c>
      <c r="AG43" s="3">
        <f t="shared" si="41"/>
        <v>0</v>
      </c>
      <c r="AH43" s="3">
        <f t="shared" si="42"/>
        <v>0</v>
      </c>
      <c r="AI43" s="3">
        <f t="shared" si="43"/>
        <v>2</v>
      </c>
      <c r="AJ43" s="3">
        <f t="shared" si="44"/>
        <v>0</v>
      </c>
      <c r="AK43" s="3">
        <f t="shared" si="45"/>
        <v>36</v>
      </c>
      <c r="AL43" s="4">
        <f t="shared" si="46"/>
        <v>1</v>
      </c>
      <c r="AM43" s="4">
        <f t="shared" si="47"/>
        <v>0</v>
      </c>
      <c r="AN43" s="4">
        <f t="shared" si="48"/>
        <v>0</v>
      </c>
      <c r="AO43" s="4">
        <f t="shared" si="49"/>
        <v>-1.4142135623730949</v>
      </c>
      <c r="AP43" s="3">
        <f t="shared" si="50"/>
        <v>1.4142135623730951</v>
      </c>
      <c r="AQ43" s="3">
        <f t="shared" si="51"/>
        <v>0</v>
      </c>
      <c r="AR43" s="3">
        <f t="shared" si="52"/>
        <v>0</v>
      </c>
      <c r="AS43" s="3">
        <f t="shared" si="53"/>
        <v>0.70710678118654691</v>
      </c>
      <c r="AT43" s="65">
        <f t="shared" si="54"/>
        <v>-0.70710678118654702</v>
      </c>
      <c r="AU43" s="65"/>
      <c r="AV43" s="3">
        <f t="shared" si="19"/>
        <v>0</v>
      </c>
      <c r="AW43" s="3">
        <f t="shared" si="16"/>
        <v>1</v>
      </c>
      <c r="AX43" s="3">
        <f t="shared" si="17"/>
        <v>1</v>
      </c>
      <c r="AY43" s="65"/>
      <c r="AZ43" s="90" t="str">
        <f t="shared" si="55"/>
        <v>38.h</v>
      </c>
      <c r="BA43" s="221">
        <v>38</v>
      </c>
      <c r="BB43" s="222" t="s">
        <v>847</v>
      </c>
      <c r="BC43" s="223"/>
      <c r="BD43" s="223"/>
      <c r="BE43" s="224"/>
      <c r="BF43" s="223" t="s">
        <v>41</v>
      </c>
      <c r="BG43" s="223" t="s">
        <v>117</v>
      </c>
      <c r="BH43" s="223" t="s">
        <v>117</v>
      </c>
      <c r="BI43" s="223" t="s">
        <v>65</v>
      </c>
      <c r="BJ43" s="223" t="s">
        <v>116</v>
      </c>
      <c r="BK43" s="223" t="s">
        <v>46</v>
      </c>
      <c r="BL43" s="223" t="s">
        <v>46</v>
      </c>
      <c r="BM43" s="223" t="s">
        <v>120</v>
      </c>
      <c r="BN43" s="223" t="s">
        <v>41</v>
      </c>
      <c r="BO43" s="223" t="s">
        <v>41</v>
      </c>
      <c r="BP43" s="223" t="s">
        <v>117</v>
      </c>
      <c r="BQ43" s="223" t="s">
        <v>65</v>
      </c>
      <c r="BR43" s="223" t="s">
        <v>116</v>
      </c>
      <c r="BS43" s="223" t="s">
        <v>116</v>
      </c>
      <c r="BT43" s="223" t="s">
        <v>46</v>
      </c>
      <c r="BU43" s="223" t="s">
        <v>120</v>
      </c>
      <c r="BV43" s="223" t="s">
        <v>41</v>
      </c>
      <c r="BW43" s="223" t="s">
        <v>117</v>
      </c>
      <c r="BX43" s="223" t="s">
        <v>65</v>
      </c>
      <c r="BY43" s="223" t="s">
        <v>65</v>
      </c>
      <c r="BZ43" s="223" t="s">
        <v>116</v>
      </c>
      <c r="CA43" s="223" t="s">
        <v>46</v>
      </c>
      <c r="CB43" s="223" t="s">
        <v>120</v>
      </c>
      <c r="CC43" s="223" t="s">
        <v>120</v>
      </c>
      <c r="CD43" s="223"/>
      <c r="CE43" s="223"/>
      <c r="CF43" s="223"/>
      <c r="CG43" s="223"/>
      <c r="CH43" s="223"/>
      <c r="CI43" s="223"/>
      <c r="CJ43" s="223"/>
      <c r="CK43" s="223"/>
      <c r="CL43" s="223"/>
      <c r="CM43" s="223"/>
      <c r="CN43" s="223"/>
      <c r="CO43" s="223"/>
      <c r="CP43" s="223"/>
      <c r="CQ43" s="223"/>
      <c r="CR43" s="223"/>
      <c r="CS43" s="223"/>
      <c r="CT43" s="223"/>
      <c r="CU43" s="223"/>
      <c r="CV43" s="223"/>
      <c r="CW43" s="223"/>
      <c r="CX43" s="223"/>
      <c r="CY43" s="223"/>
      <c r="CZ43" s="223"/>
      <c r="DA43" s="223"/>
      <c r="DB43" s="223"/>
      <c r="DC43" s="223"/>
      <c r="DD43" s="223"/>
      <c r="DE43" s="223"/>
      <c r="DF43" s="223"/>
      <c r="DG43" s="223"/>
      <c r="DH43" s="223"/>
      <c r="DI43" s="223"/>
      <c r="DJ43" s="223"/>
      <c r="DK43" s="223"/>
      <c r="DL43" s="223"/>
      <c r="DM43" s="223"/>
      <c r="DN43" s="223"/>
      <c r="DO43" s="223"/>
      <c r="DP43" s="223"/>
      <c r="DQ43" s="223"/>
      <c r="DR43" s="223"/>
      <c r="DS43" s="223"/>
      <c r="DT43" s="223"/>
      <c r="DU43" s="223"/>
      <c r="DV43" s="223"/>
      <c r="DW43" s="223"/>
      <c r="DX43" s="223"/>
      <c r="DY43" s="223"/>
      <c r="DZ43" s="48" t="s">
        <v>582</v>
      </c>
    </row>
    <row r="44" spans="1:130" x14ac:dyDescent="0.2">
      <c r="A44" s="2"/>
      <c r="B44" s="2" t="s">
        <v>46</v>
      </c>
      <c r="C44" s="3" t="s">
        <v>46</v>
      </c>
      <c r="D44" s="3" t="str">
        <f t="shared" si="14"/>
        <v>B</v>
      </c>
      <c r="E44" s="3" t="str">
        <f t="shared" si="15"/>
        <v>B</v>
      </c>
      <c r="F44" s="3">
        <v>11</v>
      </c>
      <c r="G44" s="57" t="s">
        <v>46</v>
      </c>
      <c r="H44" s="57" t="s">
        <v>46</v>
      </c>
      <c r="I44" s="57">
        <v>1</v>
      </c>
      <c r="J44" s="57">
        <v>1</v>
      </c>
      <c r="K44" s="3">
        <f t="shared" si="20"/>
        <v>-0.49999999999999961</v>
      </c>
      <c r="L44" s="3">
        <f t="shared" si="21"/>
        <v>-0.49999999999999961</v>
      </c>
      <c r="M44" s="3">
        <f t="shared" si="22"/>
        <v>-0.99999999999999922</v>
      </c>
      <c r="N44" s="3">
        <f>SUM($M$33:M44)</f>
        <v>9</v>
      </c>
      <c r="O44" s="3">
        <f t="shared" si="23"/>
        <v>5</v>
      </c>
      <c r="P44" s="3">
        <f t="shared" si="24"/>
        <v>0.86602540378443782</v>
      </c>
      <c r="Q44" s="3">
        <f t="shared" si="25"/>
        <v>-0.49999999999999994</v>
      </c>
      <c r="R44" s="3">
        <f t="shared" si="26"/>
        <v>4.4536987837850885</v>
      </c>
      <c r="S44" s="3">
        <f t="shared" si="27"/>
        <v>0</v>
      </c>
      <c r="T44" s="3">
        <f t="shared" si="28"/>
        <v>0</v>
      </c>
      <c r="U44" s="3">
        <f t="shared" si="29"/>
        <v>1</v>
      </c>
      <c r="V44" s="3">
        <f t="shared" si="30"/>
        <v>1</v>
      </c>
      <c r="W44" s="3">
        <f t="shared" si="31"/>
        <v>0</v>
      </c>
      <c r="X44" s="3">
        <f t="shared" si="32"/>
        <v>0</v>
      </c>
      <c r="Y44" s="3">
        <f t="shared" si="33"/>
        <v>0</v>
      </c>
      <c r="Z44" s="3">
        <f t="shared" si="34"/>
        <v>2</v>
      </c>
      <c r="AA44" s="3">
        <f t="shared" si="35"/>
        <v>0</v>
      </c>
      <c r="AB44" s="65">
        <f t="shared" si="36"/>
        <v>0</v>
      </c>
      <c r="AC44" s="3">
        <f t="shared" si="37"/>
        <v>0</v>
      </c>
      <c r="AD44" s="65">
        <f t="shared" si="38"/>
        <v>-1.732050807568877</v>
      </c>
      <c r="AE44" s="3">
        <f t="shared" si="39"/>
        <v>1.0000000000000007</v>
      </c>
      <c r="AF44" s="65">
        <f t="shared" si="40"/>
        <v>0</v>
      </c>
      <c r="AG44" s="3">
        <f t="shared" si="41"/>
        <v>0</v>
      </c>
      <c r="AH44" s="3">
        <f t="shared" si="42"/>
        <v>0</v>
      </c>
      <c r="AI44" s="3">
        <f t="shared" si="43"/>
        <v>2</v>
      </c>
      <c r="AJ44" s="3">
        <f t="shared" si="44"/>
        <v>0</v>
      </c>
      <c r="AK44" s="3">
        <f t="shared" si="45"/>
        <v>25</v>
      </c>
      <c r="AL44" s="4">
        <f t="shared" si="46"/>
        <v>1</v>
      </c>
      <c r="AM44" s="4">
        <f t="shared" si="47"/>
        <v>0</v>
      </c>
      <c r="AN44" s="4">
        <f t="shared" si="48"/>
        <v>0</v>
      </c>
      <c r="AO44" s="4">
        <f t="shared" si="49"/>
        <v>-1.732050807568877</v>
      </c>
      <c r="AP44" s="3">
        <f t="shared" si="50"/>
        <v>1.0000000000000007</v>
      </c>
      <c r="AQ44" s="3">
        <f t="shared" si="51"/>
        <v>0</v>
      </c>
      <c r="AR44" s="3">
        <f t="shared" si="52"/>
        <v>0</v>
      </c>
      <c r="AS44" s="3">
        <f t="shared" si="53"/>
        <v>0.86602540378443782</v>
      </c>
      <c r="AT44" s="65">
        <f t="shared" si="54"/>
        <v>-0.49999999999999994</v>
      </c>
      <c r="AU44" s="65"/>
      <c r="AV44" s="3">
        <f t="shared" si="19"/>
        <v>0</v>
      </c>
      <c r="AW44" s="3">
        <f t="shared" si="16"/>
        <v>1</v>
      </c>
      <c r="AX44" s="3">
        <f t="shared" si="17"/>
        <v>1</v>
      </c>
      <c r="AY44" s="65"/>
      <c r="AZ44" s="90" t="str">
        <f t="shared" si="55"/>
        <v>39.h</v>
      </c>
      <c r="BA44" s="221">
        <v>39</v>
      </c>
      <c r="BB44" s="222"/>
      <c r="BC44" s="223"/>
      <c r="BD44" s="223"/>
      <c r="BE44" s="224"/>
      <c r="BF44" s="223"/>
      <c r="BG44" s="223"/>
      <c r="BH44" s="223"/>
      <c r="BI44" s="223"/>
      <c r="BJ44" s="223"/>
      <c r="BK44" s="223"/>
      <c r="BL44" s="223"/>
      <c r="BM44" s="223"/>
      <c r="BN44" s="223"/>
      <c r="BO44" s="223"/>
      <c r="BP44" s="223"/>
      <c r="BQ44" s="223"/>
      <c r="BR44" s="223"/>
      <c r="BS44" s="223"/>
      <c r="BT44" s="223"/>
      <c r="BU44" s="223"/>
      <c r="BV44" s="223"/>
      <c r="BW44" s="223"/>
      <c r="BX44" s="223"/>
      <c r="BY44" s="223"/>
      <c r="BZ44" s="223"/>
      <c r="CA44" s="223"/>
      <c r="CB44" s="223"/>
      <c r="CC44" s="223"/>
      <c r="CD44" s="223"/>
      <c r="CE44" s="223"/>
      <c r="CF44" s="223"/>
      <c r="CG44" s="223"/>
      <c r="CH44" s="223"/>
      <c r="CI44" s="223"/>
      <c r="CJ44" s="223"/>
      <c r="CK44" s="223"/>
      <c r="CL44" s="223"/>
      <c r="CM44" s="223"/>
      <c r="CN44" s="223"/>
      <c r="CO44" s="223"/>
      <c r="CP44" s="223"/>
      <c r="CQ44" s="223"/>
      <c r="CR44" s="223"/>
      <c r="CS44" s="223"/>
      <c r="CT44" s="223"/>
      <c r="CU44" s="223"/>
      <c r="CV44" s="223"/>
      <c r="CW44" s="223"/>
      <c r="CX44" s="223"/>
      <c r="CY44" s="223"/>
      <c r="CZ44" s="223"/>
      <c r="DA44" s="223"/>
      <c r="DB44" s="223"/>
      <c r="DC44" s="223"/>
      <c r="DD44" s="223"/>
      <c r="DE44" s="223"/>
      <c r="DF44" s="223"/>
      <c r="DG44" s="223"/>
      <c r="DH44" s="223"/>
      <c r="DI44" s="223"/>
      <c r="DJ44" s="223"/>
      <c r="DK44" s="223"/>
      <c r="DL44" s="223"/>
      <c r="DM44" s="223"/>
      <c r="DN44" s="223"/>
      <c r="DO44" s="223"/>
      <c r="DP44" s="223"/>
      <c r="DQ44" s="223"/>
      <c r="DR44" s="223"/>
      <c r="DS44" s="223"/>
      <c r="DT44" s="223"/>
      <c r="DU44" s="223"/>
      <c r="DV44" s="223"/>
      <c r="DW44" s="223"/>
      <c r="DX44" s="223"/>
      <c r="DY44" s="223"/>
      <c r="DZ44" s="48" t="s">
        <v>582</v>
      </c>
    </row>
    <row r="45" spans="1:130" x14ac:dyDescent="0.2">
      <c r="A45" s="2"/>
      <c r="B45" s="2" t="s">
        <v>46</v>
      </c>
      <c r="C45" s="3" t="s">
        <v>46</v>
      </c>
      <c r="D45" s="3" t="str">
        <f t="shared" si="14"/>
        <v>B</v>
      </c>
      <c r="E45" s="3" t="str">
        <f t="shared" si="15"/>
        <v>B</v>
      </c>
      <c r="F45" s="3">
        <v>12</v>
      </c>
      <c r="G45" s="57" t="s">
        <v>46</v>
      </c>
      <c r="H45" s="57" t="s">
        <v>46</v>
      </c>
      <c r="I45" s="57">
        <v>1</v>
      </c>
      <c r="J45" s="57">
        <v>1</v>
      </c>
      <c r="K45" s="3">
        <f t="shared" si="20"/>
        <v>-0.49999999999999961</v>
      </c>
      <c r="L45" s="3">
        <f t="shared" si="21"/>
        <v>-0.49999999999999961</v>
      </c>
      <c r="M45" s="3">
        <f t="shared" si="22"/>
        <v>-0.99999999999999922</v>
      </c>
      <c r="N45" s="3">
        <f>SUM($M$33:M45)</f>
        <v>8</v>
      </c>
      <c r="O45" s="3">
        <f t="shared" si="23"/>
        <v>4</v>
      </c>
      <c r="P45" s="3">
        <f t="shared" si="24"/>
        <v>0.96592582628906742</v>
      </c>
      <c r="Q45" s="3">
        <f t="shared" si="25"/>
        <v>-0.25881904510252079</v>
      </c>
      <c r="R45" s="3">
        <f t="shared" si="26"/>
        <v>2.7997120975197123</v>
      </c>
      <c r="S45" s="3">
        <f t="shared" si="27"/>
        <v>0</v>
      </c>
      <c r="T45" s="3">
        <f t="shared" si="28"/>
        <v>0</v>
      </c>
      <c r="U45" s="3">
        <f t="shared" si="29"/>
        <v>1</v>
      </c>
      <c r="V45" s="3">
        <f t="shared" si="30"/>
        <v>1</v>
      </c>
      <c r="W45" s="3">
        <f t="shared" si="31"/>
        <v>0</v>
      </c>
      <c r="X45" s="3">
        <f t="shared" si="32"/>
        <v>0</v>
      </c>
      <c r="Y45" s="3">
        <f t="shared" si="33"/>
        <v>0</v>
      </c>
      <c r="Z45" s="3">
        <f t="shared" si="34"/>
        <v>2</v>
      </c>
      <c r="AA45" s="3">
        <f t="shared" si="35"/>
        <v>0</v>
      </c>
      <c r="AB45" s="65">
        <f t="shared" si="36"/>
        <v>0</v>
      </c>
      <c r="AC45" s="3">
        <f t="shared" si="37"/>
        <v>0</v>
      </c>
      <c r="AD45" s="65">
        <f t="shared" si="38"/>
        <v>-1.9318516525781364</v>
      </c>
      <c r="AE45" s="3">
        <f t="shared" si="39"/>
        <v>0.51763809020504203</v>
      </c>
      <c r="AF45" s="65">
        <f t="shared" si="40"/>
        <v>0</v>
      </c>
      <c r="AG45" s="3">
        <f t="shared" si="41"/>
        <v>0</v>
      </c>
      <c r="AH45" s="3">
        <f t="shared" si="42"/>
        <v>0</v>
      </c>
      <c r="AI45" s="3">
        <f t="shared" si="43"/>
        <v>2</v>
      </c>
      <c r="AJ45" s="3">
        <f t="shared" si="44"/>
        <v>0</v>
      </c>
      <c r="AK45" s="3">
        <f t="shared" si="45"/>
        <v>16</v>
      </c>
      <c r="AL45" s="4">
        <f t="shared" si="46"/>
        <v>1</v>
      </c>
      <c r="AM45" s="4">
        <f t="shared" si="47"/>
        <v>0</v>
      </c>
      <c r="AN45" s="4">
        <f t="shared" si="48"/>
        <v>0</v>
      </c>
      <c r="AO45" s="4">
        <f t="shared" si="49"/>
        <v>-1.9318516525781364</v>
      </c>
      <c r="AP45" s="3">
        <f t="shared" si="50"/>
        <v>0.51763809020504203</v>
      </c>
      <c r="AQ45" s="3">
        <f t="shared" si="51"/>
        <v>0</v>
      </c>
      <c r="AR45" s="3">
        <f t="shared" si="52"/>
        <v>0</v>
      </c>
      <c r="AS45" s="3">
        <f t="shared" si="53"/>
        <v>0.96592582628906742</v>
      </c>
      <c r="AT45" s="65">
        <f t="shared" si="54"/>
        <v>-0.25881904510252079</v>
      </c>
      <c r="AU45" s="65"/>
      <c r="AV45" s="3">
        <f t="shared" si="19"/>
        <v>0</v>
      </c>
      <c r="AW45" s="3">
        <f t="shared" si="16"/>
        <v>1</v>
      </c>
      <c r="AX45" s="3">
        <f t="shared" si="17"/>
        <v>1</v>
      </c>
      <c r="AY45" s="65"/>
      <c r="AZ45" s="90" t="str">
        <f t="shared" si="55"/>
        <v>40.h</v>
      </c>
      <c r="BA45" s="226">
        <v>40</v>
      </c>
      <c r="BB45" s="227"/>
      <c r="BC45" s="228"/>
      <c r="BD45" s="228"/>
      <c r="BE45" s="229"/>
      <c r="BF45" s="223"/>
      <c r="BG45" s="223"/>
      <c r="BH45" s="223"/>
      <c r="BI45" s="223"/>
      <c r="BJ45" s="223"/>
      <c r="BK45" s="223"/>
      <c r="BL45" s="223"/>
      <c r="BM45" s="223"/>
      <c r="BN45" s="223"/>
      <c r="BO45" s="223"/>
      <c r="BP45" s="223"/>
      <c r="BQ45" s="223"/>
      <c r="BR45" s="223"/>
      <c r="BS45" s="223"/>
      <c r="BT45" s="223"/>
      <c r="BU45" s="223"/>
      <c r="BV45" s="223"/>
      <c r="BW45" s="223"/>
      <c r="BX45" s="223"/>
      <c r="BY45" s="223"/>
      <c r="BZ45" s="223"/>
      <c r="CA45" s="223"/>
      <c r="CB45" s="223"/>
      <c r="CC45" s="223"/>
      <c r="CD45" s="223"/>
      <c r="CE45" s="223"/>
      <c r="CF45" s="223"/>
      <c r="CG45" s="223"/>
      <c r="CH45" s="223"/>
      <c r="CI45" s="223"/>
      <c r="CJ45" s="223"/>
      <c r="CK45" s="223"/>
      <c r="CL45" s="223"/>
      <c r="CM45" s="223"/>
      <c r="CN45" s="223"/>
      <c r="CO45" s="223"/>
      <c r="CP45" s="223"/>
      <c r="CQ45" s="223"/>
      <c r="CR45" s="223"/>
      <c r="CS45" s="223"/>
      <c r="CT45" s="223"/>
      <c r="CU45" s="223"/>
      <c r="CV45" s="223"/>
      <c r="CW45" s="223"/>
      <c r="CX45" s="223"/>
      <c r="CY45" s="223"/>
      <c r="CZ45" s="223"/>
      <c r="DA45" s="223"/>
      <c r="DB45" s="223"/>
      <c r="DC45" s="223"/>
      <c r="DD45" s="223"/>
      <c r="DE45" s="223"/>
      <c r="DF45" s="223"/>
      <c r="DG45" s="223"/>
      <c r="DH45" s="223"/>
      <c r="DI45" s="223"/>
      <c r="DJ45" s="223"/>
      <c r="DK45" s="223"/>
      <c r="DL45" s="223"/>
      <c r="DM45" s="223"/>
      <c r="DN45" s="223"/>
      <c r="DO45" s="223"/>
      <c r="DP45" s="223"/>
      <c r="DQ45" s="223"/>
      <c r="DR45" s="223"/>
      <c r="DS45" s="223"/>
      <c r="DT45" s="223"/>
      <c r="DU45" s="223"/>
      <c r="DV45" s="223"/>
      <c r="DW45" s="223"/>
      <c r="DX45" s="223"/>
      <c r="DY45" s="223"/>
      <c r="DZ45" s="51" t="s">
        <v>582</v>
      </c>
    </row>
    <row r="46" spans="1:130" x14ac:dyDescent="0.2">
      <c r="A46" s="2"/>
      <c r="B46" s="2" t="s">
        <v>116</v>
      </c>
      <c r="C46" s="3" t="s">
        <v>116</v>
      </c>
      <c r="D46" s="3" t="str">
        <f t="shared" si="14"/>
        <v>A'</v>
      </c>
      <c r="E46" s="3" t="str">
        <f t="shared" si="15"/>
        <v>A'</v>
      </c>
      <c r="F46" s="47">
        <v>13</v>
      </c>
      <c r="G46" s="57" t="s">
        <v>116</v>
      </c>
      <c r="H46" s="57" t="s">
        <v>116</v>
      </c>
      <c r="I46" s="57">
        <v>1</v>
      </c>
      <c r="J46" s="57">
        <v>1</v>
      </c>
      <c r="K46" s="3">
        <f t="shared" si="20"/>
        <v>-1</v>
      </c>
      <c r="L46" s="3">
        <f t="shared" si="21"/>
        <v>-1</v>
      </c>
      <c r="M46" s="3">
        <f t="shared" si="22"/>
        <v>-2</v>
      </c>
      <c r="N46" s="3">
        <f>SUM($M$33:M46)</f>
        <v>6</v>
      </c>
      <c r="O46" s="3">
        <f t="shared" si="23"/>
        <v>2</v>
      </c>
      <c r="P46" s="3">
        <f t="shared" si="24"/>
        <v>2</v>
      </c>
      <c r="Q46" s="3">
        <f t="shared" si="25"/>
        <v>-2.45029690981724E-16</v>
      </c>
      <c r="R46" s="3">
        <f t="shared" si="26"/>
        <v>0.95492965855137146</v>
      </c>
      <c r="S46" s="3">
        <f t="shared" si="27"/>
        <v>-1</v>
      </c>
      <c r="T46" s="3">
        <f t="shared" si="28"/>
        <v>-1</v>
      </c>
      <c r="U46" s="3">
        <f t="shared" si="29"/>
        <v>0</v>
      </c>
      <c r="V46" s="3">
        <f t="shared" si="30"/>
        <v>0</v>
      </c>
      <c r="W46" s="3">
        <f t="shared" si="31"/>
        <v>0</v>
      </c>
      <c r="X46" s="3">
        <f t="shared" si="32"/>
        <v>0</v>
      </c>
      <c r="Y46" s="3">
        <f t="shared" si="33"/>
        <v>-2</v>
      </c>
      <c r="Z46" s="3">
        <f t="shared" si="34"/>
        <v>0</v>
      </c>
      <c r="AA46" s="3">
        <f t="shared" si="35"/>
        <v>0</v>
      </c>
      <c r="AB46" s="65">
        <f t="shared" si="36"/>
        <v>2</v>
      </c>
      <c r="AC46" s="3">
        <f t="shared" si="37"/>
        <v>-2.45029690981724E-16</v>
      </c>
      <c r="AD46" s="65">
        <f t="shared" si="38"/>
        <v>0</v>
      </c>
      <c r="AE46" s="3">
        <f t="shared" si="39"/>
        <v>0</v>
      </c>
      <c r="AF46" s="65">
        <f t="shared" si="40"/>
        <v>0</v>
      </c>
      <c r="AG46" s="3">
        <f t="shared" si="41"/>
        <v>0</v>
      </c>
      <c r="AH46" s="3">
        <f t="shared" si="42"/>
        <v>2</v>
      </c>
      <c r="AI46" s="3">
        <f t="shared" si="43"/>
        <v>0</v>
      </c>
      <c r="AJ46" s="3">
        <f t="shared" si="44"/>
        <v>0</v>
      </c>
      <c r="AK46" s="3">
        <f t="shared" si="45"/>
        <v>4</v>
      </c>
      <c r="AL46" s="4">
        <f t="shared" si="46"/>
        <v>1</v>
      </c>
      <c r="AM46" s="4">
        <f t="shared" si="47"/>
        <v>2</v>
      </c>
      <c r="AN46" s="4">
        <f t="shared" si="48"/>
        <v>-2.45029690981724E-16</v>
      </c>
      <c r="AO46" s="4">
        <f t="shared" si="49"/>
        <v>0</v>
      </c>
      <c r="AP46" s="3">
        <f t="shared" si="50"/>
        <v>0</v>
      </c>
      <c r="AQ46" s="3">
        <f t="shared" si="51"/>
        <v>0</v>
      </c>
      <c r="AR46" s="3">
        <f t="shared" si="52"/>
        <v>0</v>
      </c>
      <c r="AS46" s="3">
        <f t="shared" si="53"/>
        <v>2</v>
      </c>
      <c r="AT46" s="65">
        <f t="shared" si="54"/>
        <v>-2.45029690981724E-16</v>
      </c>
      <c r="AU46" s="65"/>
      <c r="AV46" s="3">
        <f t="shared" si="19"/>
        <v>1</v>
      </c>
      <c r="AW46" s="3">
        <f t="shared" si="16"/>
        <v>1</v>
      </c>
      <c r="AX46" s="3">
        <f t="shared" si="17"/>
        <v>1</v>
      </c>
      <c r="AY46" s="65"/>
      <c r="AZ46" s="90" t="str">
        <f t="shared" si="55"/>
        <v>41.h</v>
      </c>
      <c r="BA46" s="217">
        <v>41</v>
      </c>
      <c r="BB46" s="218" t="s">
        <v>848</v>
      </c>
      <c r="BC46" s="219">
        <v>36</v>
      </c>
      <c r="BD46" s="219">
        <v>8</v>
      </c>
      <c r="BE46" s="220">
        <v>4</v>
      </c>
      <c r="BF46" s="219" t="s">
        <v>41</v>
      </c>
      <c r="BG46" s="219" t="s">
        <v>41</v>
      </c>
      <c r="BH46" s="219" t="s">
        <v>41</v>
      </c>
      <c r="BI46" s="219" t="s">
        <v>65</v>
      </c>
      <c r="BJ46" s="219" t="s">
        <v>65</v>
      </c>
      <c r="BK46" s="219" t="s">
        <v>65</v>
      </c>
      <c r="BL46" s="219" t="s">
        <v>46</v>
      </c>
      <c r="BM46" s="219" t="s">
        <v>46</v>
      </c>
      <c r="BN46" s="219" t="s">
        <v>120</v>
      </c>
      <c r="BO46" s="219" t="s">
        <v>120</v>
      </c>
      <c r="BP46" s="219" t="s">
        <v>117</v>
      </c>
      <c r="BQ46" s="219" t="s">
        <v>117</v>
      </c>
      <c r="BR46" s="219" t="s">
        <v>117</v>
      </c>
      <c r="BS46" s="219" t="s">
        <v>116</v>
      </c>
      <c r="BT46" s="219" t="s">
        <v>116</v>
      </c>
      <c r="BU46" s="219" t="s">
        <v>116</v>
      </c>
      <c r="BV46" s="219" t="s">
        <v>120</v>
      </c>
      <c r="BW46" s="219" t="s">
        <v>46</v>
      </c>
      <c r="BX46" s="219" t="s">
        <v>41</v>
      </c>
      <c r="BY46" s="219" t="s">
        <v>41</v>
      </c>
      <c r="BZ46" s="219" t="s">
        <v>41</v>
      </c>
      <c r="CA46" s="219" t="s">
        <v>65</v>
      </c>
      <c r="CB46" s="219" t="s">
        <v>65</v>
      </c>
      <c r="CC46" s="219" t="s">
        <v>65</v>
      </c>
      <c r="CD46" s="219" t="s">
        <v>46</v>
      </c>
      <c r="CE46" s="219" t="s">
        <v>46</v>
      </c>
      <c r="CF46" s="219" t="s">
        <v>120</v>
      </c>
      <c r="CG46" s="219" t="s">
        <v>120</v>
      </c>
      <c r="CH46" s="219" t="s">
        <v>117</v>
      </c>
      <c r="CI46" s="219" t="s">
        <v>117</v>
      </c>
      <c r="CJ46" s="219" t="s">
        <v>117</v>
      </c>
      <c r="CK46" s="219" t="s">
        <v>116</v>
      </c>
      <c r="CL46" s="219" t="s">
        <v>116</v>
      </c>
      <c r="CM46" s="219" t="s">
        <v>116</v>
      </c>
      <c r="CN46" s="219" t="s">
        <v>120</v>
      </c>
      <c r="CO46" s="219" t="s">
        <v>46</v>
      </c>
      <c r="CP46" s="219"/>
      <c r="CQ46" s="219"/>
      <c r="CR46" s="219"/>
      <c r="CS46" s="219"/>
      <c r="CT46" s="219"/>
      <c r="CU46" s="219"/>
      <c r="CV46" s="219"/>
      <c r="CW46" s="219"/>
      <c r="CX46" s="219"/>
      <c r="CY46" s="219"/>
      <c r="CZ46" s="219"/>
      <c r="DA46" s="219"/>
      <c r="DB46" s="219"/>
      <c r="DC46" s="219"/>
      <c r="DD46" s="219"/>
      <c r="DE46" s="219"/>
      <c r="DF46" s="219"/>
      <c r="DG46" s="219"/>
      <c r="DH46" s="219"/>
      <c r="DI46" s="219"/>
      <c r="DJ46" s="219"/>
      <c r="DK46" s="219"/>
      <c r="DL46" s="219"/>
      <c r="DM46" s="219"/>
      <c r="DN46" s="219"/>
      <c r="DO46" s="219"/>
      <c r="DP46" s="219"/>
      <c r="DQ46" s="219"/>
      <c r="DR46" s="219"/>
      <c r="DS46" s="219"/>
      <c r="DT46" s="219"/>
      <c r="DU46" s="219"/>
      <c r="DV46" s="219"/>
      <c r="DW46" s="219"/>
      <c r="DX46" s="219"/>
      <c r="DY46" s="219"/>
      <c r="DZ46" s="45" t="s">
        <v>582</v>
      </c>
    </row>
    <row r="47" spans="1:130" x14ac:dyDescent="0.2">
      <c r="A47" s="2"/>
      <c r="B47" s="2" t="s">
        <v>116</v>
      </c>
      <c r="C47" s="3" t="s">
        <v>116</v>
      </c>
      <c r="D47" s="3" t="str">
        <f t="shared" si="14"/>
        <v>A'</v>
      </c>
      <c r="E47" s="3" t="str">
        <f t="shared" si="15"/>
        <v>A'</v>
      </c>
      <c r="F47" s="47">
        <v>14</v>
      </c>
      <c r="G47" s="57" t="s">
        <v>116</v>
      </c>
      <c r="H47" s="57" t="s">
        <v>116</v>
      </c>
      <c r="I47" s="57">
        <v>1</v>
      </c>
      <c r="J47" s="57">
        <v>1</v>
      </c>
      <c r="K47" s="3">
        <f t="shared" si="20"/>
        <v>-1</v>
      </c>
      <c r="L47" s="3">
        <f t="shared" si="21"/>
        <v>-1</v>
      </c>
      <c r="M47" s="3">
        <f t="shared" si="22"/>
        <v>-2</v>
      </c>
      <c r="N47" s="3">
        <f>SUM($M$33:M47)</f>
        <v>4</v>
      </c>
      <c r="O47" s="3">
        <f t="shared" si="23"/>
        <v>0</v>
      </c>
      <c r="P47" s="3">
        <f t="shared" si="24"/>
        <v>1.9318516525781368</v>
      </c>
      <c r="Q47" s="3">
        <f t="shared" si="25"/>
        <v>0.5176380902050407</v>
      </c>
      <c r="R47" s="3">
        <f t="shared" si="26"/>
        <v>-0.95492965855137613</v>
      </c>
      <c r="S47" s="3">
        <f t="shared" si="27"/>
        <v>-1</v>
      </c>
      <c r="T47" s="3">
        <f t="shared" si="28"/>
        <v>-1</v>
      </c>
      <c r="U47" s="3">
        <f t="shared" si="29"/>
        <v>0</v>
      </c>
      <c r="V47" s="3">
        <f t="shared" si="30"/>
        <v>0</v>
      </c>
      <c r="W47" s="3">
        <f t="shared" si="31"/>
        <v>0</v>
      </c>
      <c r="X47" s="3">
        <f t="shared" si="32"/>
        <v>0</v>
      </c>
      <c r="Y47" s="3">
        <f t="shared" si="33"/>
        <v>-2</v>
      </c>
      <c r="Z47" s="3">
        <f t="shared" si="34"/>
        <v>0</v>
      </c>
      <c r="AA47" s="3">
        <f t="shared" si="35"/>
        <v>0</v>
      </c>
      <c r="AB47" s="65">
        <f t="shared" si="36"/>
        <v>1.9318516525781368</v>
      </c>
      <c r="AC47" s="3">
        <f t="shared" si="37"/>
        <v>0.5176380902050407</v>
      </c>
      <c r="AD47" s="65">
        <f t="shared" si="38"/>
        <v>0</v>
      </c>
      <c r="AE47" s="3">
        <f t="shared" si="39"/>
        <v>0</v>
      </c>
      <c r="AF47" s="65">
        <f t="shared" si="40"/>
        <v>0</v>
      </c>
      <c r="AG47" s="3">
        <f t="shared" si="41"/>
        <v>0</v>
      </c>
      <c r="AH47" s="3">
        <f t="shared" si="42"/>
        <v>2</v>
      </c>
      <c r="AI47" s="3">
        <f t="shared" si="43"/>
        <v>0</v>
      </c>
      <c r="AJ47" s="3">
        <f t="shared" si="44"/>
        <v>0</v>
      </c>
      <c r="AK47" s="3">
        <f t="shared" si="45"/>
        <v>0</v>
      </c>
      <c r="AL47" s="4">
        <f t="shared" si="46"/>
        <v>1</v>
      </c>
      <c r="AM47" s="4">
        <f t="shared" si="47"/>
        <v>1.9318516525781368</v>
      </c>
      <c r="AN47" s="4">
        <f t="shared" si="48"/>
        <v>0.5176380902050407</v>
      </c>
      <c r="AO47" s="4">
        <f t="shared" si="49"/>
        <v>0</v>
      </c>
      <c r="AP47" s="3">
        <f t="shared" si="50"/>
        <v>0</v>
      </c>
      <c r="AQ47" s="3">
        <f t="shared" si="51"/>
        <v>0</v>
      </c>
      <c r="AR47" s="3">
        <f t="shared" si="52"/>
        <v>0</v>
      </c>
      <c r="AS47" s="3">
        <f t="shared" si="53"/>
        <v>1.9318516525781368</v>
      </c>
      <c r="AT47" s="65">
        <f t="shared" si="54"/>
        <v>0.5176380902050407</v>
      </c>
      <c r="AU47" s="65"/>
      <c r="AV47" s="3">
        <f t="shared" si="19"/>
        <v>0</v>
      </c>
      <c r="AW47" s="3">
        <f t="shared" si="16"/>
        <v>1</v>
      </c>
      <c r="AX47" s="3">
        <f t="shared" si="17"/>
        <v>1</v>
      </c>
      <c r="AY47" s="65"/>
      <c r="AZ47" s="90" t="str">
        <f t="shared" si="55"/>
        <v>42.h</v>
      </c>
      <c r="BA47" s="221">
        <v>42</v>
      </c>
      <c r="BB47" s="222" t="s">
        <v>849</v>
      </c>
      <c r="BC47" s="223"/>
      <c r="BD47" s="223"/>
      <c r="BE47" s="224"/>
      <c r="BF47" s="223" t="s">
        <v>41</v>
      </c>
      <c r="BG47" s="223" t="s">
        <v>41</v>
      </c>
      <c r="BH47" s="223" t="s">
        <v>65</v>
      </c>
      <c r="BI47" s="223" t="s">
        <v>117</v>
      </c>
      <c r="BJ47" s="223" t="s">
        <v>116</v>
      </c>
      <c r="BK47" s="223" t="s">
        <v>116</v>
      </c>
      <c r="BL47" s="223" t="s">
        <v>116</v>
      </c>
      <c r="BM47" s="223" t="s">
        <v>120</v>
      </c>
      <c r="BN47" s="223" t="s">
        <v>120</v>
      </c>
      <c r="BO47" s="223" t="s">
        <v>120</v>
      </c>
      <c r="BP47" s="223" t="s">
        <v>117</v>
      </c>
      <c r="BQ47" s="223" t="s">
        <v>117</v>
      </c>
      <c r="BR47" s="223" t="s">
        <v>65</v>
      </c>
      <c r="BS47" s="223" t="s">
        <v>65</v>
      </c>
      <c r="BT47" s="223" t="s">
        <v>46</v>
      </c>
      <c r="BU47" s="223" t="s">
        <v>46</v>
      </c>
      <c r="BV47" s="223" t="s">
        <v>46</v>
      </c>
      <c r="BW47" s="223" t="s">
        <v>41</v>
      </c>
      <c r="BX47" s="223" t="s">
        <v>41</v>
      </c>
      <c r="BY47" s="223" t="s">
        <v>41</v>
      </c>
      <c r="BZ47" s="223" t="s">
        <v>65</v>
      </c>
      <c r="CA47" s="223" t="s">
        <v>117</v>
      </c>
      <c r="CB47" s="223" t="s">
        <v>116</v>
      </c>
      <c r="CC47" s="223" t="s">
        <v>116</v>
      </c>
      <c r="CD47" s="223" t="s">
        <v>116</v>
      </c>
      <c r="CE47" s="223" t="s">
        <v>120</v>
      </c>
      <c r="CF47" s="223" t="s">
        <v>120</v>
      </c>
      <c r="CG47" s="223" t="s">
        <v>120</v>
      </c>
      <c r="CH47" s="223" t="s">
        <v>117</v>
      </c>
      <c r="CI47" s="223" t="s">
        <v>117</v>
      </c>
      <c r="CJ47" s="223" t="s">
        <v>65</v>
      </c>
      <c r="CK47" s="223" t="s">
        <v>65</v>
      </c>
      <c r="CL47" s="223" t="s">
        <v>46</v>
      </c>
      <c r="CM47" s="223" t="s">
        <v>46</v>
      </c>
      <c r="CN47" s="223" t="s">
        <v>46</v>
      </c>
      <c r="CO47" s="223" t="s">
        <v>41</v>
      </c>
      <c r="CP47" s="223"/>
      <c r="CQ47" s="223"/>
      <c r="CR47" s="223"/>
      <c r="CS47" s="223"/>
      <c r="CT47" s="223"/>
      <c r="CU47" s="223"/>
      <c r="CV47" s="223"/>
      <c r="CW47" s="223"/>
      <c r="CX47" s="223"/>
      <c r="CY47" s="223"/>
      <c r="CZ47" s="223"/>
      <c r="DA47" s="223"/>
      <c r="DB47" s="223"/>
      <c r="DC47" s="223"/>
      <c r="DD47" s="223"/>
      <c r="DE47" s="223"/>
      <c r="DF47" s="223"/>
      <c r="DG47" s="223"/>
      <c r="DH47" s="223"/>
      <c r="DI47" s="223"/>
      <c r="DJ47" s="223"/>
      <c r="DK47" s="223"/>
      <c r="DL47" s="223"/>
      <c r="DM47" s="223"/>
      <c r="DN47" s="223"/>
      <c r="DO47" s="223"/>
      <c r="DP47" s="223"/>
      <c r="DQ47" s="223"/>
      <c r="DR47" s="223"/>
      <c r="DS47" s="223"/>
      <c r="DT47" s="223"/>
      <c r="DU47" s="223"/>
      <c r="DV47" s="223"/>
      <c r="DW47" s="223"/>
      <c r="DX47" s="223"/>
      <c r="DY47" s="223"/>
      <c r="DZ47" s="48" t="s">
        <v>582</v>
      </c>
    </row>
    <row r="48" spans="1:130" x14ac:dyDescent="0.2">
      <c r="A48" s="2"/>
      <c r="B48" s="2" t="s">
        <v>116</v>
      </c>
      <c r="C48" s="3" t="s">
        <v>116</v>
      </c>
      <c r="D48" s="3" t="str">
        <f t="shared" si="14"/>
        <v>A'</v>
      </c>
      <c r="E48" s="3" t="str">
        <f t="shared" si="15"/>
        <v>A'</v>
      </c>
      <c r="F48" s="3">
        <v>15</v>
      </c>
      <c r="G48" s="57" t="s">
        <v>116</v>
      </c>
      <c r="H48" s="57" t="s">
        <v>116</v>
      </c>
      <c r="I48" s="57">
        <v>1</v>
      </c>
      <c r="J48" s="57">
        <v>1</v>
      </c>
      <c r="K48" s="3">
        <f t="shared" si="20"/>
        <v>-1</v>
      </c>
      <c r="L48" s="3">
        <f t="shared" si="21"/>
        <v>-1</v>
      </c>
      <c r="M48" s="3">
        <f t="shared" si="22"/>
        <v>-2</v>
      </c>
      <c r="N48" s="3">
        <f>SUM($M$33:M48)</f>
        <v>2</v>
      </c>
      <c r="O48" s="3">
        <f t="shared" si="23"/>
        <v>-2</v>
      </c>
      <c r="P48" s="3">
        <f t="shared" si="24"/>
        <v>1.7320508075688776</v>
      </c>
      <c r="Q48" s="3">
        <f t="shared" si="25"/>
        <v>0.99999999999999944</v>
      </c>
      <c r="R48" s="3">
        <f t="shared" si="26"/>
        <v>-2.7997120975197167</v>
      </c>
      <c r="S48" s="3">
        <f t="shared" si="27"/>
        <v>-1</v>
      </c>
      <c r="T48" s="3">
        <f t="shared" si="28"/>
        <v>-1</v>
      </c>
      <c r="U48" s="3">
        <f t="shared" si="29"/>
        <v>0</v>
      </c>
      <c r="V48" s="3">
        <f t="shared" si="30"/>
        <v>0</v>
      </c>
      <c r="W48" s="3">
        <f t="shared" si="31"/>
        <v>0</v>
      </c>
      <c r="X48" s="3">
        <f t="shared" si="32"/>
        <v>0</v>
      </c>
      <c r="Y48" s="3">
        <f t="shared" si="33"/>
        <v>-2</v>
      </c>
      <c r="Z48" s="3">
        <f t="shared" si="34"/>
        <v>0</v>
      </c>
      <c r="AA48" s="3">
        <f t="shared" si="35"/>
        <v>0</v>
      </c>
      <c r="AB48" s="65">
        <f t="shared" si="36"/>
        <v>1.7320508075688776</v>
      </c>
      <c r="AC48" s="3">
        <f t="shared" si="37"/>
        <v>0.99999999999999944</v>
      </c>
      <c r="AD48" s="65">
        <f t="shared" si="38"/>
        <v>0</v>
      </c>
      <c r="AE48" s="3">
        <f t="shared" si="39"/>
        <v>0</v>
      </c>
      <c r="AF48" s="65">
        <f t="shared" si="40"/>
        <v>0</v>
      </c>
      <c r="AG48" s="3">
        <f t="shared" si="41"/>
        <v>0</v>
      </c>
      <c r="AH48" s="3">
        <f t="shared" si="42"/>
        <v>2</v>
      </c>
      <c r="AI48" s="3">
        <f t="shared" si="43"/>
        <v>0</v>
      </c>
      <c r="AJ48" s="3">
        <f t="shared" si="44"/>
        <v>0</v>
      </c>
      <c r="AK48" s="3">
        <f t="shared" si="45"/>
        <v>4</v>
      </c>
      <c r="AL48" s="4">
        <f t="shared" si="46"/>
        <v>1</v>
      </c>
      <c r="AM48" s="4">
        <f t="shared" si="47"/>
        <v>1.7320508075688776</v>
      </c>
      <c r="AN48" s="4">
        <f t="shared" si="48"/>
        <v>0.99999999999999944</v>
      </c>
      <c r="AO48" s="4">
        <f t="shared" si="49"/>
        <v>0</v>
      </c>
      <c r="AP48" s="3">
        <f t="shared" si="50"/>
        <v>0</v>
      </c>
      <c r="AQ48" s="3">
        <f t="shared" si="51"/>
        <v>0</v>
      </c>
      <c r="AR48" s="3">
        <f t="shared" si="52"/>
        <v>0</v>
      </c>
      <c r="AS48" s="3">
        <f t="shared" si="53"/>
        <v>1.7320508075688776</v>
      </c>
      <c r="AT48" s="65">
        <f t="shared" si="54"/>
        <v>0.99999999999999944</v>
      </c>
      <c r="AU48" s="65"/>
      <c r="AV48" s="3">
        <f t="shared" si="19"/>
        <v>0</v>
      </c>
      <c r="AW48" s="3">
        <f t="shared" si="16"/>
        <v>1</v>
      </c>
      <c r="AX48" s="3">
        <f t="shared" si="17"/>
        <v>1</v>
      </c>
      <c r="AY48" s="65"/>
      <c r="AZ48" s="90" t="str">
        <f t="shared" si="55"/>
        <v>43.h</v>
      </c>
      <c r="BA48" s="221">
        <v>43</v>
      </c>
      <c r="BB48" s="222"/>
      <c r="BC48" s="223"/>
      <c r="BD48" s="223"/>
      <c r="BE48" s="224"/>
      <c r="BF48" s="223"/>
      <c r="BG48" s="223"/>
      <c r="BH48" s="223"/>
      <c r="BI48" s="223"/>
      <c r="BJ48" s="223"/>
      <c r="BK48" s="223"/>
      <c r="BL48" s="223"/>
      <c r="BM48" s="223"/>
      <c r="BN48" s="223"/>
      <c r="BO48" s="223"/>
      <c r="BP48" s="223"/>
      <c r="BQ48" s="223"/>
      <c r="BR48" s="223"/>
      <c r="BS48" s="223"/>
      <c r="BT48" s="223"/>
      <c r="BU48" s="223"/>
      <c r="BV48" s="223"/>
      <c r="BW48" s="223"/>
      <c r="BX48" s="223"/>
      <c r="BY48" s="223"/>
      <c r="BZ48" s="223"/>
      <c r="CA48" s="223"/>
      <c r="CB48" s="223"/>
      <c r="CC48" s="223"/>
      <c r="CD48" s="223"/>
      <c r="CE48" s="223"/>
      <c r="CF48" s="223"/>
      <c r="CG48" s="223"/>
      <c r="CH48" s="223"/>
      <c r="CI48" s="223"/>
      <c r="CJ48" s="223"/>
      <c r="CK48" s="223"/>
      <c r="CL48" s="223"/>
      <c r="CM48" s="223"/>
      <c r="CN48" s="223"/>
      <c r="CO48" s="223"/>
      <c r="CP48" s="223"/>
      <c r="CQ48" s="223"/>
      <c r="CR48" s="223"/>
      <c r="CS48" s="223"/>
      <c r="CT48" s="223"/>
      <c r="CU48" s="223"/>
      <c r="CV48" s="223"/>
      <c r="CW48" s="223"/>
      <c r="CX48" s="223"/>
      <c r="CY48" s="223"/>
      <c r="CZ48" s="223"/>
      <c r="DA48" s="223"/>
      <c r="DB48" s="223"/>
      <c r="DC48" s="223"/>
      <c r="DD48" s="223"/>
      <c r="DE48" s="223"/>
      <c r="DF48" s="223"/>
      <c r="DG48" s="223"/>
      <c r="DH48" s="223"/>
      <c r="DI48" s="223"/>
      <c r="DJ48" s="223"/>
      <c r="DK48" s="223"/>
      <c r="DL48" s="223"/>
      <c r="DM48" s="223"/>
      <c r="DN48" s="223"/>
      <c r="DO48" s="223"/>
      <c r="DP48" s="223"/>
      <c r="DQ48" s="223"/>
      <c r="DR48" s="223"/>
      <c r="DS48" s="223"/>
      <c r="DT48" s="223"/>
      <c r="DU48" s="223"/>
      <c r="DV48" s="223"/>
      <c r="DW48" s="223"/>
      <c r="DX48" s="223"/>
      <c r="DY48" s="223"/>
      <c r="DZ48" s="48" t="s">
        <v>582</v>
      </c>
    </row>
    <row r="49" spans="1:130" x14ac:dyDescent="0.2">
      <c r="A49" s="2"/>
      <c r="B49" s="2" t="s">
        <v>116</v>
      </c>
      <c r="C49" s="3" t="s">
        <v>116</v>
      </c>
      <c r="D49" s="3" t="str">
        <f t="shared" si="14"/>
        <v>A'</v>
      </c>
      <c r="E49" s="3" t="str">
        <f t="shared" si="15"/>
        <v>A'</v>
      </c>
      <c r="F49" s="3">
        <v>16</v>
      </c>
      <c r="G49" s="57" t="s">
        <v>116</v>
      </c>
      <c r="H49" s="57" t="s">
        <v>116</v>
      </c>
      <c r="I49" s="57">
        <v>1</v>
      </c>
      <c r="J49" s="57">
        <v>1</v>
      </c>
      <c r="K49" s="3">
        <f t="shared" si="20"/>
        <v>-1</v>
      </c>
      <c r="L49" s="3">
        <f t="shared" si="21"/>
        <v>-1</v>
      </c>
      <c r="M49" s="3">
        <f t="shared" si="22"/>
        <v>-2</v>
      </c>
      <c r="N49" s="3">
        <f>SUM($M$33:M49)</f>
        <v>0</v>
      </c>
      <c r="O49" s="3">
        <f t="shared" si="23"/>
        <v>-4</v>
      </c>
      <c r="P49" s="3">
        <f t="shared" si="24"/>
        <v>1.4142135623730958</v>
      </c>
      <c r="Q49" s="3">
        <f t="shared" si="25"/>
        <v>1.4142135623730943</v>
      </c>
      <c r="R49" s="3">
        <f t="shared" si="26"/>
        <v>-4.4536987837850921</v>
      </c>
      <c r="S49" s="3">
        <f t="shared" si="27"/>
        <v>-1</v>
      </c>
      <c r="T49" s="3">
        <f t="shared" si="28"/>
        <v>-1</v>
      </c>
      <c r="U49" s="3">
        <f t="shared" si="29"/>
        <v>0</v>
      </c>
      <c r="V49" s="3">
        <f t="shared" si="30"/>
        <v>0</v>
      </c>
      <c r="W49" s="3">
        <f t="shared" si="31"/>
        <v>0</v>
      </c>
      <c r="X49" s="3">
        <f t="shared" si="32"/>
        <v>0</v>
      </c>
      <c r="Y49" s="3">
        <f t="shared" si="33"/>
        <v>-2</v>
      </c>
      <c r="Z49" s="3">
        <f t="shared" si="34"/>
        <v>0</v>
      </c>
      <c r="AA49" s="3">
        <f t="shared" si="35"/>
        <v>0</v>
      </c>
      <c r="AB49" s="65">
        <f t="shared" si="36"/>
        <v>1.4142135623730958</v>
      </c>
      <c r="AC49" s="3">
        <f t="shared" si="37"/>
        <v>1.4142135623730943</v>
      </c>
      <c r="AD49" s="65">
        <f t="shared" si="38"/>
        <v>0</v>
      </c>
      <c r="AE49" s="3">
        <f t="shared" si="39"/>
        <v>0</v>
      </c>
      <c r="AF49" s="65">
        <f t="shared" si="40"/>
        <v>0</v>
      </c>
      <c r="AG49" s="3">
        <f t="shared" si="41"/>
        <v>0</v>
      </c>
      <c r="AH49" s="3">
        <f t="shared" si="42"/>
        <v>2</v>
      </c>
      <c r="AI49" s="3">
        <f t="shared" si="43"/>
        <v>0</v>
      </c>
      <c r="AJ49" s="3">
        <f t="shared" si="44"/>
        <v>0</v>
      </c>
      <c r="AK49" s="3">
        <f t="shared" si="45"/>
        <v>16</v>
      </c>
      <c r="AL49" s="4">
        <f t="shared" si="46"/>
        <v>1</v>
      </c>
      <c r="AM49" s="4">
        <f t="shared" si="47"/>
        <v>1.4142135623730958</v>
      </c>
      <c r="AN49" s="4">
        <f t="shared" si="48"/>
        <v>1.4142135623730943</v>
      </c>
      <c r="AO49" s="4">
        <f t="shared" si="49"/>
        <v>0</v>
      </c>
      <c r="AP49" s="3">
        <f t="shared" si="50"/>
        <v>0</v>
      </c>
      <c r="AQ49" s="3">
        <f t="shared" si="51"/>
        <v>0</v>
      </c>
      <c r="AR49" s="3">
        <f t="shared" si="52"/>
        <v>0</v>
      </c>
      <c r="AS49" s="3">
        <f t="shared" si="53"/>
        <v>1.4142135623730958</v>
      </c>
      <c r="AT49" s="65">
        <f t="shared" si="54"/>
        <v>1.4142135623730943</v>
      </c>
      <c r="AU49" s="65"/>
      <c r="AV49" s="3">
        <f t="shared" si="19"/>
        <v>0</v>
      </c>
      <c r="AW49" s="3">
        <f t="shared" si="16"/>
        <v>1</v>
      </c>
      <c r="AX49" s="3">
        <f t="shared" si="17"/>
        <v>1</v>
      </c>
      <c r="AY49" s="65"/>
      <c r="AZ49" s="90" t="str">
        <f t="shared" si="55"/>
        <v>44.h</v>
      </c>
      <c r="BA49" s="226">
        <v>44</v>
      </c>
      <c r="BB49" s="227"/>
      <c r="BC49" s="228"/>
      <c r="BD49" s="228"/>
      <c r="BE49" s="229"/>
      <c r="BF49" s="223"/>
      <c r="BG49" s="223"/>
      <c r="BH49" s="223"/>
      <c r="BI49" s="223"/>
      <c r="BJ49" s="223"/>
      <c r="BK49" s="223"/>
      <c r="BL49" s="223"/>
      <c r="BM49" s="223"/>
      <c r="BN49" s="223"/>
      <c r="BO49" s="223"/>
      <c r="BP49" s="223"/>
      <c r="BQ49" s="223"/>
      <c r="BR49" s="223"/>
      <c r="BS49" s="223"/>
      <c r="BT49" s="223"/>
      <c r="BU49" s="223"/>
      <c r="BV49" s="223"/>
      <c r="BW49" s="223"/>
      <c r="BX49" s="223"/>
      <c r="BY49" s="223"/>
      <c r="BZ49" s="223"/>
      <c r="CA49" s="223"/>
      <c r="CB49" s="223"/>
      <c r="CC49" s="223"/>
      <c r="CD49" s="223"/>
      <c r="CE49" s="223"/>
      <c r="CF49" s="223"/>
      <c r="CG49" s="223"/>
      <c r="CH49" s="223"/>
      <c r="CI49" s="223"/>
      <c r="CJ49" s="223"/>
      <c r="CK49" s="223"/>
      <c r="CL49" s="223"/>
      <c r="CM49" s="223"/>
      <c r="CN49" s="223"/>
      <c r="CO49" s="223"/>
      <c r="CP49" s="223"/>
      <c r="CQ49" s="223"/>
      <c r="CR49" s="223"/>
      <c r="CS49" s="223"/>
      <c r="CT49" s="223"/>
      <c r="CU49" s="223"/>
      <c r="CV49" s="223"/>
      <c r="CW49" s="223"/>
      <c r="CX49" s="223"/>
      <c r="CY49" s="223"/>
      <c r="CZ49" s="223"/>
      <c r="DA49" s="223"/>
      <c r="DB49" s="223"/>
      <c r="DC49" s="223"/>
      <c r="DD49" s="223"/>
      <c r="DE49" s="223"/>
      <c r="DF49" s="223"/>
      <c r="DG49" s="223"/>
      <c r="DH49" s="223"/>
      <c r="DI49" s="223"/>
      <c r="DJ49" s="223"/>
      <c r="DK49" s="223"/>
      <c r="DL49" s="223"/>
      <c r="DM49" s="223"/>
      <c r="DN49" s="223"/>
      <c r="DO49" s="223"/>
      <c r="DP49" s="223"/>
      <c r="DQ49" s="223"/>
      <c r="DR49" s="223"/>
      <c r="DS49" s="223"/>
      <c r="DT49" s="223"/>
      <c r="DU49" s="223"/>
      <c r="DV49" s="223"/>
      <c r="DW49" s="223"/>
      <c r="DX49" s="223"/>
      <c r="DY49" s="223"/>
      <c r="DZ49" s="51" t="s">
        <v>582</v>
      </c>
    </row>
    <row r="50" spans="1:130" x14ac:dyDescent="0.2">
      <c r="B50" s="3" t="s">
        <v>65</v>
      </c>
      <c r="C50" s="3" t="s">
        <v>65</v>
      </c>
      <c r="D50" s="3" t="str">
        <f t="shared" si="14"/>
        <v>C</v>
      </c>
      <c r="E50" s="3" t="str">
        <f t="shared" si="15"/>
        <v>C</v>
      </c>
      <c r="F50" s="3">
        <v>17</v>
      </c>
      <c r="G50" s="54" t="s">
        <v>65</v>
      </c>
      <c r="H50" s="54" t="s">
        <v>65</v>
      </c>
      <c r="I50" s="54">
        <v>1</v>
      </c>
      <c r="J50" s="54">
        <v>1</v>
      </c>
      <c r="K50" s="3">
        <f t="shared" si="20"/>
        <v>-0.49999999999999978</v>
      </c>
      <c r="L50" s="3">
        <f t="shared" si="21"/>
        <v>-0.49999999999999978</v>
      </c>
      <c r="M50" s="3">
        <f t="shared" si="22"/>
        <v>-0.99999999999999956</v>
      </c>
      <c r="N50" s="3">
        <f>SUM($M$33:M50)</f>
        <v>-0.99999999999999956</v>
      </c>
      <c r="O50" s="3">
        <f t="shared" si="23"/>
        <v>-5</v>
      </c>
      <c r="P50" s="3">
        <f t="shared" si="24"/>
        <v>0.50000000000000022</v>
      </c>
      <c r="Q50" s="3">
        <f t="shared" si="25"/>
        <v>0.86602540378443804</v>
      </c>
      <c r="R50" s="3">
        <f t="shared" si="26"/>
        <v>-5.804173258020751</v>
      </c>
      <c r="S50" s="3">
        <f t="shared" si="27"/>
        <v>0</v>
      </c>
      <c r="T50" s="3">
        <f t="shared" si="28"/>
        <v>0</v>
      </c>
      <c r="U50" s="3">
        <f t="shared" si="29"/>
        <v>0</v>
      </c>
      <c r="V50" s="3">
        <f t="shared" si="30"/>
        <v>0</v>
      </c>
      <c r="W50" s="3">
        <f t="shared" si="31"/>
        <v>1</v>
      </c>
      <c r="X50" s="3">
        <f t="shared" si="32"/>
        <v>1</v>
      </c>
      <c r="Y50" s="3">
        <f t="shared" si="33"/>
        <v>0</v>
      </c>
      <c r="Z50" s="3">
        <f t="shared" si="34"/>
        <v>0</v>
      </c>
      <c r="AA50" s="3">
        <f t="shared" si="35"/>
        <v>2</v>
      </c>
      <c r="AB50" s="65">
        <f t="shared" si="36"/>
        <v>0</v>
      </c>
      <c r="AC50" s="3">
        <f t="shared" si="37"/>
        <v>0</v>
      </c>
      <c r="AD50" s="65">
        <f t="shared" si="38"/>
        <v>0</v>
      </c>
      <c r="AE50" s="3">
        <f t="shared" si="39"/>
        <v>0</v>
      </c>
      <c r="AF50" s="65">
        <f t="shared" si="40"/>
        <v>-1.0000000000000009</v>
      </c>
      <c r="AG50" s="3">
        <f t="shared" si="41"/>
        <v>-1.7320508075688767</v>
      </c>
      <c r="AH50" s="3">
        <f t="shared" si="42"/>
        <v>0</v>
      </c>
      <c r="AI50" s="3">
        <f t="shared" si="43"/>
        <v>0</v>
      </c>
      <c r="AJ50" s="3">
        <f t="shared" si="44"/>
        <v>2</v>
      </c>
      <c r="AK50" s="3">
        <f t="shared" si="45"/>
        <v>25</v>
      </c>
      <c r="AL50" s="4">
        <f t="shared" si="46"/>
        <v>1</v>
      </c>
      <c r="AM50" s="4">
        <f t="shared" si="47"/>
        <v>0</v>
      </c>
      <c r="AN50" s="4">
        <f t="shared" si="48"/>
        <v>0</v>
      </c>
      <c r="AO50" s="4">
        <f t="shared" si="49"/>
        <v>0</v>
      </c>
      <c r="AP50" s="3">
        <f t="shared" si="50"/>
        <v>0</v>
      </c>
      <c r="AQ50" s="3">
        <f t="shared" si="51"/>
        <v>-1.0000000000000009</v>
      </c>
      <c r="AR50" s="3">
        <f t="shared" si="52"/>
        <v>-1.7320508075688767</v>
      </c>
      <c r="AS50" s="3">
        <f t="shared" si="53"/>
        <v>0.50000000000000022</v>
      </c>
      <c r="AT50" s="65">
        <f t="shared" si="54"/>
        <v>0.86602540378443804</v>
      </c>
      <c r="AU50" s="65"/>
      <c r="AV50" s="3">
        <f t="shared" si="19"/>
        <v>1</v>
      </c>
      <c r="AW50" s="3">
        <f t="shared" si="16"/>
        <v>1</v>
      </c>
      <c r="AX50" s="3">
        <f t="shared" si="17"/>
        <v>1</v>
      </c>
      <c r="AY50" s="65"/>
      <c r="AZ50" s="90" t="str">
        <f t="shared" si="55"/>
        <v>45.h</v>
      </c>
      <c r="BA50" s="217">
        <v>45</v>
      </c>
      <c r="BB50" s="218" t="s">
        <v>850</v>
      </c>
      <c r="BC50" s="219">
        <v>36</v>
      </c>
      <c r="BD50" s="219">
        <v>6</v>
      </c>
      <c r="BE50" s="220">
        <v>4</v>
      </c>
      <c r="BF50" s="219" t="s">
        <v>41</v>
      </c>
      <c r="BG50" s="219" t="s">
        <v>41</v>
      </c>
      <c r="BH50" s="219" t="s">
        <v>41</v>
      </c>
      <c r="BI50" s="219" t="s">
        <v>120</v>
      </c>
      <c r="BJ50" s="219" t="s">
        <v>120</v>
      </c>
      <c r="BK50" s="219" t="s">
        <v>120</v>
      </c>
      <c r="BL50" s="219" t="s">
        <v>46</v>
      </c>
      <c r="BM50" s="219" t="s">
        <v>46</v>
      </c>
      <c r="BN50" s="219" t="s">
        <v>65</v>
      </c>
      <c r="BO50" s="219" t="s">
        <v>65</v>
      </c>
      <c r="BP50" s="219" t="s">
        <v>117</v>
      </c>
      <c r="BQ50" s="219" t="s">
        <v>117</v>
      </c>
      <c r="BR50" s="219" t="s">
        <v>117</v>
      </c>
      <c r="BS50" s="219" t="s">
        <v>41</v>
      </c>
      <c r="BT50" s="219" t="s">
        <v>41</v>
      </c>
      <c r="BU50" s="219" t="s">
        <v>41</v>
      </c>
      <c r="BV50" s="219" t="s">
        <v>120</v>
      </c>
      <c r="BW50" s="219" t="s">
        <v>46</v>
      </c>
      <c r="BX50" s="219" t="s">
        <v>116</v>
      </c>
      <c r="BY50" s="219" t="s">
        <v>116</v>
      </c>
      <c r="BZ50" s="219" t="s">
        <v>116</v>
      </c>
      <c r="CA50" s="219" t="s">
        <v>65</v>
      </c>
      <c r="CB50" s="219" t="s">
        <v>65</v>
      </c>
      <c r="CC50" s="219" t="s">
        <v>65</v>
      </c>
      <c r="CD50" s="219" t="s">
        <v>117</v>
      </c>
      <c r="CE50" s="219" t="s">
        <v>117</v>
      </c>
      <c r="CF50" s="219" t="s">
        <v>120</v>
      </c>
      <c r="CG50" s="219" t="s">
        <v>120</v>
      </c>
      <c r="CH50" s="219" t="s">
        <v>46</v>
      </c>
      <c r="CI50" s="219" t="s">
        <v>46</v>
      </c>
      <c r="CJ50" s="219" t="s">
        <v>46</v>
      </c>
      <c r="CK50" s="219" t="s">
        <v>116</v>
      </c>
      <c r="CL50" s="219" t="s">
        <v>116</v>
      </c>
      <c r="CM50" s="219" t="s">
        <v>116</v>
      </c>
      <c r="CN50" s="219" t="s">
        <v>65</v>
      </c>
      <c r="CO50" s="219" t="s">
        <v>117</v>
      </c>
      <c r="CP50" s="219"/>
      <c r="CQ50" s="219"/>
      <c r="CR50" s="219"/>
      <c r="CS50" s="219"/>
      <c r="CT50" s="219"/>
      <c r="CU50" s="219"/>
      <c r="CV50" s="219"/>
      <c r="CW50" s="219"/>
      <c r="CX50" s="219"/>
      <c r="CY50" s="219"/>
      <c r="CZ50" s="219"/>
      <c r="DA50" s="219"/>
      <c r="DB50" s="219"/>
      <c r="DC50" s="219"/>
      <c r="DD50" s="219"/>
      <c r="DE50" s="219"/>
      <c r="DF50" s="219"/>
      <c r="DG50" s="219"/>
      <c r="DH50" s="219"/>
      <c r="DI50" s="219"/>
      <c r="DJ50" s="219"/>
      <c r="DK50" s="219"/>
      <c r="DL50" s="219"/>
      <c r="DM50" s="219"/>
      <c r="DN50" s="219"/>
      <c r="DO50" s="219"/>
      <c r="DP50" s="219"/>
      <c r="DQ50" s="219"/>
      <c r="DR50" s="219"/>
      <c r="DS50" s="219"/>
      <c r="DT50" s="219"/>
      <c r="DU50" s="219"/>
      <c r="DV50" s="219"/>
      <c r="DW50" s="219"/>
      <c r="DX50" s="219"/>
      <c r="DY50" s="219"/>
      <c r="DZ50" s="45" t="s">
        <v>582</v>
      </c>
    </row>
    <row r="51" spans="1:130" x14ac:dyDescent="0.2">
      <c r="B51" s="3" t="s">
        <v>65</v>
      </c>
      <c r="C51" s="3" t="s">
        <v>65</v>
      </c>
      <c r="D51" s="3" t="str">
        <f t="shared" si="14"/>
        <v>C</v>
      </c>
      <c r="E51" s="3" t="str">
        <f t="shared" si="15"/>
        <v>C</v>
      </c>
      <c r="F51" s="3">
        <v>18</v>
      </c>
      <c r="G51" s="54" t="s">
        <v>65</v>
      </c>
      <c r="H51" s="54" t="s">
        <v>65</v>
      </c>
      <c r="I51" s="54">
        <v>1</v>
      </c>
      <c r="J51" s="54">
        <v>1</v>
      </c>
      <c r="K51" s="3">
        <f t="shared" si="20"/>
        <v>-0.49999999999999978</v>
      </c>
      <c r="L51" s="3">
        <f t="shared" si="21"/>
        <v>-0.49999999999999978</v>
      </c>
      <c r="M51" s="3">
        <f t="shared" si="22"/>
        <v>-0.99999999999999956</v>
      </c>
      <c r="N51" s="3">
        <f>SUM($M$33:M51)</f>
        <v>-1.9999999999999991</v>
      </c>
      <c r="O51" s="3">
        <f t="shared" si="23"/>
        <v>-5.9999999999999991</v>
      </c>
      <c r="P51" s="3">
        <f t="shared" si="24"/>
        <v>0.25881904510252141</v>
      </c>
      <c r="Q51" s="3">
        <f t="shared" si="25"/>
        <v>0.96592582628906765</v>
      </c>
      <c r="R51" s="3">
        <f t="shared" si="26"/>
        <v>-6.7591029165721208</v>
      </c>
      <c r="S51" s="3">
        <f t="shared" si="27"/>
        <v>0</v>
      </c>
      <c r="T51" s="3">
        <f t="shared" si="28"/>
        <v>0</v>
      </c>
      <c r="U51" s="3">
        <f t="shared" si="29"/>
        <v>0</v>
      </c>
      <c r="V51" s="3">
        <f t="shared" si="30"/>
        <v>0</v>
      </c>
      <c r="W51" s="3">
        <f t="shared" si="31"/>
        <v>1</v>
      </c>
      <c r="X51" s="3">
        <f t="shared" si="32"/>
        <v>1</v>
      </c>
      <c r="Y51" s="3">
        <f t="shared" si="33"/>
        <v>0</v>
      </c>
      <c r="Z51" s="3">
        <f t="shared" si="34"/>
        <v>0</v>
      </c>
      <c r="AA51" s="3">
        <f t="shared" si="35"/>
        <v>2</v>
      </c>
      <c r="AB51" s="65">
        <f t="shared" si="36"/>
        <v>0</v>
      </c>
      <c r="AC51" s="3">
        <f t="shared" si="37"/>
        <v>0</v>
      </c>
      <c r="AD51" s="65">
        <f t="shared" si="38"/>
        <v>0</v>
      </c>
      <c r="AE51" s="3">
        <f t="shared" si="39"/>
        <v>0</v>
      </c>
      <c r="AF51" s="65">
        <f t="shared" si="40"/>
        <v>-0.51763809020504303</v>
      </c>
      <c r="AG51" s="3">
        <f t="shared" si="41"/>
        <v>-1.9318516525781362</v>
      </c>
      <c r="AH51" s="3">
        <f t="shared" si="42"/>
        <v>0</v>
      </c>
      <c r="AI51" s="3">
        <f t="shared" si="43"/>
        <v>0</v>
      </c>
      <c r="AJ51" s="3">
        <f t="shared" si="44"/>
        <v>2</v>
      </c>
      <c r="AK51" s="3">
        <f t="shared" si="45"/>
        <v>35.999999999999986</v>
      </c>
      <c r="AL51" s="4">
        <f t="shared" si="46"/>
        <v>1</v>
      </c>
      <c r="AM51" s="4">
        <f t="shared" si="47"/>
        <v>0</v>
      </c>
      <c r="AN51" s="4">
        <f t="shared" si="48"/>
        <v>0</v>
      </c>
      <c r="AO51" s="4">
        <f t="shared" si="49"/>
        <v>0</v>
      </c>
      <c r="AP51" s="3">
        <f t="shared" si="50"/>
        <v>0</v>
      </c>
      <c r="AQ51" s="3">
        <f t="shared" si="51"/>
        <v>-0.51763809020504303</v>
      </c>
      <c r="AR51" s="3">
        <f t="shared" si="52"/>
        <v>-1.9318516525781362</v>
      </c>
      <c r="AS51" s="3">
        <f t="shared" si="53"/>
        <v>0.25881904510252141</v>
      </c>
      <c r="AT51" s="65">
        <f t="shared" si="54"/>
        <v>0.96592582628906765</v>
      </c>
      <c r="AU51" s="65"/>
      <c r="AV51" s="3">
        <f t="shared" si="19"/>
        <v>0</v>
      </c>
      <c r="AW51" s="3">
        <f t="shared" si="16"/>
        <v>1</v>
      </c>
      <c r="AX51" s="3">
        <f t="shared" si="17"/>
        <v>1</v>
      </c>
      <c r="AY51" s="65"/>
      <c r="AZ51" s="90" t="str">
        <f t="shared" si="55"/>
        <v>46.h</v>
      </c>
      <c r="BA51" s="221">
        <v>46</v>
      </c>
      <c r="BB51" s="222" t="s">
        <v>851</v>
      </c>
      <c r="BC51" s="223"/>
      <c r="BD51" s="223"/>
      <c r="BE51" s="224"/>
      <c r="BF51" s="223" t="s">
        <v>41</v>
      </c>
      <c r="BG51" s="223" t="s">
        <v>41</v>
      </c>
      <c r="BH51" s="223" t="s">
        <v>120</v>
      </c>
      <c r="BI51" s="223" t="s">
        <v>46</v>
      </c>
      <c r="BJ51" s="223" t="s">
        <v>116</v>
      </c>
      <c r="BK51" s="223" t="s">
        <v>116</v>
      </c>
      <c r="BL51" s="223" t="s">
        <v>116</v>
      </c>
      <c r="BM51" s="223" t="s">
        <v>65</v>
      </c>
      <c r="BN51" s="223" t="s">
        <v>65</v>
      </c>
      <c r="BO51" s="223" t="s">
        <v>65</v>
      </c>
      <c r="BP51" s="223" t="s">
        <v>117</v>
      </c>
      <c r="BQ51" s="223" t="s">
        <v>117</v>
      </c>
      <c r="BR51" s="223" t="s">
        <v>120</v>
      </c>
      <c r="BS51" s="223" t="s">
        <v>120</v>
      </c>
      <c r="BT51" s="223" t="s">
        <v>46</v>
      </c>
      <c r="BU51" s="223" t="s">
        <v>46</v>
      </c>
      <c r="BV51" s="223" t="s">
        <v>46</v>
      </c>
      <c r="BW51" s="223" t="s">
        <v>116</v>
      </c>
      <c r="BX51" s="223" t="s">
        <v>116</v>
      </c>
      <c r="BY51" s="223" t="s">
        <v>116</v>
      </c>
      <c r="BZ51" s="223" t="s">
        <v>65</v>
      </c>
      <c r="CA51" s="223" t="s">
        <v>117</v>
      </c>
      <c r="CB51" s="223" t="s">
        <v>41</v>
      </c>
      <c r="CC51" s="223" t="s">
        <v>41</v>
      </c>
      <c r="CD51" s="223" t="s">
        <v>41</v>
      </c>
      <c r="CE51" s="223" t="s">
        <v>120</v>
      </c>
      <c r="CF51" s="223" t="s">
        <v>120</v>
      </c>
      <c r="CG51" s="223" t="s">
        <v>120</v>
      </c>
      <c r="CH51" s="223" t="s">
        <v>46</v>
      </c>
      <c r="CI51" s="223" t="s">
        <v>46</v>
      </c>
      <c r="CJ51" s="223" t="s">
        <v>65</v>
      </c>
      <c r="CK51" s="223" t="s">
        <v>65</v>
      </c>
      <c r="CL51" s="223" t="s">
        <v>117</v>
      </c>
      <c r="CM51" s="223" t="s">
        <v>117</v>
      </c>
      <c r="CN51" s="223" t="s">
        <v>117</v>
      </c>
      <c r="CO51" s="223" t="s">
        <v>41</v>
      </c>
      <c r="CP51" s="223"/>
      <c r="CQ51" s="223"/>
      <c r="CR51" s="223"/>
      <c r="CS51" s="223"/>
      <c r="CT51" s="223"/>
      <c r="CU51" s="223"/>
      <c r="CV51" s="223"/>
      <c r="CW51" s="223"/>
      <c r="CX51" s="223"/>
      <c r="CY51" s="223"/>
      <c r="CZ51" s="223"/>
      <c r="DA51" s="223"/>
      <c r="DB51" s="223"/>
      <c r="DC51" s="223"/>
      <c r="DD51" s="223"/>
      <c r="DE51" s="223"/>
      <c r="DF51" s="223"/>
      <c r="DG51" s="223"/>
      <c r="DH51" s="223"/>
      <c r="DI51" s="223"/>
      <c r="DJ51" s="223"/>
      <c r="DK51" s="223"/>
      <c r="DL51" s="223"/>
      <c r="DM51" s="223"/>
      <c r="DN51" s="223"/>
      <c r="DO51" s="223"/>
      <c r="DP51" s="223"/>
      <c r="DQ51" s="223"/>
      <c r="DR51" s="223"/>
      <c r="DS51" s="223"/>
      <c r="DT51" s="223"/>
      <c r="DU51" s="223"/>
      <c r="DV51" s="223"/>
      <c r="DW51" s="223"/>
      <c r="DX51" s="223"/>
      <c r="DY51" s="223"/>
      <c r="DZ51" s="48" t="s">
        <v>582</v>
      </c>
    </row>
    <row r="52" spans="1:130" x14ac:dyDescent="0.2">
      <c r="B52" s="3" t="s">
        <v>65</v>
      </c>
      <c r="C52" s="3" t="s">
        <v>65</v>
      </c>
      <c r="D52" s="3" t="str">
        <f t="shared" si="14"/>
        <v>C</v>
      </c>
      <c r="E52" s="3" t="str">
        <f t="shared" si="15"/>
        <v>C</v>
      </c>
      <c r="F52" s="3">
        <v>19</v>
      </c>
      <c r="G52" s="54" t="s">
        <v>65</v>
      </c>
      <c r="H52" s="54" t="s">
        <v>65</v>
      </c>
      <c r="I52" s="54">
        <v>1</v>
      </c>
      <c r="J52" s="54">
        <v>1</v>
      </c>
      <c r="K52" s="3">
        <f t="shared" si="20"/>
        <v>-0.49999999999999978</v>
      </c>
      <c r="L52" s="3">
        <f t="shared" si="21"/>
        <v>-0.49999999999999978</v>
      </c>
      <c r="M52" s="3">
        <f t="shared" si="22"/>
        <v>-0.99999999999999956</v>
      </c>
      <c r="N52" s="3">
        <f>SUM($M$33:M52)</f>
        <v>-2.9999999999999987</v>
      </c>
      <c r="O52" s="3">
        <f t="shared" si="23"/>
        <v>-6.9999999999999982</v>
      </c>
      <c r="P52" s="3">
        <f t="shared" si="24"/>
        <v>1.8377226823629293E-16</v>
      </c>
      <c r="Q52" s="3">
        <f t="shared" si="25"/>
        <v>0.99999999999999956</v>
      </c>
      <c r="R52" s="3">
        <f t="shared" si="26"/>
        <v>-7.2534108813048039</v>
      </c>
      <c r="S52" s="3">
        <f t="shared" si="27"/>
        <v>0</v>
      </c>
      <c r="T52" s="3">
        <f t="shared" si="28"/>
        <v>0</v>
      </c>
      <c r="U52" s="3">
        <f t="shared" si="29"/>
        <v>0</v>
      </c>
      <c r="V52" s="3">
        <f t="shared" si="30"/>
        <v>0</v>
      </c>
      <c r="W52" s="3">
        <f t="shared" si="31"/>
        <v>1</v>
      </c>
      <c r="X52" s="3">
        <f t="shared" si="32"/>
        <v>1</v>
      </c>
      <c r="Y52" s="3">
        <f t="shared" si="33"/>
        <v>0</v>
      </c>
      <c r="Z52" s="3">
        <f t="shared" si="34"/>
        <v>0</v>
      </c>
      <c r="AA52" s="3">
        <f t="shared" si="35"/>
        <v>2</v>
      </c>
      <c r="AB52" s="65">
        <f t="shared" si="36"/>
        <v>0</v>
      </c>
      <c r="AC52" s="3">
        <f t="shared" si="37"/>
        <v>0</v>
      </c>
      <c r="AD52" s="65">
        <f t="shared" si="38"/>
        <v>0</v>
      </c>
      <c r="AE52" s="3">
        <f t="shared" si="39"/>
        <v>0</v>
      </c>
      <c r="AF52" s="65">
        <f t="shared" si="40"/>
        <v>-3.67544536472586E-16</v>
      </c>
      <c r="AG52" s="3">
        <f t="shared" si="41"/>
        <v>-2</v>
      </c>
      <c r="AH52" s="3">
        <f t="shared" si="42"/>
        <v>0</v>
      </c>
      <c r="AI52" s="3">
        <f t="shared" si="43"/>
        <v>0</v>
      </c>
      <c r="AJ52" s="3">
        <f t="shared" si="44"/>
        <v>2</v>
      </c>
      <c r="AK52" s="3">
        <f t="shared" si="45"/>
        <v>48.999999999999972</v>
      </c>
      <c r="AL52" s="4">
        <f t="shared" si="46"/>
        <v>1</v>
      </c>
      <c r="AM52" s="4">
        <f t="shared" si="47"/>
        <v>0</v>
      </c>
      <c r="AN52" s="4">
        <f t="shared" si="48"/>
        <v>0</v>
      </c>
      <c r="AO52" s="4">
        <f t="shared" si="49"/>
        <v>0</v>
      </c>
      <c r="AP52" s="3">
        <f t="shared" si="50"/>
        <v>0</v>
      </c>
      <c r="AQ52" s="3">
        <f t="shared" si="51"/>
        <v>-3.67544536472586E-16</v>
      </c>
      <c r="AR52" s="3">
        <f t="shared" si="52"/>
        <v>-2</v>
      </c>
      <c r="AS52" s="3">
        <f t="shared" si="53"/>
        <v>1.8377226823629293E-16</v>
      </c>
      <c r="AT52" s="65">
        <f t="shared" si="54"/>
        <v>0.99999999999999956</v>
      </c>
      <c r="AU52" s="65"/>
      <c r="AV52" s="3">
        <f t="shared" si="19"/>
        <v>0</v>
      </c>
      <c r="AW52" s="3">
        <f t="shared" si="16"/>
        <v>1</v>
      </c>
      <c r="AX52" s="3">
        <f t="shared" si="17"/>
        <v>1</v>
      </c>
      <c r="AY52" s="65"/>
      <c r="AZ52" s="90" t="str">
        <f t="shared" si="55"/>
        <v>47.h</v>
      </c>
      <c r="BA52" s="221">
        <v>47</v>
      </c>
      <c r="BB52" s="222"/>
      <c r="BC52" s="223"/>
      <c r="BD52" s="223"/>
      <c r="BE52" s="224"/>
      <c r="BF52" s="223"/>
      <c r="BG52" s="223"/>
      <c r="BH52" s="223"/>
      <c r="BI52" s="223"/>
      <c r="BJ52" s="223"/>
      <c r="BK52" s="223"/>
      <c r="BL52" s="223"/>
      <c r="BM52" s="223"/>
      <c r="BN52" s="223"/>
      <c r="BO52" s="223"/>
      <c r="BP52" s="223"/>
      <c r="BQ52" s="223"/>
      <c r="BR52" s="223"/>
      <c r="BS52" s="223"/>
      <c r="BT52" s="223"/>
      <c r="BU52" s="223"/>
      <c r="BV52" s="223"/>
      <c r="BW52" s="223"/>
      <c r="BX52" s="223"/>
      <c r="BY52" s="223"/>
      <c r="BZ52" s="223"/>
      <c r="CA52" s="223"/>
      <c r="CB52" s="223"/>
      <c r="CC52" s="223"/>
      <c r="CD52" s="223"/>
      <c r="CE52" s="223"/>
      <c r="CF52" s="223"/>
      <c r="CG52" s="223"/>
      <c r="CH52" s="223"/>
      <c r="CI52" s="223"/>
      <c r="CJ52" s="223"/>
      <c r="CK52" s="223"/>
      <c r="CL52" s="223"/>
      <c r="CM52" s="223"/>
      <c r="CN52" s="223"/>
      <c r="CO52" s="223"/>
      <c r="CP52" s="223"/>
      <c r="CQ52" s="223"/>
      <c r="CR52" s="223"/>
      <c r="CS52" s="223"/>
      <c r="CT52" s="223"/>
      <c r="CU52" s="223"/>
      <c r="CV52" s="223"/>
      <c r="CW52" s="223"/>
      <c r="CX52" s="223"/>
      <c r="CY52" s="223"/>
      <c r="CZ52" s="223"/>
      <c r="DA52" s="223"/>
      <c r="DB52" s="223"/>
      <c r="DC52" s="223"/>
      <c r="DD52" s="223"/>
      <c r="DE52" s="223"/>
      <c r="DF52" s="223"/>
      <c r="DG52" s="223"/>
      <c r="DH52" s="223"/>
      <c r="DI52" s="223"/>
      <c r="DJ52" s="223"/>
      <c r="DK52" s="223"/>
      <c r="DL52" s="223"/>
      <c r="DM52" s="223"/>
      <c r="DN52" s="223"/>
      <c r="DO52" s="223"/>
      <c r="DP52" s="223"/>
      <c r="DQ52" s="223"/>
      <c r="DR52" s="223"/>
      <c r="DS52" s="223"/>
      <c r="DT52" s="223"/>
      <c r="DU52" s="223"/>
      <c r="DV52" s="223"/>
      <c r="DW52" s="223"/>
      <c r="DX52" s="223"/>
      <c r="DY52" s="223"/>
      <c r="DZ52" s="48" t="s">
        <v>582</v>
      </c>
    </row>
    <row r="53" spans="1:130" x14ac:dyDescent="0.2">
      <c r="B53" s="3" t="s">
        <v>65</v>
      </c>
      <c r="C53" s="3" t="s">
        <v>65</v>
      </c>
      <c r="D53" s="3" t="str">
        <f t="shared" si="14"/>
        <v>C</v>
      </c>
      <c r="E53" s="3" t="str">
        <f t="shared" si="15"/>
        <v>C</v>
      </c>
      <c r="F53" s="3">
        <v>20</v>
      </c>
      <c r="G53" s="54" t="s">
        <v>65</v>
      </c>
      <c r="H53" s="54" t="s">
        <v>65</v>
      </c>
      <c r="I53" s="54">
        <v>1</v>
      </c>
      <c r="J53" s="54">
        <v>1</v>
      </c>
      <c r="K53" s="3">
        <f t="shared" si="20"/>
        <v>-0.49999999999999978</v>
      </c>
      <c r="L53" s="3">
        <f t="shared" si="21"/>
        <v>-0.49999999999999978</v>
      </c>
      <c r="M53" s="3">
        <f t="shared" si="22"/>
        <v>-0.99999999999999956</v>
      </c>
      <c r="N53" s="3">
        <f>SUM($M$33:M53)</f>
        <v>-3.9999999999999982</v>
      </c>
      <c r="O53" s="3">
        <f t="shared" si="23"/>
        <v>-7.9999999999999982</v>
      </c>
      <c r="P53" s="3">
        <f t="shared" si="24"/>
        <v>-0.25881904510252018</v>
      </c>
      <c r="Q53" s="3">
        <f t="shared" si="25"/>
        <v>0.96592582628906798</v>
      </c>
      <c r="R53" s="3">
        <f t="shared" si="26"/>
        <v>-7.2534108813048039</v>
      </c>
      <c r="S53" s="3">
        <f t="shared" si="27"/>
        <v>0</v>
      </c>
      <c r="T53" s="3">
        <f t="shared" si="28"/>
        <v>0</v>
      </c>
      <c r="U53" s="3">
        <f t="shared" si="29"/>
        <v>0</v>
      </c>
      <c r="V53" s="3">
        <f t="shared" si="30"/>
        <v>0</v>
      </c>
      <c r="W53" s="3">
        <f t="shared" si="31"/>
        <v>1</v>
      </c>
      <c r="X53" s="3">
        <f t="shared" si="32"/>
        <v>1</v>
      </c>
      <c r="Y53" s="3">
        <f t="shared" si="33"/>
        <v>0</v>
      </c>
      <c r="Z53" s="3">
        <f t="shared" si="34"/>
        <v>0</v>
      </c>
      <c r="AA53" s="3">
        <f t="shared" si="35"/>
        <v>2</v>
      </c>
      <c r="AB53" s="65">
        <f t="shared" si="36"/>
        <v>0</v>
      </c>
      <c r="AC53" s="3">
        <f t="shared" si="37"/>
        <v>0</v>
      </c>
      <c r="AD53" s="65">
        <f t="shared" si="38"/>
        <v>0</v>
      </c>
      <c r="AE53" s="3">
        <f t="shared" si="39"/>
        <v>0</v>
      </c>
      <c r="AF53" s="65">
        <f t="shared" si="40"/>
        <v>0.51763809020504059</v>
      </c>
      <c r="AG53" s="3">
        <f t="shared" si="41"/>
        <v>-1.9318516525781368</v>
      </c>
      <c r="AH53" s="3">
        <f t="shared" si="42"/>
        <v>0</v>
      </c>
      <c r="AI53" s="3">
        <f t="shared" si="43"/>
        <v>0</v>
      </c>
      <c r="AJ53" s="3">
        <f t="shared" si="44"/>
        <v>2</v>
      </c>
      <c r="AK53" s="3">
        <f t="shared" si="45"/>
        <v>63.999999999999972</v>
      </c>
      <c r="AL53" s="4">
        <f t="shared" si="46"/>
        <v>1</v>
      </c>
      <c r="AM53" s="4">
        <f t="shared" si="47"/>
        <v>0</v>
      </c>
      <c r="AN53" s="4">
        <f t="shared" si="48"/>
        <v>0</v>
      </c>
      <c r="AO53" s="4">
        <f t="shared" si="49"/>
        <v>0</v>
      </c>
      <c r="AP53" s="3">
        <f t="shared" si="50"/>
        <v>0</v>
      </c>
      <c r="AQ53" s="3">
        <f t="shared" si="51"/>
        <v>0.51763809020504059</v>
      </c>
      <c r="AR53" s="3">
        <f t="shared" si="52"/>
        <v>-1.9318516525781368</v>
      </c>
      <c r="AS53" s="3">
        <f t="shared" si="53"/>
        <v>-0.25881904510252018</v>
      </c>
      <c r="AT53" s="65">
        <f t="shared" si="54"/>
        <v>0.96592582628906798</v>
      </c>
      <c r="AU53" s="65"/>
      <c r="AV53" s="3">
        <f t="shared" si="19"/>
        <v>0</v>
      </c>
      <c r="AW53" s="3">
        <f t="shared" si="16"/>
        <v>1</v>
      </c>
      <c r="AX53" s="3">
        <f t="shared" si="17"/>
        <v>1</v>
      </c>
      <c r="AY53" s="65"/>
      <c r="AZ53" s="90" t="str">
        <f t="shared" si="55"/>
        <v>48.h</v>
      </c>
      <c r="BA53" s="226">
        <v>48</v>
      </c>
      <c r="BB53" s="227"/>
      <c r="BC53" s="228"/>
      <c r="BD53" s="228"/>
      <c r="BE53" s="229"/>
      <c r="BF53" s="223"/>
      <c r="BG53" s="223"/>
      <c r="BH53" s="223"/>
      <c r="BI53" s="223"/>
      <c r="BJ53" s="223"/>
      <c r="BK53" s="223"/>
      <c r="BL53" s="223"/>
      <c r="BM53" s="223"/>
      <c r="BN53" s="223"/>
      <c r="BO53" s="223"/>
      <c r="BP53" s="223"/>
      <c r="BQ53" s="223"/>
      <c r="BR53" s="223"/>
      <c r="BS53" s="223"/>
      <c r="BT53" s="223"/>
      <c r="BU53" s="223"/>
      <c r="BV53" s="223"/>
      <c r="BW53" s="223"/>
      <c r="BX53" s="223"/>
      <c r="BY53" s="223"/>
      <c r="BZ53" s="223"/>
      <c r="CA53" s="223"/>
      <c r="CB53" s="223"/>
      <c r="CC53" s="223"/>
      <c r="CD53" s="223"/>
      <c r="CE53" s="223"/>
      <c r="CF53" s="223"/>
      <c r="CG53" s="223"/>
      <c r="CH53" s="223"/>
      <c r="CI53" s="223"/>
      <c r="CJ53" s="223"/>
      <c r="CK53" s="223"/>
      <c r="CL53" s="223"/>
      <c r="CM53" s="223"/>
      <c r="CN53" s="223"/>
      <c r="CO53" s="223"/>
      <c r="CP53" s="223"/>
      <c r="CQ53" s="223"/>
      <c r="CR53" s="223"/>
      <c r="CS53" s="223"/>
      <c r="CT53" s="223"/>
      <c r="CU53" s="223"/>
      <c r="CV53" s="223"/>
      <c r="CW53" s="223"/>
      <c r="CX53" s="223"/>
      <c r="CY53" s="223"/>
      <c r="CZ53" s="223"/>
      <c r="DA53" s="223"/>
      <c r="DB53" s="223"/>
      <c r="DC53" s="223"/>
      <c r="DD53" s="223"/>
      <c r="DE53" s="223"/>
      <c r="DF53" s="223"/>
      <c r="DG53" s="223"/>
      <c r="DH53" s="223"/>
      <c r="DI53" s="223"/>
      <c r="DJ53" s="223"/>
      <c r="DK53" s="223"/>
      <c r="DL53" s="223"/>
      <c r="DM53" s="223"/>
      <c r="DN53" s="223"/>
      <c r="DO53" s="223"/>
      <c r="DP53" s="223"/>
      <c r="DQ53" s="223"/>
      <c r="DR53" s="223"/>
      <c r="DS53" s="223"/>
      <c r="DT53" s="223"/>
      <c r="DU53" s="223"/>
      <c r="DV53" s="223"/>
      <c r="DW53" s="223"/>
      <c r="DX53" s="223"/>
      <c r="DY53" s="223"/>
      <c r="DZ53" s="51" t="s">
        <v>582</v>
      </c>
    </row>
    <row r="54" spans="1:130" x14ac:dyDescent="0.2">
      <c r="B54" s="3" t="s">
        <v>117</v>
      </c>
      <c r="C54" s="3" t="s">
        <v>117</v>
      </c>
      <c r="D54" s="3" t="str">
        <f t="shared" si="14"/>
        <v>B'</v>
      </c>
      <c r="E54" s="3" t="str">
        <f t="shared" si="15"/>
        <v>B'</v>
      </c>
      <c r="F54" s="3">
        <v>21</v>
      </c>
      <c r="G54" s="54" t="s">
        <v>117</v>
      </c>
      <c r="H54" s="54" t="s">
        <v>117</v>
      </c>
      <c r="I54" s="54">
        <v>1</v>
      </c>
      <c r="J54" s="54">
        <v>1</v>
      </c>
      <c r="K54" s="3">
        <f t="shared" si="20"/>
        <v>0.49999999999999961</v>
      </c>
      <c r="L54" s="3">
        <f t="shared" si="21"/>
        <v>0.49999999999999961</v>
      </c>
      <c r="M54" s="3">
        <f t="shared" si="22"/>
        <v>0.99999999999999922</v>
      </c>
      <c r="N54" s="3">
        <f>SUM($M$33:M54)</f>
        <v>-2.9999999999999991</v>
      </c>
      <c r="O54" s="3">
        <f t="shared" si="23"/>
        <v>-6.9999999999999991</v>
      </c>
      <c r="P54" s="3">
        <f t="shared" si="24"/>
        <v>0.49999999999999895</v>
      </c>
      <c r="Q54" s="3">
        <f t="shared" si="25"/>
        <v>-0.86602540378443837</v>
      </c>
      <c r="R54" s="3">
        <f t="shared" si="26"/>
        <v>-6.759102916572119</v>
      </c>
      <c r="S54" s="3">
        <f t="shared" si="27"/>
        <v>0</v>
      </c>
      <c r="T54" s="3">
        <f t="shared" si="28"/>
        <v>0</v>
      </c>
      <c r="U54" s="3">
        <f t="shared" si="29"/>
        <v>-1</v>
      </c>
      <c r="V54" s="3">
        <f t="shared" si="30"/>
        <v>-1</v>
      </c>
      <c r="W54" s="3">
        <f t="shared" si="31"/>
        <v>0</v>
      </c>
      <c r="X54" s="3">
        <f t="shared" si="32"/>
        <v>0</v>
      </c>
      <c r="Y54" s="3">
        <f t="shared" si="33"/>
        <v>0</v>
      </c>
      <c r="Z54" s="3">
        <f t="shared" si="34"/>
        <v>-2</v>
      </c>
      <c r="AA54" s="3">
        <f t="shared" si="35"/>
        <v>0</v>
      </c>
      <c r="AB54" s="65">
        <f t="shared" si="36"/>
        <v>0</v>
      </c>
      <c r="AC54" s="3">
        <f t="shared" si="37"/>
        <v>0</v>
      </c>
      <c r="AD54" s="65">
        <f t="shared" si="38"/>
        <v>-0.99999999999999867</v>
      </c>
      <c r="AE54" s="3">
        <f t="shared" si="39"/>
        <v>1.7320508075688781</v>
      </c>
      <c r="AF54" s="65">
        <f t="shared" si="40"/>
        <v>0</v>
      </c>
      <c r="AG54" s="3">
        <f t="shared" si="41"/>
        <v>0</v>
      </c>
      <c r="AH54" s="3">
        <f t="shared" si="42"/>
        <v>0</v>
      </c>
      <c r="AI54" s="3">
        <f t="shared" si="43"/>
        <v>2</v>
      </c>
      <c r="AJ54" s="3">
        <f t="shared" si="44"/>
        <v>0</v>
      </c>
      <c r="AK54" s="3">
        <f t="shared" si="45"/>
        <v>48.999999999999986</v>
      </c>
      <c r="AL54" s="4">
        <f t="shared" si="46"/>
        <v>1</v>
      </c>
      <c r="AM54" s="4">
        <f t="shared" si="47"/>
        <v>0</v>
      </c>
      <c r="AN54" s="4">
        <f t="shared" si="48"/>
        <v>0</v>
      </c>
      <c r="AO54" s="4">
        <f t="shared" si="49"/>
        <v>-0.99999999999999867</v>
      </c>
      <c r="AP54" s="3">
        <f t="shared" si="50"/>
        <v>1.7320508075688781</v>
      </c>
      <c r="AQ54" s="3">
        <f t="shared" si="51"/>
        <v>0</v>
      </c>
      <c r="AR54" s="3">
        <f t="shared" si="52"/>
        <v>0</v>
      </c>
      <c r="AS54" s="3">
        <f t="shared" si="53"/>
        <v>0.49999999999999895</v>
      </c>
      <c r="AT54" s="65">
        <f t="shared" si="54"/>
        <v>-0.86602540378443837</v>
      </c>
      <c r="AU54" s="65"/>
      <c r="AV54" s="3">
        <f t="shared" si="19"/>
        <v>1</v>
      </c>
      <c r="AW54" s="3">
        <f t="shared" si="16"/>
        <v>1</v>
      </c>
      <c r="AX54" s="3">
        <f t="shared" si="17"/>
        <v>1</v>
      </c>
      <c r="AY54" s="65"/>
      <c r="AZ54" s="90" t="str">
        <f t="shared" si="55"/>
        <v>49.h</v>
      </c>
      <c r="BA54" s="217">
        <v>49</v>
      </c>
      <c r="BB54" s="218" t="s">
        <v>852</v>
      </c>
      <c r="BC54" s="219">
        <v>16</v>
      </c>
      <c r="BD54" s="219">
        <v>2</v>
      </c>
      <c r="BE54" s="220">
        <v>8</v>
      </c>
      <c r="BF54" s="219" t="s">
        <v>41</v>
      </c>
      <c r="BG54" s="219" t="s">
        <v>41</v>
      </c>
      <c r="BH54" s="219" t="s">
        <v>750</v>
      </c>
      <c r="BI54" s="219" t="s">
        <v>117</v>
      </c>
      <c r="BJ54" s="219" t="s">
        <v>117</v>
      </c>
      <c r="BK54" s="219" t="s">
        <v>750</v>
      </c>
      <c r="BL54" s="219" t="s">
        <v>65</v>
      </c>
      <c r="BM54" s="219" t="s">
        <v>65</v>
      </c>
      <c r="BN54" s="219" t="s">
        <v>116</v>
      </c>
      <c r="BO54" s="219" t="s">
        <v>116</v>
      </c>
      <c r="BP54" s="219" t="s">
        <v>750</v>
      </c>
      <c r="BQ54" s="219" t="s">
        <v>46</v>
      </c>
      <c r="BR54" s="219" t="s">
        <v>46</v>
      </c>
      <c r="BS54" s="219" t="s">
        <v>750</v>
      </c>
      <c r="BT54" s="219" t="s">
        <v>120</v>
      </c>
      <c r="BU54" s="219" t="s">
        <v>120</v>
      </c>
      <c r="BV54" s="219"/>
      <c r="BW54" s="219"/>
      <c r="BX54" s="219"/>
      <c r="BY54" s="219"/>
      <c r="BZ54" s="219"/>
      <c r="CA54" s="219"/>
      <c r="CB54" s="219"/>
      <c r="CC54" s="219"/>
      <c r="CD54" s="219"/>
      <c r="CE54" s="219"/>
      <c r="CF54" s="219"/>
      <c r="CG54" s="219"/>
      <c r="CH54" s="219"/>
      <c r="CI54" s="219"/>
      <c r="CJ54" s="219"/>
      <c r="CK54" s="219"/>
      <c r="CL54" s="219"/>
      <c r="CM54" s="219"/>
      <c r="CN54" s="219"/>
      <c r="CO54" s="219"/>
      <c r="CP54" s="219"/>
      <c r="CQ54" s="219"/>
      <c r="CR54" s="219"/>
      <c r="CS54" s="219"/>
      <c r="CT54" s="219"/>
      <c r="CU54" s="219"/>
      <c r="CV54" s="219"/>
      <c r="CW54" s="219"/>
      <c r="CX54" s="219"/>
      <c r="CY54" s="219"/>
      <c r="CZ54" s="219"/>
      <c r="DA54" s="219"/>
      <c r="DB54" s="219"/>
      <c r="DC54" s="219"/>
      <c r="DD54" s="219"/>
      <c r="DE54" s="219"/>
      <c r="DF54" s="219"/>
      <c r="DG54" s="219"/>
      <c r="DH54" s="219"/>
      <c r="DI54" s="219"/>
      <c r="DJ54" s="219"/>
      <c r="DK54" s="219"/>
      <c r="DL54" s="219"/>
      <c r="DM54" s="219"/>
      <c r="DN54" s="219"/>
      <c r="DO54" s="219"/>
      <c r="DP54" s="219"/>
      <c r="DQ54" s="219"/>
      <c r="DR54" s="219"/>
      <c r="DS54" s="219"/>
      <c r="DT54" s="219"/>
      <c r="DU54" s="219"/>
      <c r="DV54" s="219"/>
      <c r="DW54" s="219"/>
      <c r="DX54" s="219"/>
      <c r="DY54" s="219"/>
      <c r="DZ54" s="45" t="s">
        <v>582</v>
      </c>
    </row>
    <row r="55" spans="1:130" x14ac:dyDescent="0.2">
      <c r="B55" s="3" t="s">
        <v>117</v>
      </c>
      <c r="C55" s="3" t="s">
        <v>117</v>
      </c>
      <c r="D55" s="3" t="str">
        <f t="shared" si="14"/>
        <v>B'</v>
      </c>
      <c r="E55" s="3" t="str">
        <f t="shared" si="15"/>
        <v>B'</v>
      </c>
      <c r="F55" s="3">
        <v>22</v>
      </c>
      <c r="G55" s="54" t="s">
        <v>117</v>
      </c>
      <c r="H55" s="54" t="s">
        <v>117</v>
      </c>
      <c r="I55" s="54">
        <v>1</v>
      </c>
      <c r="J55" s="54">
        <v>1</v>
      </c>
      <c r="K55" s="3">
        <f t="shared" si="20"/>
        <v>0.49999999999999961</v>
      </c>
      <c r="L55" s="3">
        <f t="shared" si="21"/>
        <v>0.49999999999999961</v>
      </c>
      <c r="M55" s="3">
        <f t="shared" si="22"/>
        <v>0.99999999999999922</v>
      </c>
      <c r="N55" s="3">
        <f>SUM($M$33:M55)</f>
        <v>-2</v>
      </c>
      <c r="O55" s="3">
        <f t="shared" si="23"/>
        <v>-6</v>
      </c>
      <c r="P55" s="3">
        <f t="shared" si="24"/>
        <v>0.7071067811865468</v>
      </c>
      <c r="Q55" s="3">
        <f t="shared" si="25"/>
        <v>-0.70710678118654713</v>
      </c>
      <c r="R55" s="3">
        <f t="shared" si="26"/>
        <v>-5.8041732580207483</v>
      </c>
      <c r="S55" s="3">
        <f t="shared" si="27"/>
        <v>0</v>
      </c>
      <c r="T55" s="3">
        <f t="shared" si="28"/>
        <v>0</v>
      </c>
      <c r="U55" s="3">
        <f t="shared" si="29"/>
        <v>-1</v>
      </c>
      <c r="V55" s="3">
        <f t="shared" si="30"/>
        <v>-1</v>
      </c>
      <c r="W55" s="3">
        <f t="shared" si="31"/>
        <v>0</v>
      </c>
      <c r="X55" s="3">
        <f t="shared" si="32"/>
        <v>0</v>
      </c>
      <c r="Y55" s="3">
        <f t="shared" si="33"/>
        <v>0</v>
      </c>
      <c r="Z55" s="3">
        <f t="shared" si="34"/>
        <v>-2</v>
      </c>
      <c r="AA55" s="3">
        <f t="shared" si="35"/>
        <v>0</v>
      </c>
      <c r="AB55" s="65">
        <f t="shared" si="36"/>
        <v>0</v>
      </c>
      <c r="AC55" s="3">
        <f t="shared" si="37"/>
        <v>0</v>
      </c>
      <c r="AD55" s="65">
        <f t="shared" si="38"/>
        <v>-1.4142135623730947</v>
      </c>
      <c r="AE55" s="3">
        <f t="shared" si="39"/>
        <v>1.4142135623730954</v>
      </c>
      <c r="AF55" s="65">
        <f t="shared" si="40"/>
        <v>0</v>
      </c>
      <c r="AG55" s="3">
        <f t="shared" si="41"/>
        <v>0</v>
      </c>
      <c r="AH55" s="3">
        <f t="shared" si="42"/>
        <v>0</v>
      </c>
      <c r="AI55" s="3">
        <f t="shared" si="43"/>
        <v>2</v>
      </c>
      <c r="AJ55" s="3">
        <f t="shared" si="44"/>
        <v>0</v>
      </c>
      <c r="AK55" s="3">
        <f t="shared" si="45"/>
        <v>36</v>
      </c>
      <c r="AL55" s="4">
        <f t="shared" si="46"/>
        <v>1</v>
      </c>
      <c r="AM55" s="4">
        <f t="shared" si="47"/>
        <v>0</v>
      </c>
      <c r="AN55" s="4">
        <f t="shared" si="48"/>
        <v>0</v>
      </c>
      <c r="AO55" s="4">
        <f t="shared" si="49"/>
        <v>-1.4142135623730947</v>
      </c>
      <c r="AP55" s="3">
        <f t="shared" si="50"/>
        <v>1.4142135623730954</v>
      </c>
      <c r="AQ55" s="3">
        <f t="shared" si="51"/>
        <v>0</v>
      </c>
      <c r="AR55" s="3">
        <f t="shared" si="52"/>
        <v>0</v>
      </c>
      <c r="AS55" s="3">
        <f t="shared" si="53"/>
        <v>0.7071067811865468</v>
      </c>
      <c r="AT55" s="65">
        <f t="shared" si="54"/>
        <v>-0.70710678118654713</v>
      </c>
      <c r="AU55" s="65"/>
      <c r="AV55" s="3">
        <f t="shared" si="19"/>
        <v>0</v>
      </c>
      <c r="AW55" s="3">
        <f t="shared" si="16"/>
        <v>1</v>
      </c>
      <c r="AX55" s="3">
        <f t="shared" si="17"/>
        <v>1</v>
      </c>
      <c r="AY55" s="65"/>
      <c r="AZ55" s="90" t="str">
        <f t="shared" si="55"/>
        <v>50.h</v>
      </c>
      <c r="BA55" s="221">
        <v>50</v>
      </c>
      <c r="BB55" s="222" t="s">
        <v>853</v>
      </c>
      <c r="BC55" s="223"/>
      <c r="BD55" s="223"/>
      <c r="BE55" s="224"/>
      <c r="BF55" s="223" t="s">
        <v>41</v>
      </c>
      <c r="BG55" s="223" t="s">
        <v>41</v>
      </c>
      <c r="BH55" s="223" t="s">
        <v>750</v>
      </c>
      <c r="BI55" s="223" t="s">
        <v>117</v>
      </c>
      <c r="BJ55" s="223" t="s">
        <v>117</v>
      </c>
      <c r="BK55" s="223" t="s">
        <v>750</v>
      </c>
      <c r="BL55" s="223" t="s">
        <v>65</v>
      </c>
      <c r="BM55" s="223" t="s">
        <v>65</v>
      </c>
      <c r="BN55" s="223" t="s">
        <v>116</v>
      </c>
      <c r="BO55" s="223" t="s">
        <v>116</v>
      </c>
      <c r="BP55" s="223" t="s">
        <v>750</v>
      </c>
      <c r="BQ55" s="223" t="s">
        <v>46</v>
      </c>
      <c r="BR55" s="223" t="s">
        <v>46</v>
      </c>
      <c r="BS55" s="223" t="s">
        <v>750</v>
      </c>
      <c r="BT55" s="223" t="s">
        <v>120</v>
      </c>
      <c r="BU55" s="223" t="s">
        <v>120</v>
      </c>
      <c r="BV55" s="223"/>
      <c r="BW55" s="223"/>
      <c r="BX55" s="223"/>
      <c r="BY55" s="223"/>
      <c r="BZ55" s="223"/>
      <c r="CA55" s="223"/>
      <c r="CB55" s="223"/>
      <c r="CC55" s="223"/>
      <c r="CD55" s="223"/>
      <c r="CE55" s="223"/>
      <c r="CF55" s="223"/>
      <c r="CG55" s="223"/>
      <c r="CH55" s="223"/>
      <c r="CI55" s="223"/>
      <c r="CJ55" s="223"/>
      <c r="CK55" s="223"/>
      <c r="CL55" s="223"/>
      <c r="CM55" s="223"/>
      <c r="CN55" s="223"/>
      <c r="CO55" s="223"/>
      <c r="CP55" s="223"/>
      <c r="CQ55" s="223"/>
      <c r="CR55" s="223"/>
      <c r="CS55" s="223"/>
      <c r="CT55" s="223"/>
      <c r="CU55" s="223"/>
      <c r="CV55" s="223"/>
      <c r="CW55" s="223"/>
      <c r="CX55" s="223"/>
      <c r="CY55" s="223"/>
      <c r="CZ55" s="223"/>
      <c r="DA55" s="223"/>
      <c r="DB55" s="223"/>
      <c r="DC55" s="223"/>
      <c r="DD55" s="223"/>
      <c r="DE55" s="223"/>
      <c r="DF55" s="223"/>
      <c r="DG55" s="223"/>
      <c r="DH55" s="223"/>
      <c r="DI55" s="223"/>
      <c r="DJ55" s="223"/>
      <c r="DK55" s="223"/>
      <c r="DL55" s="223"/>
      <c r="DM55" s="223"/>
      <c r="DN55" s="223"/>
      <c r="DO55" s="223"/>
      <c r="DP55" s="223"/>
      <c r="DQ55" s="223"/>
      <c r="DR55" s="223"/>
      <c r="DS55" s="223"/>
      <c r="DT55" s="223"/>
      <c r="DU55" s="223"/>
      <c r="DV55" s="223"/>
      <c r="DW55" s="223"/>
      <c r="DX55" s="223"/>
      <c r="DY55" s="223"/>
      <c r="DZ55" s="48" t="s">
        <v>582</v>
      </c>
    </row>
    <row r="56" spans="1:130" x14ac:dyDescent="0.2">
      <c r="B56" s="3" t="s">
        <v>117</v>
      </c>
      <c r="C56" s="3" t="s">
        <v>117</v>
      </c>
      <c r="D56" s="3" t="str">
        <f t="shared" si="14"/>
        <v>B'</v>
      </c>
      <c r="E56" s="3" t="str">
        <f t="shared" si="15"/>
        <v>B'</v>
      </c>
      <c r="F56" s="3">
        <v>23</v>
      </c>
      <c r="G56" s="54" t="s">
        <v>117</v>
      </c>
      <c r="H56" s="54" t="s">
        <v>117</v>
      </c>
      <c r="I56" s="54">
        <v>1</v>
      </c>
      <c r="J56" s="54">
        <v>1</v>
      </c>
      <c r="K56" s="3">
        <f t="shared" si="20"/>
        <v>0.49999999999999961</v>
      </c>
      <c r="L56" s="3">
        <f t="shared" si="21"/>
        <v>0.49999999999999961</v>
      </c>
      <c r="M56" s="3">
        <f t="shared" si="22"/>
        <v>0.99999999999999922</v>
      </c>
      <c r="N56" s="3">
        <f>SUM($M$33:M56)</f>
        <v>-1.0000000000000009</v>
      </c>
      <c r="O56" s="3">
        <f t="shared" si="23"/>
        <v>-5.0000000000000009</v>
      </c>
      <c r="P56" s="3">
        <f t="shared" si="24"/>
        <v>0.86602540378443771</v>
      </c>
      <c r="Q56" s="3">
        <f t="shared" si="25"/>
        <v>-0.5</v>
      </c>
      <c r="R56" s="3">
        <f t="shared" si="26"/>
        <v>-4.4536987837850912</v>
      </c>
      <c r="S56" s="3">
        <f t="shared" si="27"/>
        <v>0</v>
      </c>
      <c r="T56" s="3">
        <f t="shared" si="28"/>
        <v>0</v>
      </c>
      <c r="U56" s="3">
        <f t="shared" si="29"/>
        <v>-1</v>
      </c>
      <c r="V56" s="3">
        <f t="shared" si="30"/>
        <v>-1</v>
      </c>
      <c r="W56" s="3">
        <f t="shared" si="31"/>
        <v>0</v>
      </c>
      <c r="X56" s="3">
        <f t="shared" si="32"/>
        <v>0</v>
      </c>
      <c r="Y56" s="3">
        <f t="shared" si="33"/>
        <v>0</v>
      </c>
      <c r="Z56" s="3">
        <f t="shared" si="34"/>
        <v>-2</v>
      </c>
      <c r="AA56" s="3">
        <f t="shared" si="35"/>
        <v>0</v>
      </c>
      <c r="AB56" s="65">
        <f t="shared" si="36"/>
        <v>0</v>
      </c>
      <c r="AC56" s="3">
        <f t="shared" si="37"/>
        <v>0</v>
      </c>
      <c r="AD56" s="65">
        <f t="shared" si="38"/>
        <v>-1.7320508075688767</v>
      </c>
      <c r="AE56" s="3">
        <f t="shared" si="39"/>
        <v>1.0000000000000009</v>
      </c>
      <c r="AF56" s="65">
        <f t="shared" si="40"/>
        <v>0</v>
      </c>
      <c r="AG56" s="3">
        <f t="shared" si="41"/>
        <v>0</v>
      </c>
      <c r="AH56" s="3">
        <f t="shared" si="42"/>
        <v>0</v>
      </c>
      <c r="AI56" s="3">
        <f t="shared" si="43"/>
        <v>2</v>
      </c>
      <c r="AJ56" s="3">
        <f t="shared" si="44"/>
        <v>0</v>
      </c>
      <c r="AK56" s="3">
        <f t="shared" si="45"/>
        <v>25.000000000000007</v>
      </c>
      <c r="AL56" s="4">
        <f t="shared" si="46"/>
        <v>1</v>
      </c>
      <c r="AM56" s="4">
        <f t="shared" si="47"/>
        <v>0</v>
      </c>
      <c r="AN56" s="4">
        <f t="shared" si="48"/>
        <v>0</v>
      </c>
      <c r="AO56" s="4">
        <f t="shared" si="49"/>
        <v>-1.7320508075688767</v>
      </c>
      <c r="AP56" s="3">
        <f t="shared" si="50"/>
        <v>1.0000000000000009</v>
      </c>
      <c r="AQ56" s="3">
        <f t="shared" si="51"/>
        <v>0</v>
      </c>
      <c r="AR56" s="3">
        <f t="shared" si="52"/>
        <v>0</v>
      </c>
      <c r="AS56" s="3">
        <f t="shared" si="53"/>
        <v>0.86602540378443771</v>
      </c>
      <c r="AT56" s="65">
        <f t="shared" si="54"/>
        <v>-0.5</v>
      </c>
      <c r="AU56" s="65"/>
      <c r="AV56" s="3">
        <f t="shared" si="19"/>
        <v>0</v>
      </c>
      <c r="AW56" s="3">
        <f t="shared" si="16"/>
        <v>1</v>
      </c>
      <c r="AX56" s="3">
        <f t="shared" si="17"/>
        <v>1</v>
      </c>
      <c r="AY56" s="65"/>
      <c r="BA56" s="221">
        <v>51</v>
      </c>
      <c r="BB56" s="222"/>
      <c r="BC56" s="223"/>
      <c r="BD56" s="223"/>
      <c r="BE56" s="224"/>
      <c r="BF56" s="223"/>
      <c r="BG56" s="223"/>
      <c r="BH56" s="223"/>
      <c r="BI56" s="223"/>
      <c r="BJ56" s="223"/>
      <c r="BK56" s="223"/>
      <c r="BL56" s="223"/>
      <c r="BM56" s="223"/>
      <c r="BN56" s="223"/>
      <c r="BO56" s="223"/>
      <c r="BP56" s="223"/>
      <c r="BQ56" s="223"/>
      <c r="BR56" s="223"/>
      <c r="BS56" s="223"/>
      <c r="BT56" s="223"/>
      <c r="BU56" s="223"/>
      <c r="BV56" s="223"/>
      <c r="BW56" s="223"/>
      <c r="BX56" s="223"/>
      <c r="BY56" s="223"/>
      <c r="BZ56" s="223"/>
      <c r="CA56" s="223"/>
      <c r="CB56" s="223"/>
      <c r="CC56" s="223"/>
      <c r="CD56" s="223"/>
      <c r="CE56" s="223"/>
      <c r="CF56" s="223"/>
      <c r="CG56" s="223"/>
      <c r="CH56" s="223"/>
      <c r="CI56" s="223"/>
      <c r="CJ56" s="223"/>
      <c r="CK56" s="223"/>
      <c r="CL56" s="223"/>
      <c r="CM56" s="223"/>
      <c r="CN56" s="223"/>
      <c r="CO56" s="223"/>
      <c r="CP56" s="223"/>
      <c r="CQ56" s="223"/>
      <c r="CR56" s="223"/>
      <c r="CS56" s="223"/>
      <c r="CT56" s="223"/>
      <c r="CU56" s="223"/>
      <c r="CV56" s="223"/>
      <c r="CW56" s="223"/>
      <c r="CX56" s="223"/>
      <c r="CY56" s="223"/>
      <c r="CZ56" s="223"/>
      <c r="DA56" s="223"/>
      <c r="DB56" s="223"/>
      <c r="DC56" s="223"/>
      <c r="DD56" s="223"/>
      <c r="DE56" s="223"/>
      <c r="DF56" s="223"/>
      <c r="DG56" s="223"/>
      <c r="DH56" s="223"/>
      <c r="DI56" s="223"/>
      <c r="DJ56" s="223"/>
      <c r="DK56" s="223"/>
      <c r="DL56" s="223"/>
      <c r="DM56" s="223"/>
      <c r="DN56" s="223"/>
      <c r="DO56" s="223"/>
      <c r="DP56" s="223"/>
      <c r="DQ56" s="223"/>
      <c r="DR56" s="223"/>
      <c r="DS56" s="223"/>
      <c r="DT56" s="223"/>
      <c r="DU56" s="223"/>
      <c r="DV56" s="223"/>
      <c r="DW56" s="223"/>
      <c r="DX56" s="223"/>
      <c r="DY56" s="223"/>
      <c r="DZ56" s="48" t="s">
        <v>582</v>
      </c>
    </row>
    <row r="57" spans="1:130" x14ac:dyDescent="0.2">
      <c r="B57" s="3" t="s">
        <v>117</v>
      </c>
      <c r="C57" s="3" t="s">
        <v>117</v>
      </c>
      <c r="D57" s="3" t="str">
        <f t="shared" si="14"/>
        <v>B'</v>
      </c>
      <c r="E57" s="3" t="str">
        <f t="shared" si="15"/>
        <v>B'</v>
      </c>
      <c r="F57" s="3">
        <v>24</v>
      </c>
      <c r="G57" s="54" t="s">
        <v>117</v>
      </c>
      <c r="H57" s="54" t="s">
        <v>117</v>
      </c>
      <c r="I57" s="54">
        <v>1</v>
      </c>
      <c r="J57" s="54">
        <v>1</v>
      </c>
      <c r="K57" s="3">
        <f t="shared" si="20"/>
        <v>0.49999999999999961</v>
      </c>
      <c r="L57" s="3">
        <f t="shared" si="21"/>
        <v>0.49999999999999961</v>
      </c>
      <c r="M57" s="3">
        <f t="shared" si="22"/>
        <v>0.99999999999999922</v>
      </c>
      <c r="N57" s="3">
        <f>SUM($M$33:M57)</f>
        <v>0</v>
      </c>
      <c r="O57" s="3">
        <f t="shared" si="23"/>
        <v>-4</v>
      </c>
      <c r="P57" s="3">
        <f t="shared" si="24"/>
        <v>0.96592582628906731</v>
      </c>
      <c r="Q57" s="3">
        <f t="shared" si="25"/>
        <v>-0.25881904510252135</v>
      </c>
      <c r="R57" s="3">
        <f t="shared" si="26"/>
        <v>-2.7997120975197127</v>
      </c>
      <c r="S57" s="3">
        <f t="shared" si="27"/>
        <v>0</v>
      </c>
      <c r="T57" s="3">
        <f t="shared" si="28"/>
        <v>0</v>
      </c>
      <c r="U57" s="3">
        <f t="shared" si="29"/>
        <v>-1</v>
      </c>
      <c r="V57" s="3">
        <f t="shared" si="30"/>
        <v>-1</v>
      </c>
      <c r="W57" s="3">
        <f t="shared" si="31"/>
        <v>0</v>
      </c>
      <c r="X57" s="3">
        <f t="shared" si="32"/>
        <v>0</v>
      </c>
      <c r="Y57" s="3">
        <f t="shared" si="33"/>
        <v>0</v>
      </c>
      <c r="Z57" s="3">
        <f t="shared" si="34"/>
        <v>-2</v>
      </c>
      <c r="AA57" s="3">
        <f t="shared" si="35"/>
        <v>0</v>
      </c>
      <c r="AB57" s="65">
        <f t="shared" si="36"/>
        <v>0</v>
      </c>
      <c r="AC57" s="3">
        <f t="shared" si="37"/>
        <v>0</v>
      </c>
      <c r="AD57" s="65">
        <f t="shared" si="38"/>
        <v>-1.9318516525781362</v>
      </c>
      <c r="AE57" s="3">
        <f t="shared" si="39"/>
        <v>0.51763809020504314</v>
      </c>
      <c r="AF57" s="65">
        <f t="shared" si="40"/>
        <v>0</v>
      </c>
      <c r="AG57" s="3">
        <f t="shared" si="41"/>
        <v>0</v>
      </c>
      <c r="AH57" s="3">
        <f t="shared" si="42"/>
        <v>0</v>
      </c>
      <c r="AI57" s="3">
        <f t="shared" si="43"/>
        <v>2</v>
      </c>
      <c r="AJ57" s="3">
        <f t="shared" si="44"/>
        <v>0</v>
      </c>
      <c r="AK57" s="3">
        <f t="shared" si="45"/>
        <v>16</v>
      </c>
      <c r="AL57" s="4">
        <f t="shared" si="46"/>
        <v>1</v>
      </c>
      <c r="AM57" s="4">
        <f t="shared" si="47"/>
        <v>0</v>
      </c>
      <c r="AN57" s="4">
        <f t="shared" si="48"/>
        <v>0</v>
      </c>
      <c r="AO57" s="4">
        <f t="shared" si="49"/>
        <v>-1.9318516525781362</v>
      </c>
      <c r="AP57" s="3">
        <f t="shared" si="50"/>
        <v>0.51763809020504314</v>
      </c>
      <c r="AQ57" s="3">
        <f t="shared" si="51"/>
        <v>0</v>
      </c>
      <c r="AR57" s="3">
        <f t="shared" si="52"/>
        <v>0</v>
      </c>
      <c r="AS57" s="3">
        <f t="shared" si="53"/>
        <v>0.96592582628906731</v>
      </c>
      <c r="AT57" s="65">
        <f t="shared" si="54"/>
        <v>-0.25881904510252135</v>
      </c>
      <c r="AU57" s="65"/>
      <c r="AV57" s="3">
        <f t="shared" si="19"/>
        <v>0</v>
      </c>
      <c r="AW57" s="3">
        <f t="shared" si="16"/>
        <v>1</v>
      </c>
      <c r="AX57" s="3">
        <f t="shared" si="17"/>
        <v>1</v>
      </c>
      <c r="AY57" s="65"/>
      <c r="BA57" s="226">
        <v>52</v>
      </c>
      <c r="BB57" s="227"/>
      <c r="BC57" s="228"/>
      <c r="BD57" s="228"/>
      <c r="BE57" s="229"/>
      <c r="BF57" s="223"/>
      <c r="BG57" s="223"/>
      <c r="BH57" s="223"/>
      <c r="BI57" s="223"/>
      <c r="BJ57" s="223"/>
      <c r="BK57" s="223"/>
      <c r="BL57" s="223"/>
      <c r="BM57" s="223"/>
      <c r="BN57" s="223"/>
      <c r="BO57" s="223"/>
      <c r="BP57" s="223"/>
      <c r="BQ57" s="223"/>
      <c r="BR57" s="223"/>
      <c r="BS57" s="223"/>
      <c r="BT57" s="223"/>
      <c r="BU57" s="223"/>
      <c r="BV57" s="223"/>
      <c r="BW57" s="223"/>
      <c r="BX57" s="223"/>
      <c r="BY57" s="223"/>
      <c r="BZ57" s="223"/>
      <c r="CA57" s="223"/>
      <c r="CB57" s="223"/>
      <c r="CC57" s="223"/>
      <c r="CD57" s="223"/>
      <c r="CE57" s="223"/>
      <c r="CF57" s="223"/>
      <c r="CG57" s="223"/>
      <c r="CH57" s="223"/>
      <c r="CI57" s="223"/>
      <c r="CJ57" s="223"/>
      <c r="CK57" s="223"/>
      <c r="CL57" s="223"/>
      <c r="CM57" s="223"/>
      <c r="CN57" s="223"/>
      <c r="CO57" s="223"/>
      <c r="CP57" s="223"/>
      <c r="CQ57" s="223"/>
      <c r="CR57" s="223"/>
      <c r="CS57" s="223"/>
      <c r="CT57" s="223"/>
      <c r="CU57" s="223"/>
      <c r="CV57" s="223"/>
      <c r="CW57" s="223"/>
      <c r="CX57" s="223"/>
      <c r="CY57" s="223"/>
      <c r="CZ57" s="223"/>
      <c r="DA57" s="223"/>
      <c r="DB57" s="223"/>
      <c r="DC57" s="223"/>
      <c r="DD57" s="223"/>
      <c r="DE57" s="223"/>
      <c r="DF57" s="223"/>
      <c r="DG57" s="223"/>
      <c r="DH57" s="223"/>
      <c r="DI57" s="223"/>
      <c r="DJ57" s="223"/>
      <c r="DK57" s="223"/>
      <c r="DL57" s="223"/>
      <c r="DM57" s="223"/>
      <c r="DN57" s="223"/>
      <c r="DO57" s="223"/>
      <c r="DP57" s="223"/>
      <c r="DQ57" s="223"/>
      <c r="DR57" s="223"/>
      <c r="DS57" s="223"/>
      <c r="DT57" s="223"/>
      <c r="DU57" s="223"/>
      <c r="DV57" s="223"/>
      <c r="DW57" s="223"/>
      <c r="DX57" s="223"/>
      <c r="DY57" s="223"/>
      <c r="DZ57" s="51" t="s">
        <v>582</v>
      </c>
    </row>
    <row r="58" spans="1:130" x14ac:dyDescent="0.2">
      <c r="B58" s="3" t="s">
        <v>41</v>
      </c>
      <c r="C58" s="3" t="s">
        <v>41</v>
      </c>
      <c r="D58" s="3" t="str">
        <f t="shared" si="14"/>
        <v>A</v>
      </c>
      <c r="E58" s="3" t="str">
        <f t="shared" si="15"/>
        <v>A</v>
      </c>
      <c r="F58" s="3">
        <v>25</v>
      </c>
      <c r="G58" s="54" t="s">
        <v>41</v>
      </c>
      <c r="H58" s="54" t="s">
        <v>41</v>
      </c>
      <c r="I58" s="54">
        <v>1</v>
      </c>
      <c r="J58" s="54">
        <v>1</v>
      </c>
      <c r="K58" s="3">
        <f t="shared" si="20"/>
        <v>1</v>
      </c>
      <c r="L58" s="3">
        <f t="shared" si="21"/>
        <v>1</v>
      </c>
      <c r="M58" s="3">
        <f t="shared" si="22"/>
        <v>2</v>
      </c>
      <c r="N58" s="3">
        <f>SUM($M$33:M58)</f>
        <v>1.9999999999999982</v>
      </c>
      <c r="O58" s="3">
        <f t="shared" si="23"/>
        <v>-2.0000000000000018</v>
      </c>
      <c r="P58" s="3">
        <f t="shared" si="24"/>
        <v>2</v>
      </c>
      <c r="Q58" s="3">
        <f t="shared" si="25"/>
        <v>-4.90059381963448E-16</v>
      </c>
      <c r="R58" s="3">
        <f t="shared" si="26"/>
        <v>-0.95492965855137224</v>
      </c>
      <c r="S58" s="3">
        <f t="shared" si="27"/>
        <v>1</v>
      </c>
      <c r="T58" s="3">
        <f t="shared" si="28"/>
        <v>1</v>
      </c>
      <c r="U58" s="3">
        <f t="shared" si="29"/>
        <v>0</v>
      </c>
      <c r="V58" s="3">
        <f t="shared" si="30"/>
        <v>0</v>
      </c>
      <c r="W58" s="3">
        <f t="shared" si="31"/>
        <v>0</v>
      </c>
      <c r="X58" s="3">
        <f t="shared" si="32"/>
        <v>0</v>
      </c>
      <c r="Y58" s="3">
        <f t="shared" si="33"/>
        <v>2</v>
      </c>
      <c r="Z58" s="3">
        <f t="shared" si="34"/>
        <v>0</v>
      </c>
      <c r="AA58" s="3">
        <f t="shared" si="35"/>
        <v>0</v>
      </c>
      <c r="AB58" s="65">
        <f t="shared" si="36"/>
        <v>2</v>
      </c>
      <c r="AC58" s="3">
        <f t="shared" si="37"/>
        <v>-4.90059381963448E-16</v>
      </c>
      <c r="AD58" s="65">
        <f t="shared" si="38"/>
        <v>0</v>
      </c>
      <c r="AE58" s="3">
        <f t="shared" si="39"/>
        <v>0</v>
      </c>
      <c r="AF58" s="65">
        <f t="shared" si="40"/>
        <v>0</v>
      </c>
      <c r="AG58" s="3">
        <f t="shared" si="41"/>
        <v>0</v>
      </c>
      <c r="AH58" s="3">
        <f t="shared" si="42"/>
        <v>2</v>
      </c>
      <c r="AI58" s="3">
        <f t="shared" si="43"/>
        <v>0</v>
      </c>
      <c r="AJ58" s="3">
        <f t="shared" si="44"/>
        <v>0</v>
      </c>
      <c r="AK58" s="3">
        <f t="shared" si="45"/>
        <v>4.0000000000000071</v>
      </c>
      <c r="AL58" s="4">
        <f t="shared" si="46"/>
        <v>1</v>
      </c>
      <c r="AM58" s="4">
        <f t="shared" si="47"/>
        <v>2</v>
      </c>
      <c r="AN58" s="4">
        <f t="shared" si="48"/>
        <v>-4.90059381963448E-16</v>
      </c>
      <c r="AO58" s="4">
        <f t="shared" si="49"/>
        <v>0</v>
      </c>
      <c r="AP58" s="3">
        <f t="shared" si="50"/>
        <v>0</v>
      </c>
      <c r="AQ58" s="3">
        <f t="shared" si="51"/>
        <v>0</v>
      </c>
      <c r="AR58" s="3">
        <f t="shared" si="52"/>
        <v>0</v>
      </c>
      <c r="AS58" s="3">
        <f t="shared" si="53"/>
        <v>2</v>
      </c>
      <c r="AT58" s="65">
        <f t="shared" si="54"/>
        <v>-4.90059381963448E-16</v>
      </c>
      <c r="AU58" s="65"/>
      <c r="AV58" s="3">
        <f t="shared" si="19"/>
        <v>1</v>
      </c>
      <c r="AW58" s="3">
        <f t="shared" si="16"/>
        <v>1</v>
      </c>
      <c r="AX58" s="3">
        <f t="shared" si="17"/>
        <v>1</v>
      </c>
      <c r="AY58" s="65"/>
      <c r="BA58" s="217">
        <v>53</v>
      </c>
      <c r="BB58" s="218" t="s">
        <v>854</v>
      </c>
      <c r="BC58" s="219">
        <v>36</v>
      </c>
      <c r="BD58" s="219">
        <v>8</v>
      </c>
      <c r="BE58" s="220">
        <v>6</v>
      </c>
      <c r="BF58" s="219" t="s">
        <v>41</v>
      </c>
      <c r="BG58" s="219" t="s">
        <v>41</v>
      </c>
      <c r="BH58" s="219" t="s">
        <v>41</v>
      </c>
      <c r="BI58" s="219" t="s">
        <v>65</v>
      </c>
      <c r="BJ58" s="219" t="s">
        <v>65</v>
      </c>
      <c r="BK58" s="219" t="s">
        <v>65</v>
      </c>
      <c r="BL58" s="219" t="s">
        <v>46</v>
      </c>
      <c r="BM58" s="219" t="s">
        <v>46</v>
      </c>
      <c r="BN58" s="219" t="s">
        <v>120</v>
      </c>
      <c r="BO58" s="219" t="s">
        <v>120</v>
      </c>
      <c r="BP58" s="219" t="s">
        <v>117</v>
      </c>
      <c r="BQ58" s="219" t="s">
        <v>117</v>
      </c>
      <c r="BR58" s="219" t="s">
        <v>117</v>
      </c>
      <c r="BS58" s="219" t="s">
        <v>116</v>
      </c>
      <c r="BT58" s="219" t="s">
        <v>116</v>
      </c>
      <c r="BU58" s="219" t="s">
        <v>116</v>
      </c>
      <c r="BV58" s="219" t="s">
        <v>120</v>
      </c>
      <c r="BW58" s="219" t="s">
        <v>46</v>
      </c>
      <c r="BX58" s="219" t="s">
        <v>41</v>
      </c>
      <c r="BY58" s="219" t="s">
        <v>41</v>
      </c>
      <c r="BZ58" s="219" t="s">
        <v>41</v>
      </c>
      <c r="CA58" s="219" t="s">
        <v>65</v>
      </c>
      <c r="CB58" s="219" t="s">
        <v>65</v>
      </c>
      <c r="CC58" s="219" t="s">
        <v>65</v>
      </c>
      <c r="CD58" s="219" t="s">
        <v>46</v>
      </c>
      <c r="CE58" s="219" t="s">
        <v>46</v>
      </c>
      <c r="CF58" s="219" t="s">
        <v>120</v>
      </c>
      <c r="CG58" s="219" t="s">
        <v>120</v>
      </c>
      <c r="CH58" s="219" t="s">
        <v>117</v>
      </c>
      <c r="CI58" s="219" t="s">
        <v>117</v>
      </c>
      <c r="CJ58" s="219" t="s">
        <v>117</v>
      </c>
      <c r="CK58" s="219" t="s">
        <v>116</v>
      </c>
      <c r="CL58" s="219" t="s">
        <v>116</v>
      </c>
      <c r="CM58" s="219" t="s">
        <v>116</v>
      </c>
      <c r="CN58" s="219" t="s">
        <v>120</v>
      </c>
      <c r="CO58" s="219" t="s">
        <v>46</v>
      </c>
      <c r="CP58" s="219"/>
      <c r="CQ58" s="219"/>
      <c r="CR58" s="219"/>
      <c r="CS58" s="219"/>
      <c r="CT58" s="219"/>
      <c r="CU58" s="219"/>
      <c r="CV58" s="219"/>
      <c r="CW58" s="219"/>
      <c r="CX58" s="219"/>
      <c r="CY58" s="219"/>
      <c r="CZ58" s="219"/>
      <c r="DA58" s="219"/>
      <c r="DB58" s="219"/>
      <c r="DC58" s="219"/>
      <c r="DD58" s="219"/>
      <c r="DE58" s="219"/>
      <c r="DF58" s="219"/>
      <c r="DG58" s="219"/>
      <c r="DH58" s="219"/>
      <c r="DI58" s="219"/>
      <c r="DJ58" s="219"/>
      <c r="DK58" s="219"/>
      <c r="DL58" s="219"/>
      <c r="DM58" s="219"/>
      <c r="DN58" s="219"/>
      <c r="DO58" s="219"/>
      <c r="DP58" s="219"/>
      <c r="DQ58" s="219"/>
      <c r="DR58" s="219"/>
      <c r="DS58" s="219"/>
      <c r="DT58" s="219"/>
      <c r="DU58" s="219"/>
      <c r="DV58" s="219"/>
      <c r="DW58" s="219"/>
      <c r="DX58" s="219"/>
      <c r="DY58" s="219"/>
      <c r="DZ58" s="45" t="s">
        <v>582</v>
      </c>
    </row>
    <row r="59" spans="1:130" x14ac:dyDescent="0.2">
      <c r="B59" s="3" t="s">
        <v>41</v>
      </c>
      <c r="C59" s="3" t="s">
        <v>41</v>
      </c>
      <c r="D59" s="3" t="str">
        <f t="shared" si="14"/>
        <v>A</v>
      </c>
      <c r="E59" s="3" t="str">
        <f t="shared" si="15"/>
        <v>A</v>
      </c>
      <c r="F59" s="3">
        <v>26</v>
      </c>
      <c r="G59" s="54" t="s">
        <v>41</v>
      </c>
      <c r="H59" s="54" t="s">
        <v>41</v>
      </c>
      <c r="I59" s="54">
        <v>1</v>
      </c>
      <c r="J59" s="54">
        <v>1</v>
      </c>
      <c r="K59" s="3">
        <f t="shared" si="20"/>
        <v>1</v>
      </c>
      <c r="L59" s="3">
        <f t="shared" si="21"/>
        <v>1</v>
      </c>
      <c r="M59" s="3">
        <f t="shared" si="22"/>
        <v>2</v>
      </c>
      <c r="N59" s="3">
        <f>SUM($M$33:M59)</f>
        <v>3.9999999999999982</v>
      </c>
      <c r="O59" s="3">
        <f t="shared" si="23"/>
        <v>0</v>
      </c>
      <c r="P59" s="3">
        <f t="shared" si="24"/>
        <v>1.9318516525781368</v>
      </c>
      <c r="Q59" s="3">
        <f t="shared" si="25"/>
        <v>0.51763809020504048</v>
      </c>
      <c r="R59" s="3">
        <f t="shared" si="26"/>
        <v>0.95492965855136858</v>
      </c>
      <c r="S59" s="3">
        <f t="shared" si="27"/>
        <v>1</v>
      </c>
      <c r="T59" s="3">
        <f t="shared" si="28"/>
        <v>1</v>
      </c>
      <c r="U59" s="3">
        <f t="shared" si="29"/>
        <v>0</v>
      </c>
      <c r="V59" s="3">
        <f t="shared" si="30"/>
        <v>0</v>
      </c>
      <c r="W59" s="3">
        <f t="shared" si="31"/>
        <v>0</v>
      </c>
      <c r="X59" s="3">
        <f t="shared" si="32"/>
        <v>0</v>
      </c>
      <c r="Y59" s="3">
        <f t="shared" si="33"/>
        <v>2</v>
      </c>
      <c r="Z59" s="3">
        <f t="shared" si="34"/>
        <v>0</v>
      </c>
      <c r="AA59" s="3">
        <f t="shared" si="35"/>
        <v>0</v>
      </c>
      <c r="AB59" s="65">
        <f t="shared" si="36"/>
        <v>1.9318516525781368</v>
      </c>
      <c r="AC59" s="3">
        <f t="shared" si="37"/>
        <v>0.51763809020504048</v>
      </c>
      <c r="AD59" s="65">
        <f t="shared" si="38"/>
        <v>0</v>
      </c>
      <c r="AE59" s="3">
        <f t="shared" si="39"/>
        <v>0</v>
      </c>
      <c r="AF59" s="65">
        <f t="shared" si="40"/>
        <v>0</v>
      </c>
      <c r="AG59" s="3">
        <f t="shared" si="41"/>
        <v>0</v>
      </c>
      <c r="AH59" s="3">
        <f t="shared" si="42"/>
        <v>2</v>
      </c>
      <c r="AI59" s="3">
        <f t="shared" si="43"/>
        <v>0</v>
      </c>
      <c r="AJ59" s="3">
        <f t="shared" si="44"/>
        <v>0</v>
      </c>
      <c r="AK59" s="3">
        <f t="shared" si="45"/>
        <v>0</v>
      </c>
      <c r="AL59" s="4">
        <f t="shared" si="46"/>
        <v>1</v>
      </c>
      <c r="AM59" s="4">
        <f t="shared" si="47"/>
        <v>1.9318516525781368</v>
      </c>
      <c r="AN59" s="4">
        <f t="shared" si="48"/>
        <v>0.51763809020504048</v>
      </c>
      <c r="AO59" s="4">
        <f t="shared" si="49"/>
        <v>0</v>
      </c>
      <c r="AP59" s="3">
        <f t="shared" si="50"/>
        <v>0</v>
      </c>
      <c r="AQ59" s="3">
        <f t="shared" si="51"/>
        <v>0</v>
      </c>
      <c r="AR59" s="3">
        <f t="shared" si="52"/>
        <v>0</v>
      </c>
      <c r="AS59" s="3">
        <f t="shared" si="53"/>
        <v>1.9318516525781368</v>
      </c>
      <c r="AT59" s="65">
        <f t="shared" si="54"/>
        <v>0.51763809020504048</v>
      </c>
      <c r="AU59" s="65"/>
      <c r="AV59" s="3">
        <f t="shared" si="19"/>
        <v>0</v>
      </c>
      <c r="AW59" s="3">
        <f t="shared" si="16"/>
        <v>1</v>
      </c>
      <c r="AX59" s="3">
        <f t="shared" si="17"/>
        <v>1</v>
      </c>
      <c r="AY59" s="65"/>
      <c r="BA59" s="221">
        <v>54</v>
      </c>
      <c r="BB59" s="222" t="s">
        <v>855</v>
      </c>
      <c r="BC59" s="223"/>
      <c r="BD59" s="223"/>
      <c r="BE59" s="224"/>
      <c r="BF59" s="223" t="s">
        <v>46</v>
      </c>
      <c r="BG59" s="223" t="s">
        <v>41</v>
      </c>
      <c r="BH59" s="223" t="s">
        <v>41</v>
      </c>
      <c r="BI59" s="223" t="s">
        <v>41</v>
      </c>
      <c r="BJ59" s="223" t="s">
        <v>65</v>
      </c>
      <c r="BK59" s="223" t="s">
        <v>117</v>
      </c>
      <c r="BL59" s="223" t="s">
        <v>116</v>
      </c>
      <c r="BM59" s="223" t="s">
        <v>116</v>
      </c>
      <c r="BN59" s="223" t="s">
        <v>116</v>
      </c>
      <c r="BO59" s="223" t="s">
        <v>120</v>
      </c>
      <c r="BP59" s="223" t="s">
        <v>120</v>
      </c>
      <c r="BQ59" s="223" t="s">
        <v>120</v>
      </c>
      <c r="BR59" s="223" t="s">
        <v>117</v>
      </c>
      <c r="BS59" s="223" t="s">
        <v>117</v>
      </c>
      <c r="BT59" s="223" t="s">
        <v>65</v>
      </c>
      <c r="BU59" s="223" t="s">
        <v>65</v>
      </c>
      <c r="BV59" s="223" t="s">
        <v>46</v>
      </c>
      <c r="BW59" s="223" t="s">
        <v>46</v>
      </c>
      <c r="BX59" s="223" t="s">
        <v>46</v>
      </c>
      <c r="BY59" s="223" t="s">
        <v>41</v>
      </c>
      <c r="BZ59" s="223" t="s">
        <v>41</v>
      </c>
      <c r="CA59" s="223" t="s">
        <v>41</v>
      </c>
      <c r="CB59" s="223" t="s">
        <v>65</v>
      </c>
      <c r="CC59" s="223" t="s">
        <v>117</v>
      </c>
      <c r="CD59" s="223" t="s">
        <v>116</v>
      </c>
      <c r="CE59" s="223" t="s">
        <v>116</v>
      </c>
      <c r="CF59" s="223" t="s">
        <v>116</v>
      </c>
      <c r="CG59" s="223" t="s">
        <v>120</v>
      </c>
      <c r="CH59" s="223" t="s">
        <v>120</v>
      </c>
      <c r="CI59" s="223" t="s">
        <v>120</v>
      </c>
      <c r="CJ59" s="223" t="s">
        <v>117</v>
      </c>
      <c r="CK59" s="223" t="s">
        <v>117</v>
      </c>
      <c r="CL59" s="223" t="s">
        <v>65</v>
      </c>
      <c r="CM59" s="223" t="s">
        <v>65</v>
      </c>
      <c r="CN59" s="223" t="s">
        <v>46</v>
      </c>
      <c r="CO59" s="223" t="s">
        <v>46</v>
      </c>
      <c r="CP59" s="223"/>
      <c r="CQ59" s="223"/>
      <c r="CR59" s="223"/>
      <c r="CS59" s="223"/>
      <c r="CT59" s="223"/>
      <c r="CU59" s="223"/>
      <c r="CV59" s="223"/>
      <c r="CW59" s="223"/>
      <c r="CX59" s="223"/>
      <c r="CY59" s="223"/>
      <c r="CZ59" s="223"/>
      <c r="DA59" s="223"/>
      <c r="DB59" s="223"/>
      <c r="DC59" s="223"/>
      <c r="DD59" s="223"/>
      <c r="DE59" s="223"/>
      <c r="DF59" s="223"/>
      <c r="DG59" s="223"/>
      <c r="DH59" s="223"/>
      <c r="DI59" s="223"/>
      <c r="DJ59" s="223"/>
      <c r="DK59" s="223"/>
      <c r="DL59" s="223"/>
      <c r="DM59" s="223"/>
      <c r="DN59" s="223"/>
      <c r="DO59" s="223"/>
      <c r="DP59" s="223"/>
      <c r="DQ59" s="223"/>
      <c r="DR59" s="223"/>
      <c r="DS59" s="223"/>
      <c r="DT59" s="223"/>
      <c r="DU59" s="223"/>
      <c r="DV59" s="223"/>
      <c r="DW59" s="223"/>
      <c r="DX59" s="223"/>
      <c r="DY59" s="223"/>
      <c r="DZ59" s="48" t="s">
        <v>582</v>
      </c>
    </row>
    <row r="60" spans="1:130" x14ac:dyDescent="0.2">
      <c r="B60" s="3" t="s">
        <v>41</v>
      </c>
      <c r="C60" s="3" t="s">
        <v>41</v>
      </c>
      <c r="D60" s="3" t="str">
        <f t="shared" si="14"/>
        <v>A</v>
      </c>
      <c r="E60" s="3" t="str">
        <f t="shared" si="15"/>
        <v>A</v>
      </c>
      <c r="F60" s="3">
        <v>27</v>
      </c>
      <c r="G60" s="54" t="s">
        <v>41</v>
      </c>
      <c r="H60" s="54" t="s">
        <v>41</v>
      </c>
      <c r="I60" s="54">
        <v>1</v>
      </c>
      <c r="J60" s="54">
        <v>1</v>
      </c>
      <c r="K60" s="3">
        <f t="shared" si="20"/>
        <v>1</v>
      </c>
      <c r="L60" s="3">
        <f t="shared" si="21"/>
        <v>1</v>
      </c>
      <c r="M60" s="3">
        <f t="shared" si="22"/>
        <v>2</v>
      </c>
      <c r="N60" s="3">
        <f>SUM($M$33:M60)</f>
        <v>5.9999999999999982</v>
      </c>
      <c r="O60" s="3">
        <f t="shared" si="23"/>
        <v>1.9999999999999982</v>
      </c>
      <c r="P60" s="3">
        <f t="shared" si="24"/>
        <v>1.7320508075688781</v>
      </c>
      <c r="Q60" s="3">
        <f t="shared" si="25"/>
        <v>0.99999999999999856</v>
      </c>
      <c r="R60" s="3">
        <f t="shared" si="26"/>
        <v>2.7997120975197096</v>
      </c>
      <c r="S60" s="3">
        <f t="shared" si="27"/>
        <v>1</v>
      </c>
      <c r="T60" s="3">
        <f t="shared" si="28"/>
        <v>1</v>
      </c>
      <c r="U60" s="3">
        <f t="shared" si="29"/>
        <v>0</v>
      </c>
      <c r="V60" s="3">
        <f t="shared" si="30"/>
        <v>0</v>
      </c>
      <c r="W60" s="3">
        <f t="shared" si="31"/>
        <v>0</v>
      </c>
      <c r="X60" s="3">
        <f t="shared" si="32"/>
        <v>0</v>
      </c>
      <c r="Y60" s="3">
        <f t="shared" si="33"/>
        <v>2</v>
      </c>
      <c r="Z60" s="3">
        <f t="shared" si="34"/>
        <v>0</v>
      </c>
      <c r="AA60" s="3">
        <f t="shared" si="35"/>
        <v>0</v>
      </c>
      <c r="AB60" s="65">
        <f t="shared" si="36"/>
        <v>1.7320508075688781</v>
      </c>
      <c r="AC60" s="3">
        <f t="shared" si="37"/>
        <v>0.99999999999999856</v>
      </c>
      <c r="AD60" s="65">
        <f t="shared" si="38"/>
        <v>0</v>
      </c>
      <c r="AE60" s="3">
        <f t="shared" si="39"/>
        <v>0</v>
      </c>
      <c r="AF60" s="65">
        <f t="shared" si="40"/>
        <v>0</v>
      </c>
      <c r="AG60" s="3">
        <f t="shared" si="41"/>
        <v>0</v>
      </c>
      <c r="AH60" s="3">
        <f t="shared" si="42"/>
        <v>2</v>
      </c>
      <c r="AI60" s="3">
        <f t="shared" si="43"/>
        <v>0</v>
      </c>
      <c r="AJ60" s="3">
        <f t="shared" si="44"/>
        <v>0</v>
      </c>
      <c r="AK60" s="3">
        <f t="shared" si="45"/>
        <v>3.9999999999999929</v>
      </c>
      <c r="AL60" s="4">
        <f t="shared" si="46"/>
        <v>1</v>
      </c>
      <c r="AM60" s="4">
        <f t="shared" si="47"/>
        <v>1.7320508075688781</v>
      </c>
      <c r="AN60" s="4">
        <f t="shared" si="48"/>
        <v>0.99999999999999856</v>
      </c>
      <c r="AO60" s="4">
        <f t="shared" si="49"/>
        <v>0</v>
      </c>
      <c r="AP60" s="3">
        <f t="shared" si="50"/>
        <v>0</v>
      </c>
      <c r="AQ60" s="3">
        <f t="shared" si="51"/>
        <v>0</v>
      </c>
      <c r="AR60" s="3">
        <f t="shared" si="52"/>
        <v>0</v>
      </c>
      <c r="AS60" s="3">
        <f t="shared" si="53"/>
        <v>1.7320508075688781</v>
      </c>
      <c r="AT60" s="65">
        <f t="shared" si="54"/>
        <v>0.99999999999999856</v>
      </c>
      <c r="AU60" s="65"/>
      <c r="AV60" s="3">
        <f t="shared" si="19"/>
        <v>0</v>
      </c>
      <c r="AW60" s="3">
        <f t="shared" si="16"/>
        <v>1</v>
      </c>
      <c r="AX60" s="3">
        <f t="shared" si="17"/>
        <v>1</v>
      </c>
      <c r="AY60" s="65"/>
      <c r="BA60" s="221">
        <v>55</v>
      </c>
      <c r="BB60" s="222"/>
      <c r="BC60" s="223"/>
      <c r="BD60" s="223"/>
      <c r="BE60" s="224"/>
      <c r="BF60" s="223"/>
      <c r="BG60" s="223"/>
      <c r="BH60" s="223"/>
      <c r="BI60" s="223"/>
      <c r="BJ60" s="223"/>
      <c r="BK60" s="223"/>
      <c r="BL60" s="223"/>
      <c r="BM60" s="223"/>
      <c r="BN60" s="223"/>
      <c r="BO60" s="223"/>
      <c r="BP60" s="223"/>
      <c r="BQ60" s="223"/>
      <c r="BR60" s="223"/>
      <c r="BS60" s="223"/>
      <c r="BT60" s="223"/>
      <c r="BU60" s="223"/>
      <c r="BV60" s="223"/>
      <c r="BW60" s="223"/>
      <c r="BX60" s="223"/>
      <c r="BY60" s="223"/>
      <c r="BZ60" s="223"/>
      <c r="CA60" s="223"/>
      <c r="CB60" s="223"/>
      <c r="CC60" s="223"/>
      <c r="CD60" s="223"/>
      <c r="CE60" s="223"/>
      <c r="CF60" s="223"/>
      <c r="CG60" s="223"/>
      <c r="CH60" s="223"/>
      <c r="CI60" s="223"/>
      <c r="CJ60" s="223"/>
      <c r="CK60" s="223"/>
      <c r="CL60" s="223"/>
      <c r="CM60" s="223"/>
      <c r="CN60" s="223"/>
      <c r="CO60" s="223"/>
      <c r="CP60" s="223"/>
      <c r="CQ60" s="223"/>
      <c r="CR60" s="223"/>
      <c r="CS60" s="223"/>
      <c r="CT60" s="223"/>
      <c r="CU60" s="223"/>
      <c r="CV60" s="223"/>
      <c r="CW60" s="223"/>
      <c r="CX60" s="223"/>
      <c r="CY60" s="223"/>
      <c r="CZ60" s="223"/>
      <c r="DA60" s="223"/>
      <c r="DB60" s="223"/>
      <c r="DC60" s="223"/>
      <c r="DD60" s="223"/>
      <c r="DE60" s="223"/>
      <c r="DF60" s="223"/>
      <c r="DG60" s="223"/>
      <c r="DH60" s="223"/>
      <c r="DI60" s="223"/>
      <c r="DJ60" s="223"/>
      <c r="DK60" s="223"/>
      <c r="DL60" s="223"/>
      <c r="DM60" s="223"/>
      <c r="DN60" s="223"/>
      <c r="DO60" s="223"/>
      <c r="DP60" s="223"/>
      <c r="DQ60" s="223"/>
      <c r="DR60" s="223"/>
      <c r="DS60" s="223"/>
      <c r="DT60" s="223"/>
      <c r="DU60" s="223"/>
      <c r="DV60" s="223"/>
      <c r="DW60" s="223"/>
      <c r="DX60" s="223"/>
      <c r="DY60" s="223"/>
      <c r="DZ60" s="48" t="s">
        <v>582</v>
      </c>
    </row>
    <row r="61" spans="1:130" x14ac:dyDescent="0.2">
      <c r="B61" s="3" t="s">
        <v>41</v>
      </c>
      <c r="C61" s="3" t="s">
        <v>41</v>
      </c>
      <c r="D61" s="3" t="str">
        <f t="shared" si="14"/>
        <v>A</v>
      </c>
      <c r="E61" s="3" t="str">
        <f t="shared" si="15"/>
        <v>A</v>
      </c>
      <c r="F61" s="3">
        <v>28</v>
      </c>
      <c r="G61" s="54" t="s">
        <v>41</v>
      </c>
      <c r="H61" s="54" t="s">
        <v>41</v>
      </c>
      <c r="I61" s="54">
        <v>1</v>
      </c>
      <c r="J61" s="54">
        <v>1</v>
      </c>
      <c r="K61" s="3">
        <f t="shared" si="20"/>
        <v>1</v>
      </c>
      <c r="L61" s="3">
        <f t="shared" si="21"/>
        <v>1</v>
      </c>
      <c r="M61" s="3">
        <f t="shared" si="22"/>
        <v>2</v>
      </c>
      <c r="N61" s="3">
        <f>SUM($M$33:M61)</f>
        <v>7.9999999999999982</v>
      </c>
      <c r="O61" s="3">
        <f t="shared" si="23"/>
        <v>3.9999999999999982</v>
      </c>
      <c r="P61" s="3">
        <f t="shared" si="24"/>
        <v>1.4142135623730967</v>
      </c>
      <c r="Q61" s="3">
        <f t="shared" si="25"/>
        <v>1.4142135623730934</v>
      </c>
      <c r="R61" s="3">
        <f t="shared" si="26"/>
        <v>4.4536987837850841</v>
      </c>
      <c r="S61" s="3">
        <f t="shared" si="27"/>
        <v>1</v>
      </c>
      <c r="T61" s="3">
        <f t="shared" si="28"/>
        <v>1</v>
      </c>
      <c r="U61" s="3">
        <f t="shared" si="29"/>
        <v>0</v>
      </c>
      <c r="V61" s="3">
        <f t="shared" si="30"/>
        <v>0</v>
      </c>
      <c r="W61" s="3">
        <f t="shared" si="31"/>
        <v>0</v>
      </c>
      <c r="X61" s="3">
        <f t="shared" si="32"/>
        <v>0</v>
      </c>
      <c r="Y61" s="3">
        <f t="shared" si="33"/>
        <v>2</v>
      </c>
      <c r="Z61" s="3">
        <f t="shared" si="34"/>
        <v>0</v>
      </c>
      <c r="AA61" s="3">
        <f t="shared" si="35"/>
        <v>0</v>
      </c>
      <c r="AB61" s="65">
        <f t="shared" si="36"/>
        <v>1.4142135623730967</v>
      </c>
      <c r="AC61" s="3">
        <f t="shared" si="37"/>
        <v>1.4142135623730934</v>
      </c>
      <c r="AD61" s="65">
        <f t="shared" si="38"/>
        <v>0</v>
      </c>
      <c r="AE61" s="3">
        <f t="shared" si="39"/>
        <v>0</v>
      </c>
      <c r="AF61" s="65">
        <f t="shared" si="40"/>
        <v>0</v>
      </c>
      <c r="AG61" s="3">
        <f t="shared" si="41"/>
        <v>0</v>
      </c>
      <c r="AH61" s="3">
        <f t="shared" si="42"/>
        <v>2</v>
      </c>
      <c r="AI61" s="3">
        <f t="shared" si="43"/>
        <v>0</v>
      </c>
      <c r="AJ61" s="3">
        <f t="shared" si="44"/>
        <v>0</v>
      </c>
      <c r="AK61" s="3">
        <f t="shared" si="45"/>
        <v>15.999999999999986</v>
      </c>
      <c r="AL61" s="4">
        <f t="shared" si="46"/>
        <v>1</v>
      </c>
      <c r="AM61" s="4">
        <f t="shared" si="47"/>
        <v>1.4142135623730967</v>
      </c>
      <c r="AN61" s="4">
        <f t="shared" si="48"/>
        <v>1.4142135623730934</v>
      </c>
      <c r="AO61" s="4">
        <f t="shared" si="49"/>
        <v>0</v>
      </c>
      <c r="AP61" s="3">
        <f t="shared" si="50"/>
        <v>0</v>
      </c>
      <c r="AQ61" s="3">
        <f t="shared" si="51"/>
        <v>0</v>
      </c>
      <c r="AR61" s="3">
        <f t="shared" si="52"/>
        <v>0</v>
      </c>
      <c r="AS61" s="3">
        <f t="shared" si="53"/>
        <v>1.4142135623730967</v>
      </c>
      <c r="AT61" s="65">
        <f t="shared" si="54"/>
        <v>1.4142135623730934</v>
      </c>
      <c r="AU61" s="65"/>
      <c r="AV61" s="3">
        <f t="shared" si="19"/>
        <v>0</v>
      </c>
      <c r="AW61" s="3">
        <f t="shared" si="16"/>
        <v>1</v>
      </c>
      <c r="AX61" s="3">
        <f t="shared" si="17"/>
        <v>1</v>
      </c>
      <c r="AY61" s="65"/>
      <c r="BA61" s="226">
        <v>56</v>
      </c>
      <c r="BB61" s="227"/>
      <c r="BC61" s="228"/>
      <c r="BD61" s="228"/>
      <c r="BE61" s="229"/>
      <c r="BF61" s="223"/>
      <c r="BG61" s="223"/>
      <c r="BH61" s="223"/>
      <c r="BI61" s="223"/>
      <c r="BJ61" s="223"/>
      <c r="BK61" s="223"/>
      <c r="BL61" s="223"/>
      <c r="BM61" s="223"/>
      <c r="BN61" s="223"/>
      <c r="BO61" s="223"/>
      <c r="BP61" s="223"/>
      <c r="BQ61" s="223"/>
      <c r="BR61" s="223"/>
      <c r="BS61" s="223"/>
      <c r="BT61" s="223"/>
      <c r="BU61" s="223"/>
      <c r="BV61" s="223"/>
      <c r="BW61" s="223"/>
      <c r="BX61" s="223"/>
      <c r="BY61" s="223"/>
      <c r="BZ61" s="223"/>
      <c r="CA61" s="223"/>
      <c r="CB61" s="223"/>
      <c r="CC61" s="223"/>
      <c r="CD61" s="223"/>
      <c r="CE61" s="223"/>
      <c r="CF61" s="223"/>
      <c r="CG61" s="223"/>
      <c r="CH61" s="223"/>
      <c r="CI61" s="223"/>
      <c r="CJ61" s="223"/>
      <c r="CK61" s="223"/>
      <c r="CL61" s="223"/>
      <c r="CM61" s="223"/>
      <c r="CN61" s="223"/>
      <c r="CO61" s="223"/>
      <c r="CP61" s="223"/>
      <c r="CQ61" s="223"/>
      <c r="CR61" s="223"/>
      <c r="CS61" s="223"/>
      <c r="CT61" s="223"/>
      <c r="CU61" s="223"/>
      <c r="CV61" s="223"/>
      <c r="CW61" s="223"/>
      <c r="CX61" s="223"/>
      <c r="CY61" s="223"/>
      <c r="CZ61" s="223"/>
      <c r="DA61" s="223"/>
      <c r="DB61" s="223"/>
      <c r="DC61" s="223"/>
      <c r="DD61" s="223"/>
      <c r="DE61" s="223"/>
      <c r="DF61" s="223"/>
      <c r="DG61" s="223"/>
      <c r="DH61" s="223"/>
      <c r="DI61" s="223"/>
      <c r="DJ61" s="223"/>
      <c r="DK61" s="223"/>
      <c r="DL61" s="223"/>
      <c r="DM61" s="223"/>
      <c r="DN61" s="223"/>
      <c r="DO61" s="223"/>
      <c r="DP61" s="223"/>
      <c r="DQ61" s="223"/>
      <c r="DR61" s="223"/>
      <c r="DS61" s="223"/>
      <c r="DT61" s="223"/>
      <c r="DU61" s="223"/>
      <c r="DV61" s="223"/>
      <c r="DW61" s="223"/>
      <c r="DX61" s="223"/>
      <c r="DY61" s="223"/>
      <c r="DZ61" s="51" t="s">
        <v>582</v>
      </c>
    </row>
    <row r="62" spans="1:130" x14ac:dyDescent="0.2">
      <c r="B62" s="3" t="s">
        <v>120</v>
      </c>
      <c r="C62" s="3" t="s">
        <v>120</v>
      </c>
      <c r="D62" s="3" t="str">
        <f t="shared" si="14"/>
        <v>C'</v>
      </c>
      <c r="E62" s="3" t="str">
        <f t="shared" si="15"/>
        <v>C'</v>
      </c>
      <c r="F62" s="3">
        <v>29</v>
      </c>
      <c r="G62" s="54" t="s">
        <v>120</v>
      </c>
      <c r="H62" s="54" t="s">
        <v>120</v>
      </c>
      <c r="I62" s="54">
        <v>1</v>
      </c>
      <c r="J62" s="54">
        <v>1</v>
      </c>
      <c r="K62" s="3">
        <f t="shared" si="20"/>
        <v>0.49999999999999978</v>
      </c>
      <c r="L62" s="3">
        <f t="shared" si="21"/>
        <v>0.49999999999999978</v>
      </c>
      <c r="M62" s="3">
        <f t="shared" si="22"/>
        <v>0.99999999999999956</v>
      </c>
      <c r="N62" s="3">
        <f>SUM($M$33:M62)</f>
        <v>8.9999999999999982</v>
      </c>
      <c r="O62" s="3">
        <f t="shared" si="23"/>
        <v>4.9999999999999982</v>
      </c>
      <c r="P62" s="3">
        <f t="shared" si="24"/>
        <v>0.50000000000000033</v>
      </c>
      <c r="Q62" s="3">
        <f t="shared" si="25"/>
        <v>0.86602540378443804</v>
      </c>
      <c r="R62" s="3">
        <f t="shared" si="26"/>
        <v>5.804173258020751</v>
      </c>
      <c r="S62" s="3">
        <f t="shared" si="27"/>
        <v>0</v>
      </c>
      <c r="T62" s="3">
        <f t="shared" si="28"/>
        <v>0</v>
      </c>
      <c r="U62" s="3">
        <f t="shared" si="29"/>
        <v>0</v>
      </c>
      <c r="V62" s="3">
        <f t="shared" si="30"/>
        <v>0</v>
      </c>
      <c r="W62" s="3">
        <f t="shared" si="31"/>
        <v>-1</v>
      </c>
      <c r="X62" s="3">
        <f t="shared" si="32"/>
        <v>-1</v>
      </c>
      <c r="Y62" s="3">
        <f t="shared" si="33"/>
        <v>0</v>
      </c>
      <c r="Z62" s="3">
        <f t="shared" si="34"/>
        <v>0</v>
      </c>
      <c r="AA62" s="3">
        <f t="shared" si="35"/>
        <v>-2</v>
      </c>
      <c r="AB62" s="65">
        <f t="shared" si="36"/>
        <v>0</v>
      </c>
      <c r="AC62" s="3">
        <f t="shared" si="37"/>
        <v>0</v>
      </c>
      <c r="AD62" s="65">
        <f t="shared" si="38"/>
        <v>0</v>
      </c>
      <c r="AE62" s="3">
        <f t="shared" si="39"/>
        <v>0</v>
      </c>
      <c r="AF62" s="65">
        <f t="shared" si="40"/>
        <v>-1.0000000000000011</v>
      </c>
      <c r="AG62" s="3">
        <f t="shared" si="41"/>
        <v>-1.7320508075688767</v>
      </c>
      <c r="AH62" s="3">
        <f t="shared" si="42"/>
        <v>0</v>
      </c>
      <c r="AI62" s="3">
        <f t="shared" si="43"/>
        <v>0</v>
      </c>
      <c r="AJ62" s="3">
        <f t="shared" si="44"/>
        <v>2</v>
      </c>
      <c r="AK62" s="3">
        <f t="shared" si="45"/>
        <v>24.999999999999982</v>
      </c>
      <c r="AL62" s="4">
        <f t="shared" si="46"/>
        <v>1</v>
      </c>
      <c r="AM62" s="4">
        <f t="shared" si="47"/>
        <v>0</v>
      </c>
      <c r="AN62" s="4">
        <f t="shared" si="48"/>
        <v>0</v>
      </c>
      <c r="AO62" s="4">
        <f t="shared" si="49"/>
        <v>0</v>
      </c>
      <c r="AP62" s="3">
        <f t="shared" si="50"/>
        <v>0</v>
      </c>
      <c r="AQ62" s="3">
        <f t="shared" si="51"/>
        <v>-1.0000000000000011</v>
      </c>
      <c r="AR62" s="3">
        <f t="shared" si="52"/>
        <v>-1.7320508075688767</v>
      </c>
      <c r="AS62" s="3">
        <f t="shared" si="53"/>
        <v>0.50000000000000033</v>
      </c>
      <c r="AT62" s="65">
        <f t="shared" si="54"/>
        <v>0.86602540378443804</v>
      </c>
      <c r="AU62" s="65"/>
      <c r="AV62" s="3">
        <f t="shared" si="19"/>
        <v>1</v>
      </c>
      <c r="AW62" s="3">
        <f t="shared" si="16"/>
        <v>1</v>
      </c>
      <c r="AX62" s="3">
        <f t="shared" si="17"/>
        <v>1</v>
      </c>
      <c r="AY62" s="65"/>
      <c r="BA62" s="217">
        <v>57</v>
      </c>
      <c r="BB62" s="218" t="s">
        <v>413</v>
      </c>
      <c r="BC62" s="219">
        <v>36</v>
      </c>
      <c r="BD62" s="219">
        <v>6</v>
      </c>
      <c r="BE62" s="220">
        <v>6</v>
      </c>
      <c r="BF62" s="219" t="s">
        <v>41</v>
      </c>
      <c r="BG62" s="219" t="s">
        <v>41</v>
      </c>
      <c r="BH62" s="219" t="s">
        <v>41</v>
      </c>
      <c r="BI62" s="219" t="s">
        <v>120</v>
      </c>
      <c r="BJ62" s="219" t="s">
        <v>120</v>
      </c>
      <c r="BK62" s="219" t="s">
        <v>120</v>
      </c>
      <c r="BL62" s="219" t="s">
        <v>46</v>
      </c>
      <c r="BM62" s="219" t="s">
        <v>46</v>
      </c>
      <c r="BN62" s="219" t="s">
        <v>65</v>
      </c>
      <c r="BO62" s="219" t="s">
        <v>65</v>
      </c>
      <c r="BP62" s="219" t="s">
        <v>117</v>
      </c>
      <c r="BQ62" s="219" t="s">
        <v>117</v>
      </c>
      <c r="BR62" s="219" t="s">
        <v>117</v>
      </c>
      <c r="BS62" s="219" t="s">
        <v>41</v>
      </c>
      <c r="BT62" s="219" t="s">
        <v>41</v>
      </c>
      <c r="BU62" s="219" t="s">
        <v>41</v>
      </c>
      <c r="BV62" s="219" t="s">
        <v>120</v>
      </c>
      <c r="BW62" s="219" t="s">
        <v>46</v>
      </c>
      <c r="BX62" s="219" t="s">
        <v>116</v>
      </c>
      <c r="BY62" s="219" t="s">
        <v>116</v>
      </c>
      <c r="BZ62" s="219" t="s">
        <v>116</v>
      </c>
      <c r="CA62" s="219" t="s">
        <v>65</v>
      </c>
      <c r="CB62" s="219" t="s">
        <v>65</v>
      </c>
      <c r="CC62" s="219" t="s">
        <v>65</v>
      </c>
      <c r="CD62" s="219" t="s">
        <v>117</v>
      </c>
      <c r="CE62" s="219" t="s">
        <v>117</v>
      </c>
      <c r="CF62" s="219" t="s">
        <v>120</v>
      </c>
      <c r="CG62" s="219" t="s">
        <v>120</v>
      </c>
      <c r="CH62" s="219" t="s">
        <v>46</v>
      </c>
      <c r="CI62" s="219" t="s">
        <v>46</v>
      </c>
      <c r="CJ62" s="219" t="s">
        <v>46</v>
      </c>
      <c r="CK62" s="219" t="s">
        <v>116</v>
      </c>
      <c r="CL62" s="219" t="s">
        <v>116</v>
      </c>
      <c r="CM62" s="219" t="s">
        <v>116</v>
      </c>
      <c r="CN62" s="219" t="s">
        <v>65</v>
      </c>
      <c r="CO62" s="219" t="s">
        <v>117</v>
      </c>
      <c r="CP62" s="219"/>
      <c r="CQ62" s="219"/>
      <c r="CR62" s="219"/>
      <c r="CS62" s="219"/>
      <c r="CT62" s="219"/>
      <c r="CU62" s="219"/>
      <c r="CV62" s="219"/>
      <c r="CW62" s="219"/>
      <c r="CX62" s="219"/>
      <c r="CY62" s="219"/>
      <c r="CZ62" s="219"/>
      <c r="DA62" s="219"/>
      <c r="DB62" s="219"/>
      <c r="DC62" s="219"/>
      <c r="DD62" s="219"/>
      <c r="DE62" s="219"/>
      <c r="DF62" s="219"/>
      <c r="DG62" s="219"/>
      <c r="DH62" s="219"/>
      <c r="DI62" s="219"/>
      <c r="DJ62" s="219"/>
      <c r="DK62" s="219"/>
      <c r="DL62" s="219"/>
      <c r="DM62" s="219"/>
      <c r="DN62" s="219"/>
      <c r="DO62" s="219"/>
      <c r="DP62" s="219"/>
      <c r="DQ62" s="219"/>
      <c r="DR62" s="219"/>
      <c r="DS62" s="219"/>
      <c r="DT62" s="219"/>
      <c r="DU62" s="219"/>
      <c r="DV62" s="219"/>
      <c r="DW62" s="219"/>
      <c r="DX62" s="219"/>
      <c r="DY62" s="219"/>
      <c r="DZ62" s="45" t="s">
        <v>582</v>
      </c>
    </row>
    <row r="63" spans="1:130" x14ac:dyDescent="0.2">
      <c r="B63" s="3" t="s">
        <v>120</v>
      </c>
      <c r="C63" s="3" t="s">
        <v>120</v>
      </c>
      <c r="D63" s="3" t="str">
        <f t="shared" si="14"/>
        <v>C'</v>
      </c>
      <c r="E63" s="3" t="str">
        <f t="shared" si="15"/>
        <v>C'</v>
      </c>
      <c r="F63" s="3">
        <v>30</v>
      </c>
      <c r="G63" s="54" t="s">
        <v>120</v>
      </c>
      <c r="H63" s="54" t="s">
        <v>120</v>
      </c>
      <c r="I63" s="54">
        <v>1</v>
      </c>
      <c r="J63" s="54">
        <v>1</v>
      </c>
      <c r="K63" s="3">
        <f t="shared" si="20"/>
        <v>0.49999999999999978</v>
      </c>
      <c r="L63" s="3">
        <f t="shared" si="21"/>
        <v>0.49999999999999978</v>
      </c>
      <c r="M63" s="3">
        <f t="shared" si="22"/>
        <v>0.99999999999999956</v>
      </c>
      <c r="N63" s="3">
        <f>SUM($M$33:M63)</f>
        <v>9.9999999999999982</v>
      </c>
      <c r="O63" s="3">
        <f t="shared" si="23"/>
        <v>5.9999999999999982</v>
      </c>
      <c r="P63" s="3">
        <f t="shared" si="24"/>
        <v>0.25881904510252152</v>
      </c>
      <c r="Q63" s="3">
        <f t="shared" si="25"/>
        <v>0.96592582628906765</v>
      </c>
      <c r="R63" s="3">
        <f t="shared" si="26"/>
        <v>6.7591029165721208</v>
      </c>
      <c r="S63" s="3">
        <f t="shared" si="27"/>
        <v>0</v>
      </c>
      <c r="T63" s="3">
        <f t="shared" si="28"/>
        <v>0</v>
      </c>
      <c r="U63" s="3">
        <f t="shared" si="29"/>
        <v>0</v>
      </c>
      <c r="V63" s="3">
        <f t="shared" si="30"/>
        <v>0</v>
      </c>
      <c r="W63" s="3">
        <f t="shared" si="31"/>
        <v>-1</v>
      </c>
      <c r="X63" s="3">
        <f t="shared" si="32"/>
        <v>-1</v>
      </c>
      <c r="Y63" s="3">
        <f t="shared" si="33"/>
        <v>0</v>
      </c>
      <c r="Z63" s="3">
        <f t="shared" si="34"/>
        <v>0</v>
      </c>
      <c r="AA63" s="3">
        <f t="shared" si="35"/>
        <v>-2</v>
      </c>
      <c r="AB63" s="65">
        <f t="shared" si="36"/>
        <v>0</v>
      </c>
      <c r="AC63" s="3">
        <f t="shared" si="37"/>
        <v>0</v>
      </c>
      <c r="AD63" s="65">
        <f t="shared" si="38"/>
        <v>0</v>
      </c>
      <c r="AE63" s="3">
        <f t="shared" si="39"/>
        <v>0</v>
      </c>
      <c r="AF63" s="65">
        <f t="shared" si="40"/>
        <v>-0.51763809020504326</v>
      </c>
      <c r="AG63" s="3">
        <f t="shared" si="41"/>
        <v>-1.9318516525781362</v>
      </c>
      <c r="AH63" s="3">
        <f t="shared" si="42"/>
        <v>0</v>
      </c>
      <c r="AI63" s="3">
        <f t="shared" si="43"/>
        <v>0</v>
      </c>
      <c r="AJ63" s="3">
        <f t="shared" si="44"/>
        <v>2</v>
      </c>
      <c r="AK63" s="3">
        <f t="shared" si="45"/>
        <v>35.999999999999979</v>
      </c>
      <c r="AL63" s="4">
        <f t="shared" si="46"/>
        <v>1</v>
      </c>
      <c r="AM63" s="4">
        <f t="shared" si="47"/>
        <v>0</v>
      </c>
      <c r="AN63" s="4">
        <f t="shared" si="48"/>
        <v>0</v>
      </c>
      <c r="AO63" s="4">
        <f t="shared" si="49"/>
        <v>0</v>
      </c>
      <c r="AP63" s="3">
        <f t="shared" si="50"/>
        <v>0</v>
      </c>
      <c r="AQ63" s="3">
        <f t="shared" si="51"/>
        <v>-0.51763809020504326</v>
      </c>
      <c r="AR63" s="3">
        <f t="shared" si="52"/>
        <v>-1.9318516525781362</v>
      </c>
      <c r="AS63" s="3">
        <f t="shared" si="53"/>
        <v>0.25881904510252152</v>
      </c>
      <c r="AT63" s="65">
        <f t="shared" si="54"/>
        <v>0.96592582628906765</v>
      </c>
      <c r="AU63" s="65"/>
      <c r="AV63" s="3">
        <f t="shared" si="19"/>
        <v>0</v>
      </c>
      <c r="AW63" s="3">
        <f t="shared" si="16"/>
        <v>1</v>
      </c>
      <c r="AX63" s="3">
        <f t="shared" si="17"/>
        <v>1</v>
      </c>
      <c r="AY63" s="65"/>
      <c r="BA63" s="221">
        <v>58</v>
      </c>
      <c r="BB63" s="222" t="s">
        <v>414</v>
      </c>
      <c r="BC63" s="223"/>
      <c r="BD63" s="223"/>
      <c r="BE63" s="224"/>
      <c r="BF63" s="223" t="s">
        <v>117</v>
      </c>
      <c r="BG63" s="223" t="s">
        <v>41</v>
      </c>
      <c r="BH63" s="223" t="s">
        <v>41</v>
      </c>
      <c r="BI63" s="223" t="s">
        <v>41</v>
      </c>
      <c r="BJ63" s="223" t="s">
        <v>120</v>
      </c>
      <c r="BK63" s="223" t="s">
        <v>46</v>
      </c>
      <c r="BL63" s="223" t="s">
        <v>116</v>
      </c>
      <c r="BM63" s="223" t="s">
        <v>116</v>
      </c>
      <c r="BN63" s="223" t="s">
        <v>116</v>
      </c>
      <c r="BO63" s="223" t="s">
        <v>65</v>
      </c>
      <c r="BP63" s="223" t="s">
        <v>65</v>
      </c>
      <c r="BQ63" s="223" t="s">
        <v>65</v>
      </c>
      <c r="BR63" s="223" t="s">
        <v>117</v>
      </c>
      <c r="BS63" s="223" t="s">
        <v>117</v>
      </c>
      <c r="BT63" s="223" t="s">
        <v>120</v>
      </c>
      <c r="BU63" s="223" t="s">
        <v>120</v>
      </c>
      <c r="BV63" s="223" t="s">
        <v>46</v>
      </c>
      <c r="BW63" s="223" t="s">
        <v>46</v>
      </c>
      <c r="BX63" s="223" t="s">
        <v>46</v>
      </c>
      <c r="BY63" s="223" t="s">
        <v>116</v>
      </c>
      <c r="BZ63" s="223" t="s">
        <v>116</v>
      </c>
      <c r="CA63" s="223" t="s">
        <v>116</v>
      </c>
      <c r="CB63" s="223" t="s">
        <v>65</v>
      </c>
      <c r="CC63" s="223" t="s">
        <v>117</v>
      </c>
      <c r="CD63" s="223" t="s">
        <v>41</v>
      </c>
      <c r="CE63" s="223" t="s">
        <v>41</v>
      </c>
      <c r="CF63" s="223" t="s">
        <v>41</v>
      </c>
      <c r="CG63" s="223" t="s">
        <v>120</v>
      </c>
      <c r="CH63" s="223" t="s">
        <v>120</v>
      </c>
      <c r="CI63" s="223" t="s">
        <v>120</v>
      </c>
      <c r="CJ63" s="223" t="s">
        <v>46</v>
      </c>
      <c r="CK63" s="223" t="s">
        <v>46</v>
      </c>
      <c r="CL63" s="223" t="s">
        <v>65</v>
      </c>
      <c r="CM63" s="223" t="s">
        <v>65</v>
      </c>
      <c r="CN63" s="223" t="s">
        <v>117</v>
      </c>
      <c r="CO63" s="223" t="s">
        <v>117</v>
      </c>
      <c r="CP63" s="223"/>
      <c r="CQ63" s="223"/>
      <c r="CR63" s="223"/>
      <c r="CS63" s="223"/>
      <c r="CT63" s="223"/>
      <c r="CU63" s="223"/>
      <c r="CV63" s="223"/>
      <c r="CW63" s="223"/>
      <c r="CX63" s="223"/>
      <c r="CY63" s="223"/>
      <c r="CZ63" s="223"/>
      <c r="DA63" s="223"/>
      <c r="DB63" s="223"/>
      <c r="DC63" s="223"/>
      <c r="DD63" s="223"/>
      <c r="DE63" s="223"/>
      <c r="DF63" s="223"/>
      <c r="DG63" s="223"/>
      <c r="DH63" s="223"/>
      <c r="DI63" s="223"/>
      <c r="DJ63" s="223"/>
      <c r="DK63" s="223"/>
      <c r="DL63" s="223"/>
      <c r="DM63" s="223"/>
      <c r="DN63" s="223"/>
      <c r="DO63" s="223"/>
      <c r="DP63" s="223"/>
      <c r="DQ63" s="223"/>
      <c r="DR63" s="223"/>
      <c r="DS63" s="223"/>
      <c r="DT63" s="223"/>
      <c r="DU63" s="223"/>
      <c r="DV63" s="223"/>
      <c r="DW63" s="223"/>
      <c r="DX63" s="223"/>
      <c r="DY63" s="223"/>
      <c r="DZ63" s="48" t="s">
        <v>582</v>
      </c>
    </row>
    <row r="64" spans="1:130" x14ac:dyDescent="0.2">
      <c r="B64" s="3" t="s">
        <v>120</v>
      </c>
      <c r="C64" s="3" t="s">
        <v>120</v>
      </c>
      <c r="D64" s="3" t="str">
        <f t="shared" si="14"/>
        <v>C'</v>
      </c>
      <c r="E64" s="3" t="str">
        <f t="shared" si="15"/>
        <v>C'</v>
      </c>
      <c r="F64" s="3">
        <v>31</v>
      </c>
      <c r="G64" s="54" t="s">
        <v>120</v>
      </c>
      <c r="H64" s="54" t="s">
        <v>120</v>
      </c>
      <c r="I64" s="54">
        <v>1</v>
      </c>
      <c r="J64" s="54">
        <v>1</v>
      </c>
      <c r="K64" s="3">
        <f t="shared" si="20"/>
        <v>0.49999999999999978</v>
      </c>
      <c r="L64" s="3">
        <f t="shared" si="21"/>
        <v>0.49999999999999978</v>
      </c>
      <c r="M64" s="3">
        <f t="shared" si="22"/>
        <v>0.99999999999999956</v>
      </c>
      <c r="N64" s="3">
        <f>SUM($M$33:M64)</f>
        <v>10.999999999999998</v>
      </c>
      <c r="O64" s="3">
        <f t="shared" si="23"/>
        <v>6.9999999999999982</v>
      </c>
      <c r="P64" s="3">
        <f t="shared" si="24"/>
        <v>1.1944655334272796E-15</v>
      </c>
      <c r="Q64" s="3">
        <f t="shared" si="25"/>
        <v>0.99999999999999956</v>
      </c>
      <c r="R64" s="3">
        <f t="shared" si="26"/>
        <v>7.2534108813048039</v>
      </c>
      <c r="S64" s="3">
        <f t="shared" si="27"/>
        <v>0</v>
      </c>
      <c r="T64" s="3">
        <f t="shared" si="28"/>
        <v>0</v>
      </c>
      <c r="U64" s="3">
        <f t="shared" si="29"/>
        <v>0</v>
      </c>
      <c r="V64" s="3">
        <f t="shared" si="30"/>
        <v>0</v>
      </c>
      <c r="W64" s="3">
        <f t="shared" si="31"/>
        <v>-1</v>
      </c>
      <c r="X64" s="3">
        <f t="shared" si="32"/>
        <v>-1</v>
      </c>
      <c r="Y64" s="3">
        <f t="shared" si="33"/>
        <v>0</v>
      </c>
      <c r="Z64" s="3">
        <f t="shared" si="34"/>
        <v>0</v>
      </c>
      <c r="AA64" s="3">
        <f t="shared" si="35"/>
        <v>-2</v>
      </c>
      <c r="AB64" s="65">
        <f t="shared" si="36"/>
        <v>0</v>
      </c>
      <c r="AC64" s="3">
        <f t="shared" si="37"/>
        <v>0</v>
      </c>
      <c r="AD64" s="65">
        <f t="shared" si="38"/>
        <v>0</v>
      </c>
      <c r="AE64" s="3">
        <f t="shared" si="39"/>
        <v>0</v>
      </c>
      <c r="AF64" s="65">
        <f t="shared" si="40"/>
        <v>-2.3889310668545605E-15</v>
      </c>
      <c r="AG64" s="3">
        <f t="shared" si="41"/>
        <v>-2</v>
      </c>
      <c r="AH64" s="3">
        <f t="shared" si="42"/>
        <v>0</v>
      </c>
      <c r="AI64" s="3">
        <f t="shared" si="43"/>
        <v>0</v>
      </c>
      <c r="AJ64" s="3">
        <f t="shared" si="44"/>
        <v>2</v>
      </c>
      <c r="AK64" s="3">
        <f t="shared" si="45"/>
        <v>48.999999999999972</v>
      </c>
      <c r="AL64" s="4">
        <f t="shared" si="46"/>
        <v>1</v>
      </c>
      <c r="AM64" s="4">
        <f t="shared" si="47"/>
        <v>0</v>
      </c>
      <c r="AN64" s="4">
        <f t="shared" si="48"/>
        <v>0</v>
      </c>
      <c r="AO64" s="4">
        <f t="shared" si="49"/>
        <v>0</v>
      </c>
      <c r="AP64" s="3">
        <f t="shared" si="50"/>
        <v>0</v>
      </c>
      <c r="AQ64" s="3">
        <f t="shared" si="51"/>
        <v>-2.3889310668545605E-15</v>
      </c>
      <c r="AR64" s="3">
        <f t="shared" si="52"/>
        <v>-2</v>
      </c>
      <c r="AS64" s="3">
        <f t="shared" si="53"/>
        <v>1.1944655334272796E-15</v>
      </c>
      <c r="AT64" s="65">
        <f t="shared" si="54"/>
        <v>0.99999999999999956</v>
      </c>
      <c r="AU64" s="65"/>
      <c r="AV64" s="3">
        <f t="shared" si="19"/>
        <v>0</v>
      </c>
      <c r="AW64" s="3">
        <f t="shared" si="16"/>
        <v>1</v>
      </c>
      <c r="AX64" s="3">
        <f t="shared" si="17"/>
        <v>1</v>
      </c>
      <c r="AY64" s="65"/>
      <c r="BA64" s="221">
        <v>59</v>
      </c>
      <c r="BB64" s="222"/>
      <c r="BC64" s="223"/>
      <c r="BD64" s="223"/>
      <c r="BE64" s="224"/>
      <c r="BF64" s="223">
        <v>5</v>
      </c>
      <c r="BG64" s="223">
        <v>4</v>
      </c>
      <c r="BH64" s="223">
        <v>4</v>
      </c>
      <c r="BI64" s="223">
        <v>4</v>
      </c>
      <c r="BJ64" s="223">
        <v>5</v>
      </c>
      <c r="BK64" s="223">
        <v>5</v>
      </c>
      <c r="BL64" s="223">
        <v>4</v>
      </c>
      <c r="BM64" s="223">
        <v>4</v>
      </c>
      <c r="BN64" s="223">
        <v>4</v>
      </c>
      <c r="BO64" s="223">
        <v>5</v>
      </c>
      <c r="BP64" s="223">
        <v>5</v>
      </c>
      <c r="BQ64" s="223">
        <v>4</v>
      </c>
      <c r="BR64" s="223">
        <v>4</v>
      </c>
      <c r="BS64" s="223">
        <v>4</v>
      </c>
      <c r="BT64" s="223">
        <v>5</v>
      </c>
      <c r="BU64" s="223">
        <v>5</v>
      </c>
      <c r="BV64" s="223">
        <v>4</v>
      </c>
      <c r="BW64" s="223">
        <v>4</v>
      </c>
      <c r="BX64" s="223">
        <v>4</v>
      </c>
      <c r="BY64" s="223">
        <v>5</v>
      </c>
      <c r="BZ64" s="223">
        <v>5</v>
      </c>
      <c r="CA64" s="223">
        <v>4</v>
      </c>
      <c r="CB64" s="223">
        <v>4</v>
      </c>
      <c r="CC64" s="223">
        <v>4</v>
      </c>
      <c r="CD64" s="223">
        <v>5</v>
      </c>
      <c r="CE64" s="223">
        <v>5</v>
      </c>
      <c r="CF64" s="223">
        <v>4</v>
      </c>
      <c r="CG64" s="223">
        <v>4</v>
      </c>
      <c r="CH64" s="223">
        <v>4</v>
      </c>
      <c r="CI64" s="223">
        <v>5</v>
      </c>
      <c r="CJ64" s="223"/>
      <c r="CK64" s="223"/>
      <c r="CL64" s="223"/>
      <c r="CM64" s="223"/>
      <c r="CN64" s="223"/>
      <c r="CO64" s="223"/>
      <c r="CP64" s="223"/>
      <c r="CQ64" s="223"/>
      <c r="CR64" s="223"/>
      <c r="CS64" s="223"/>
      <c r="CT64" s="223"/>
      <c r="CU64" s="223"/>
      <c r="CV64" s="223"/>
      <c r="CW64" s="223"/>
      <c r="CX64" s="223"/>
      <c r="CY64" s="223"/>
      <c r="CZ64" s="223"/>
      <c r="DA64" s="223"/>
      <c r="DB64" s="223"/>
      <c r="DC64" s="223"/>
      <c r="DD64" s="223"/>
      <c r="DE64" s="223"/>
      <c r="DF64" s="223"/>
      <c r="DG64" s="223"/>
      <c r="DH64" s="223"/>
      <c r="DI64" s="223"/>
      <c r="DJ64" s="223"/>
      <c r="DK64" s="223"/>
      <c r="DL64" s="223"/>
      <c r="DM64" s="223"/>
      <c r="DN64" s="223"/>
      <c r="DO64" s="223"/>
      <c r="DP64" s="223"/>
      <c r="DQ64" s="223"/>
      <c r="DR64" s="223"/>
      <c r="DS64" s="223"/>
      <c r="DT64" s="223"/>
      <c r="DU64" s="223"/>
      <c r="DV64" s="223"/>
      <c r="DW64" s="223"/>
      <c r="DX64" s="223"/>
      <c r="DY64" s="223"/>
      <c r="DZ64" s="48" t="s">
        <v>582</v>
      </c>
    </row>
    <row r="65" spans="2:130" x14ac:dyDescent="0.2">
      <c r="B65" s="3" t="s">
        <v>120</v>
      </c>
      <c r="C65" s="3" t="s">
        <v>120</v>
      </c>
      <c r="D65" s="3" t="str">
        <f t="shared" si="14"/>
        <v>C'</v>
      </c>
      <c r="E65" s="3" t="str">
        <f t="shared" si="15"/>
        <v>C'</v>
      </c>
      <c r="F65" s="3">
        <v>32</v>
      </c>
      <c r="G65" s="54" t="s">
        <v>120</v>
      </c>
      <c r="H65" s="54" t="s">
        <v>120</v>
      </c>
      <c r="I65" s="54">
        <v>1</v>
      </c>
      <c r="J65" s="54">
        <v>1</v>
      </c>
      <c r="K65" s="3">
        <f t="shared" si="20"/>
        <v>0.49999999999999978</v>
      </c>
      <c r="L65" s="3">
        <f t="shared" si="21"/>
        <v>0.49999999999999978</v>
      </c>
      <c r="M65" s="3">
        <f t="shared" si="22"/>
        <v>0.99999999999999956</v>
      </c>
      <c r="N65" s="3">
        <f>SUM($M$33:M65)</f>
        <v>11.999999999999998</v>
      </c>
      <c r="O65" s="3">
        <f t="shared" si="23"/>
        <v>7.9999999999999982</v>
      </c>
      <c r="P65" s="3">
        <f t="shared" si="24"/>
        <v>-0.25881904510252007</v>
      </c>
      <c r="Q65" s="3">
        <f t="shared" si="25"/>
        <v>0.96592582628906798</v>
      </c>
      <c r="R65" s="3">
        <f t="shared" si="26"/>
        <v>7.2534108813048048</v>
      </c>
      <c r="S65" s="3">
        <f t="shared" si="27"/>
        <v>0</v>
      </c>
      <c r="T65" s="3">
        <f t="shared" si="28"/>
        <v>0</v>
      </c>
      <c r="U65" s="3">
        <f t="shared" si="29"/>
        <v>0</v>
      </c>
      <c r="V65" s="3">
        <f t="shared" si="30"/>
        <v>0</v>
      </c>
      <c r="W65" s="3">
        <f t="shared" si="31"/>
        <v>-1</v>
      </c>
      <c r="X65" s="3">
        <f t="shared" si="32"/>
        <v>-1</v>
      </c>
      <c r="Y65" s="3">
        <f t="shared" si="33"/>
        <v>0</v>
      </c>
      <c r="Z65" s="3">
        <f t="shared" si="34"/>
        <v>0</v>
      </c>
      <c r="AA65" s="3">
        <f t="shared" si="35"/>
        <v>-2</v>
      </c>
      <c r="AB65" s="65">
        <f t="shared" si="36"/>
        <v>0</v>
      </c>
      <c r="AC65" s="3">
        <f t="shared" si="37"/>
        <v>0</v>
      </c>
      <c r="AD65" s="65">
        <f t="shared" si="38"/>
        <v>0</v>
      </c>
      <c r="AE65" s="3">
        <f t="shared" si="39"/>
        <v>0</v>
      </c>
      <c r="AF65" s="65">
        <f t="shared" si="40"/>
        <v>0.51763809020504037</v>
      </c>
      <c r="AG65" s="3">
        <f t="shared" si="41"/>
        <v>-1.9318516525781368</v>
      </c>
      <c r="AH65" s="3">
        <f t="shared" si="42"/>
        <v>0</v>
      </c>
      <c r="AI65" s="3">
        <f t="shared" si="43"/>
        <v>0</v>
      </c>
      <c r="AJ65" s="3">
        <f t="shared" si="44"/>
        <v>2</v>
      </c>
      <c r="AK65" s="3">
        <f t="shared" si="45"/>
        <v>63.999999999999972</v>
      </c>
      <c r="AL65" s="4">
        <f t="shared" si="46"/>
        <v>1</v>
      </c>
      <c r="AM65" s="4">
        <f t="shared" si="47"/>
        <v>0</v>
      </c>
      <c r="AN65" s="4">
        <f t="shared" si="48"/>
        <v>0</v>
      </c>
      <c r="AO65" s="4">
        <f t="shared" si="49"/>
        <v>0</v>
      </c>
      <c r="AP65" s="3">
        <f t="shared" si="50"/>
        <v>0</v>
      </c>
      <c r="AQ65" s="3">
        <f t="shared" si="51"/>
        <v>0.51763809020504037</v>
      </c>
      <c r="AR65" s="3">
        <f t="shared" si="52"/>
        <v>-1.9318516525781368</v>
      </c>
      <c r="AS65" s="3">
        <f t="shared" si="53"/>
        <v>-0.25881904510252007</v>
      </c>
      <c r="AT65" s="65">
        <f t="shared" si="54"/>
        <v>0.96592582628906798</v>
      </c>
      <c r="AU65" s="65"/>
      <c r="AV65" s="3">
        <f t="shared" si="19"/>
        <v>0</v>
      </c>
      <c r="AW65" s="3">
        <f t="shared" si="16"/>
        <v>1</v>
      </c>
      <c r="AX65" s="3">
        <f t="shared" si="17"/>
        <v>1</v>
      </c>
      <c r="AY65" s="65"/>
      <c r="BA65" s="226">
        <v>60</v>
      </c>
      <c r="BB65" s="227"/>
      <c r="BC65" s="228"/>
      <c r="BD65" s="228"/>
      <c r="BE65" s="229"/>
      <c r="BF65" s="223">
        <v>4</v>
      </c>
      <c r="BG65" s="223">
        <v>4</v>
      </c>
      <c r="BH65" s="223">
        <v>5</v>
      </c>
      <c r="BI65" s="223">
        <v>5</v>
      </c>
      <c r="BJ65" s="223">
        <v>4</v>
      </c>
      <c r="BK65" s="223">
        <v>4</v>
      </c>
      <c r="BL65" s="223">
        <v>4</v>
      </c>
      <c r="BM65" s="223">
        <v>5</v>
      </c>
      <c r="BN65" s="223">
        <v>5</v>
      </c>
      <c r="BO65" s="223">
        <v>4</v>
      </c>
      <c r="BP65" s="223">
        <v>4</v>
      </c>
      <c r="BQ65" s="223">
        <v>4</v>
      </c>
      <c r="BR65" s="223">
        <v>5</v>
      </c>
      <c r="BS65" s="223">
        <v>5</v>
      </c>
      <c r="BT65" s="223">
        <v>4</v>
      </c>
      <c r="BU65" s="223">
        <v>4</v>
      </c>
      <c r="BV65" s="223">
        <v>4</v>
      </c>
      <c r="BW65" s="223">
        <v>5</v>
      </c>
      <c r="BX65" s="223">
        <v>5</v>
      </c>
      <c r="BY65" s="223">
        <v>4</v>
      </c>
      <c r="BZ65" s="223">
        <v>4</v>
      </c>
      <c r="CA65" s="223">
        <v>4</v>
      </c>
      <c r="CB65" s="223">
        <v>5</v>
      </c>
      <c r="CC65" s="223">
        <v>5</v>
      </c>
      <c r="CD65" s="223">
        <v>4</v>
      </c>
      <c r="CE65" s="223">
        <v>4</v>
      </c>
      <c r="CF65" s="223">
        <v>4</v>
      </c>
      <c r="CG65" s="223">
        <v>5</v>
      </c>
      <c r="CH65" s="223">
        <v>5</v>
      </c>
      <c r="CI65" s="223">
        <v>4</v>
      </c>
      <c r="CJ65" s="223"/>
      <c r="CK65" s="223"/>
      <c r="CL65" s="223"/>
      <c r="CM65" s="223"/>
      <c r="CN65" s="223"/>
      <c r="CO65" s="223"/>
      <c r="CP65" s="223"/>
      <c r="CQ65" s="223"/>
      <c r="CR65" s="223"/>
      <c r="CS65" s="223"/>
      <c r="CT65" s="223"/>
      <c r="CU65" s="223"/>
      <c r="CV65" s="223"/>
      <c r="CW65" s="223"/>
      <c r="CX65" s="223"/>
      <c r="CY65" s="223"/>
      <c r="CZ65" s="223"/>
      <c r="DA65" s="223"/>
      <c r="DB65" s="223"/>
      <c r="DC65" s="223"/>
      <c r="DD65" s="223"/>
      <c r="DE65" s="223"/>
      <c r="DF65" s="223"/>
      <c r="DG65" s="223"/>
      <c r="DH65" s="223"/>
      <c r="DI65" s="223"/>
      <c r="DJ65" s="223"/>
      <c r="DK65" s="223"/>
      <c r="DL65" s="223"/>
      <c r="DM65" s="223"/>
      <c r="DN65" s="223"/>
      <c r="DO65" s="223"/>
      <c r="DP65" s="223"/>
      <c r="DQ65" s="223"/>
      <c r="DR65" s="223"/>
      <c r="DS65" s="223"/>
      <c r="DT65" s="223"/>
      <c r="DU65" s="223"/>
      <c r="DV65" s="223"/>
      <c r="DW65" s="223"/>
      <c r="DX65" s="223"/>
      <c r="DY65" s="223"/>
      <c r="DZ65" s="51" t="s">
        <v>582</v>
      </c>
    </row>
    <row r="66" spans="2:130" x14ac:dyDescent="0.2">
      <c r="B66" s="3" t="s">
        <v>46</v>
      </c>
      <c r="C66" s="3" t="s">
        <v>46</v>
      </c>
      <c r="D66" s="3" t="str">
        <f t="shared" ref="D66:D97" si="56">VLOOKUP($E$27,$BB$6:$DY$205,4+F66,FALSE)</f>
        <v>B</v>
      </c>
      <c r="E66" s="3" t="str">
        <f t="shared" ref="E66:E97" si="57">INDEX($BF$6:$DY$205,VLOOKUP($E$27,$AZ$6:$DY$205,2,FALSE)*4-2,F66)</f>
        <v>B</v>
      </c>
      <c r="F66" s="3">
        <v>33</v>
      </c>
      <c r="G66" s="54" t="s">
        <v>46</v>
      </c>
      <c r="H66" s="54" t="s">
        <v>46</v>
      </c>
      <c r="I66" s="54">
        <v>1</v>
      </c>
      <c r="J66" s="54">
        <v>1</v>
      </c>
      <c r="K66" s="3">
        <f t="shared" si="20"/>
        <v>-0.49999999999999961</v>
      </c>
      <c r="L66" s="3">
        <f t="shared" si="21"/>
        <v>-0.49999999999999961</v>
      </c>
      <c r="M66" s="3">
        <f t="shared" si="22"/>
        <v>-0.99999999999999922</v>
      </c>
      <c r="N66" s="3">
        <f>SUM($M$33:M66)</f>
        <v>10.999999999999998</v>
      </c>
      <c r="O66" s="3">
        <f t="shared" si="23"/>
        <v>6.9999999999999982</v>
      </c>
      <c r="P66" s="3">
        <f t="shared" si="24"/>
        <v>0.49999999999999883</v>
      </c>
      <c r="Q66" s="3">
        <f t="shared" si="25"/>
        <v>-0.86602540378443849</v>
      </c>
      <c r="R66" s="3">
        <f t="shared" si="26"/>
        <v>6.7591029165721244</v>
      </c>
      <c r="S66" s="3">
        <f t="shared" si="27"/>
        <v>0</v>
      </c>
      <c r="T66" s="3">
        <f t="shared" si="28"/>
        <v>0</v>
      </c>
      <c r="U66" s="3">
        <f t="shared" si="29"/>
        <v>1</v>
      </c>
      <c r="V66" s="3">
        <f t="shared" si="30"/>
        <v>1</v>
      </c>
      <c r="W66" s="3">
        <f t="shared" si="31"/>
        <v>0</v>
      </c>
      <c r="X66" s="3">
        <f t="shared" si="32"/>
        <v>0</v>
      </c>
      <c r="Y66" s="3">
        <f t="shared" si="33"/>
        <v>0</v>
      </c>
      <c r="Z66" s="3">
        <f t="shared" si="34"/>
        <v>2</v>
      </c>
      <c r="AA66" s="3">
        <f t="shared" si="35"/>
        <v>0</v>
      </c>
      <c r="AB66" s="65">
        <f t="shared" si="36"/>
        <v>0</v>
      </c>
      <c r="AC66" s="3">
        <f t="shared" si="37"/>
        <v>0</v>
      </c>
      <c r="AD66" s="65">
        <f t="shared" si="38"/>
        <v>-0.99999999999999845</v>
      </c>
      <c r="AE66" s="3">
        <f t="shared" si="39"/>
        <v>1.7320508075688783</v>
      </c>
      <c r="AF66" s="65">
        <f t="shared" si="40"/>
        <v>0</v>
      </c>
      <c r="AG66" s="3">
        <f t="shared" si="41"/>
        <v>0</v>
      </c>
      <c r="AH66" s="3">
        <f t="shared" si="42"/>
        <v>0</v>
      </c>
      <c r="AI66" s="3">
        <f t="shared" si="43"/>
        <v>2</v>
      </c>
      <c r="AJ66" s="3">
        <f t="shared" si="44"/>
        <v>0</v>
      </c>
      <c r="AK66" s="3">
        <f t="shared" si="45"/>
        <v>48.999999999999972</v>
      </c>
      <c r="AL66" s="4">
        <f t="shared" si="46"/>
        <v>1</v>
      </c>
      <c r="AM66" s="4">
        <f t="shared" si="47"/>
        <v>0</v>
      </c>
      <c r="AN66" s="4">
        <f t="shared" si="48"/>
        <v>0</v>
      </c>
      <c r="AO66" s="4">
        <f t="shared" si="49"/>
        <v>-0.99999999999999845</v>
      </c>
      <c r="AP66" s="3">
        <f t="shared" si="50"/>
        <v>1.7320508075688783</v>
      </c>
      <c r="AQ66" s="3">
        <f t="shared" si="51"/>
        <v>0</v>
      </c>
      <c r="AR66" s="3">
        <f t="shared" si="52"/>
        <v>0</v>
      </c>
      <c r="AS66" s="3">
        <f t="shared" si="53"/>
        <v>0.49999999999999883</v>
      </c>
      <c r="AT66" s="65">
        <f t="shared" si="54"/>
        <v>-0.86602540378443849</v>
      </c>
      <c r="AU66" s="65"/>
      <c r="AV66" s="3">
        <f t="shared" si="19"/>
        <v>1</v>
      </c>
      <c r="AW66" s="3">
        <f t="shared" ref="AW66:AW97" si="58">INDEX($BF$6:$DY$205,VLOOKUP($E$27,$AZ$6:$DY$205,2,FALSE)*4-1,F66)</f>
        <v>1</v>
      </c>
      <c r="AX66" s="3">
        <f t="shared" ref="AX66:AX97" si="59">INDEX($BF$6:$DY$205,VLOOKUP($E$27,$AZ$6:$DY$205,2,FALSE)*4-0,F66)</f>
        <v>1</v>
      </c>
      <c r="AY66" s="65"/>
      <c r="BA66" s="217">
        <v>61</v>
      </c>
      <c r="BB66" s="218" t="s">
        <v>415</v>
      </c>
      <c r="BC66" s="219">
        <v>30</v>
      </c>
      <c r="BD66" s="219">
        <v>2</v>
      </c>
      <c r="BE66" s="220">
        <v>13</v>
      </c>
      <c r="BF66" s="219" t="s">
        <v>41</v>
      </c>
      <c r="BG66" s="219" t="s">
        <v>41</v>
      </c>
      <c r="BH66" s="219" t="s">
        <v>41</v>
      </c>
      <c r="BI66" s="219" t="s">
        <v>41</v>
      </c>
      <c r="BJ66" s="219" t="s">
        <v>41</v>
      </c>
      <c r="BK66" s="219" t="s">
        <v>120</v>
      </c>
      <c r="BL66" s="219" t="s">
        <v>120</v>
      </c>
      <c r="BM66" s="219" t="s">
        <v>120</v>
      </c>
      <c r="BN66" s="219" t="s">
        <v>120</v>
      </c>
      <c r="BO66" s="219" t="s">
        <v>120</v>
      </c>
      <c r="BP66" s="219" t="s">
        <v>46</v>
      </c>
      <c r="BQ66" s="219" t="s">
        <v>46</v>
      </c>
      <c r="BR66" s="219" t="s">
        <v>46</v>
      </c>
      <c r="BS66" s="219" t="s">
        <v>46</v>
      </c>
      <c r="BT66" s="219" t="s">
        <v>46</v>
      </c>
      <c r="BU66" s="219" t="s">
        <v>116</v>
      </c>
      <c r="BV66" s="219" t="s">
        <v>116</v>
      </c>
      <c r="BW66" s="219" t="s">
        <v>116</v>
      </c>
      <c r="BX66" s="219" t="s">
        <v>116</v>
      </c>
      <c r="BY66" s="219" t="s">
        <v>116</v>
      </c>
      <c r="BZ66" s="219" t="s">
        <v>65</v>
      </c>
      <c r="CA66" s="219" t="s">
        <v>65</v>
      </c>
      <c r="CB66" s="219" t="s">
        <v>65</v>
      </c>
      <c r="CC66" s="219" t="s">
        <v>65</v>
      </c>
      <c r="CD66" s="219" t="s">
        <v>65</v>
      </c>
      <c r="CE66" s="219" t="s">
        <v>117</v>
      </c>
      <c r="CF66" s="219" t="s">
        <v>117</v>
      </c>
      <c r="CG66" s="219" t="s">
        <v>117</v>
      </c>
      <c r="CH66" s="219" t="s">
        <v>117</v>
      </c>
      <c r="CI66" s="219" t="s">
        <v>117</v>
      </c>
      <c r="CJ66" s="219"/>
      <c r="CK66" s="219"/>
      <c r="CL66" s="219"/>
      <c r="CM66" s="219"/>
      <c r="CN66" s="219"/>
      <c r="CO66" s="219"/>
      <c r="CP66" s="219"/>
      <c r="CQ66" s="219"/>
      <c r="CR66" s="219"/>
      <c r="CS66" s="219"/>
      <c r="CT66" s="219"/>
      <c r="CU66" s="219"/>
      <c r="CV66" s="219"/>
      <c r="CW66" s="219"/>
      <c r="CX66" s="219"/>
      <c r="CY66" s="219"/>
      <c r="CZ66" s="219"/>
      <c r="DA66" s="219"/>
      <c r="DB66" s="219"/>
      <c r="DC66" s="219"/>
      <c r="DD66" s="219"/>
      <c r="DE66" s="219"/>
      <c r="DF66" s="219"/>
      <c r="DG66" s="219"/>
      <c r="DH66" s="219"/>
      <c r="DI66" s="219"/>
      <c r="DJ66" s="219"/>
      <c r="DK66" s="219"/>
      <c r="DL66" s="219"/>
      <c r="DM66" s="219"/>
      <c r="DN66" s="219"/>
      <c r="DO66" s="219"/>
      <c r="DP66" s="219"/>
      <c r="DQ66" s="219"/>
      <c r="DR66" s="219"/>
      <c r="DS66" s="219"/>
      <c r="DT66" s="219"/>
      <c r="DU66" s="219"/>
      <c r="DV66" s="219"/>
      <c r="DW66" s="219"/>
      <c r="DX66" s="219"/>
      <c r="DY66" s="219"/>
      <c r="DZ66" s="45" t="s">
        <v>582</v>
      </c>
    </row>
    <row r="67" spans="2:130" x14ac:dyDescent="0.2">
      <c r="B67" s="3" t="s">
        <v>46</v>
      </c>
      <c r="C67" s="3" t="s">
        <v>46</v>
      </c>
      <c r="D67" s="3" t="str">
        <f t="shared" si="56"/>
        <v>B</v>
      </c>
      <c r="E67" s="3" t="str">
        <f t="shared" si="57"/>
        <v>B</v>
      </c>
      <c r="F67" s="3">
        <v>34</v>
      </c>
      <c r="G67" s="54" t="s">
        <v>46</v>
      </c>
      <c r="H67" s="54" t="s">
        <v>46</v>
      </c>
      <c r="I67" s="54">
        <v>1</v>
      </c>
      <c r="J67" s="54">
        <v>1</v>
      </c>
      <c r="K67" s="3">
        <f t="shared" si="20"/>
        <v>-0.49999999999999961</v>
      </c>
      <c r="L67" s="3">
        <f t="shared" si="21"/>
        <v>-0.49999999999999961</v>
      </c>
      <c r="M67" s="3">
        <f t="shared" si="22"/>
        <v>-0.99999999999999922</v>
      </c>
      <c r="N67" s="3">
        <f>SUM($M$33:M67)</f>
        <v>9.9999999999999982</v>
      </c>
      <c r="O67" s="3">
        <f t="shared" si="23"/>
        <v>5.9999999999999982</v>
      </c>
      <c r="P67" s="3">
        <f t="shared" si="24"/>
        <v>0.70710678118654613</v>
      </c>
      <c r="Q67" s="3">
        <f t="shared" si="25"/>
        <v>-0.70710678118654779</v>
      </c>
      <c r="R67" s="3">
        <f t="shared" si="26"/>
        <v>5.8041732580207492</v>
      </c>
      <c r="S67" s="3">
        <f t="shared" si="27"/>
        <v>0</v>
      </c>
      <c r="T67" s="3">
        <f t="shared" si="28"/>
        <v>0</v>
      </c>
      <c r="U67" s="3">
        <f t="shared" si="29"/>
        <v>1</v>
      </c>
      <c r="V67" s="3">
        <f t="shared" si="30"/>
        <v>1</v>
      </c>
      <c r="W67" s="3">
        <f t="shared" si="31"/>
        <v>0</v>
      </c>
      <c r="X67" s="3">
        <f t="shared" si="32"/>
        <v>0</v>
      </c>
      <c r="Y67" s="3">
        <f t="shared" si="33"/>
        <v>0</v>
      </c>
      <c r="Z67" s="3">
        <f t="shared" si="34"/>
        <v>2</v>
      </c>
      <c r="AA67" s="3">
        <f t="shared" si="35"/>
        <v>0</v>
      </c>
      <c r="AB67" s="65">
        <f t="shared" si="36"/>
        <v>0</v>
      </c>
      <c r="AC67" s="3">
        <f t="shared" si="37"/>
        <v>0</v>
      </c>
      <c r="AD67" s="65">
        <f t="shared" si="38"/>
        <v>-1.4142135623730934</v>
      </c>
      <c r="AE67" s="3">
        <f t="shared" si="39"/>
        <v>1.4142135623730967</v>
      </c>
      <c r="AF67" s="65">
        <f t="shared" si="40"/>
        <v>0</v>
      </c>
      <c r="AG67" s="3">
        <f t="shared" si="41"/>
        <v>0</v>
      </c>
      <c r="AH67" s="3">
        <f t="shared" si="42"/>
        <v>0</v>
      </c>
      <c r="AI67" s="3">
        <f t="shared" si="43"/>
        <v>2</v>
      </c>
      <c r="AJ67" s="3">
        <f t="shared" si="44"/>
        <v>0</v>
      </c>
      <c r="AK67" s="3">
        <f t="shared" si="45"/>
        <v>35.999999999999979</v>
      </c>
      <c r="AL67" s="4">
        <f t="shared" si="46"/>
        <v>1</v>
      </c>
      <c r="AM67" s="4">
        <f t="shared" si="47"/>
        <v>0</v>
      </c>
      <c r="AN67" s="4">
        <f t="shared" si="48"/>
        <v>0</v>
      </c>
      <c r="AO67" s="4">
        <f t="shared" si="49"/>
        <v>-1.4142135623730934</v>
      </c>
      <c r="AP67" s="3">
        <f t="shared" si="50"/>
        <v>1.4142135623730967</v>
      </c>
      <c r="AQ67" s="3">
        <f t="shared" si="51"/>
        <v>0</v>
      </c>
      <c r="AR67" s="3">
        <f t="shared" si="52"/>
        <v>0</v>
      </c>
      <c r="AS67" s="3">
        <f t="shared" si="53"/>
        <v>0.70710678118654613</v>
      </c>
      <c r="AT67" s="65">
        <f t="shared" si="54"/>
        <v>-0.70710678118654779</v>
      </c>
      <c r="AU67" s="65"/>
      <c r="AV67" s="3">
        <f t="shared" ref="AV67:AV98" si="60">IF(G66=G67,0,1)</f>
        <v>0</v>
      </c>
      <c r="AW67" s="3">
        <f t="shared" si="58"/>
        <v>1</v>
      </c>
      <c r="AX67" s="3">
        <f t="shared" si="59"/>
        <v>1</v>
      </c>
      <c r="AY67" s="65"/>
      <c r="BA67" s="221">
        <v>62</v>
      </c>
      <c r="BB67" s="222" t="s">
        <v>416</v>
      </c>
      <c r="BC67" s="223"/>
      <c r="BD67" s="223"/>
      <c r="BE67" s="224"/>
      <c r="BF67" s="223" t="s">
        <v>41</v>
      </c>
      <c r="BG67" s="223" t="s">
        <v>41</v>
      </c>
      <c r="BH67" s="223" t="s">
        <v>41</v>
      </c>
      <c r="BI67" s="223" t="s">
        <v>120</v>
      </c>
      <c r="BJ67" s="223" t="s">
        <v>120</v>
      </c>
      <c r="BK67" s="223" t="s">
        <v>120</v>
      </c>
      <c r="BL67" s="223" t="s">
        <v>120</v>
      </c>
      <c r="BM67" s="223" t="s">
        <v>120</v>
      </c>
      <c r="BN67" s="223" t="s">
        <v>46</v>
      </c>
      <c r="BO67" s="223" t="s">
        <v>46</v>
      </c>
      <c r="BP67" s="223" t="s">
        <v>46</v>
      </c>
      <c r="BQ67" s="223" t="s">
        <v>46</v>
      </c>
      <c r="BR67" s="223" t="s">
        <v>46</v>
      </c>
      <c r="BS67" s="223" t="s">
        <v>116</v>
      </c>
      <c r="BT67" s="223" t="s">
        <v>116</v>
      </c>
      <c r="BU67" s="223" t="s">
        <v>116</v>
      </c>
      <c r="BV67" s="223" t="s">
        <v>116</v>
      </c>
      <c r="BW67" s="223" t="s">
        <v>116</v>
      </c>
      <c r="BX67" s="223" t="s">
        <v>65</v>
      </c>
      <c r="BY67" s="223" t="s">
        <v>65</v>
      </c>
      <c r="BZ67" s="223" t="s">
        <v>65</v>
      </c>
      <c r="CA67" s="223" t="s">
        <v>65</v>
      </c>
      <c r="CB67" s="223" t="s">
        <v>65</v>
      </c>
      <c r="CC67" s="223" t="s">
        <v>117</v>
      </c>
      <c r="CD67" s="223" t="s">
        <v>117</v>
      </c>
      <c r="CE67" s="223" t="s">
        <v>117</v>
      </c>
      <c r="CF67" s="223" t="s">
        <v>117</v>
      </c>
      <c r="CG67" s="223" t="s">
        <v>117</v>
      </c>
      <c r="CH67" s="223" t="s">
        <v>41</v>
      </c>
      <c r="CI67" s="223" t="s">
        <v>41</v>
      </c>
      <c r="CJ67" s="223"/>
      <c r="CK67" s="223"/>
      <c r="CL67" s="223"/>
      <c r="CM67" s="223"/>
      <c r="CN67" s="223"/>
      <c r="CO67" s="223"/>
      <c r="CP67" s="223"/>
      <c r="CQ67" s="223"/>
      <c r="CR67" s="223"/>
      <c r="CS67" s="223"/>
      <c r="CT67" s="223"/>
      <c r="CU67" s="223"/>
      <c r="CV67" s="223"/>
      <c r="CW67" s="223"/>
      <c r="CX67" s="223"/>
      <c r="CY67" s="223"/>
      <c r="CZ67" s="223"/>
      <c r="DA67" s="223"/>
      <c r="DB67" s="223"/>
      <c r="DC67" s="223"/>
      <c r="DD67" s="223"/>
      <c r="DE67" s="223"/>
      <c r="DF67" s="223"/>
      <c r="DG67" s="223"/>
      <c r="DH67" s="223"/>
      <c r="DI67" s="223"/>
      <c r="DJ67" s="223"/>
      <c r="DK67" s="223"/>
      <c r="DL67" s="223"/>
      <c r="DM67" s="223"/>
      <c r="DN67" s="223"/>
      <c r="DO67" s="223"/>
      <c r="DP67" s="223"/>
      <c r="DQ67" s="223"/>
      <c r="DR67" s="223"/>
      <c r="DS67" s="223"/>
      <c r="DT67" s="223"/>
      <c r="DU67" s="223"/>
      <c r="DV67" s="223"/>
      <c r="DW67" s="223"/>
      <c r="DX67" s="223"/>
      <c r="DY67" s="223"/>
      <c r="DZ67" s="48" t="s">
        <v>582</v>
      </c>
    </row>
    <row r="68" spans="2:130" x14ac:dyDescent="0.2">
      <c r="B68" s="3" t="s">
        <v>46</v>
      </c>
      <c r="C68" s="3" t="s">
        <v>46</v>
      </c>
      <c r="D68" s="3" t="str">
        <f t="shared" si="56"/>
        <v>B</v>
      </c>
      <c r="E68" s="3" t="str">
        <f t="shared" si="57"/>
        <v>B</v>
      </c>
      <c r="F68" s="3">
        <v>35</v>
      </c>
      <c r="G68" s="54" t="s">
        <v>46</v>
      </c>
      <c r="H68" s="54" t="s">
        <v>46</v>
      </c>
      <c r="I68" s="54">
        <v>1</v>
      </c>
      <c r="J68" s="54">
        <v>1</v>
      </c>
      <c r="K68" s="3">
        <f t="shared" si="20"/>
        <v>-0.49999999999999961</v>
      </c>
      <c r="L68" s="3">
        <f t="shared" si="21"/>
        <v>-0.49999999999999961</v>
      </c>
      <c r="M68" s="3">
        <f t="shared" si="22"/>
        <v>-0.99999999999999922</v>
      </c>
      <c r="N68" s="3">
        <f>SUM($M$33:M68)</f>
        <v>8.9999999999999982</v>
      </c>
      <c r="O68" s="3">
        <f t="shared" si="23"/>
        <v>4.9999999999999982</v>
      </c>
      <c r="P68" s="3">
        <f t="shared" si="24"/>
        <v>0.86602540378443726</v>
      </c>
      <c r="Q68" s="3">
        <f t="shared" si="25"/>
        <v>-0.50000000000000089</v>
      </c>
      <c r="R68" s="3">
        <f t="shared" si="26"/>
        <v>4.4536987837850921</v>
      </c>
      <c r="S68" s="3">
        <f t="shared" si="27"/>
        <v>0</v>
      </c>
      <c r="T68" s="3">
        <f t="shared" si="28"/>
        <v>0</v>
      </c>
      <c r="U68" s="3">
        <f t="shared" si="29"/>
        <v>1</v>
      </c>
      <c r="V68" s="3">
        <f t="shared" si="30"/>
        <v>1</v>
      </c>
      <c r="W68" s="3">
        <f t="shared" si="31"/>
        <v>0</v>
      </c>
      <c r="X68" s="3">
        <f t="shared" si="32"/>
        <v>0</v>
      </c>
      <c r="Y68" s="3">
        <f t="shared" si="33"/>
        <v>0</v>
      </c>
      <c r="Z68" s="3">
        <f t="shared" si="34"/>
        <v>2</v>
      </c>
      <c r="AA68" s="3">
        <f t="shared" si="35"/>
        <v>0</v>
      </c>
      <c r="AB68" s="65">
        <f t="shared" si="36"/>
        <v>0</v>
      </c>
      <c r="AC68" s="3">
        <f t="shared" si="37"/>
        <v>0</v>
      </c>
      <c r="AD68" s="65">
        <f t="shared" si="38"/>
        <v>-1.7320508075688759</v>
      </c>
      <c r="AE68" s="3">
        <f t="shared" si="39"/>
        <v>1.0000000000000027</v>
      </c>
      <c r="AF68" s="65">
        <f t="shared" si="40"/>
        <v>0</v>
      </c>
      <c r="AG68" s="3">
        <f t="shared" si="41"/>
        <v>0</v>
      </c>
      <c r="AH68" s="3">
        <f t="shared" si="42"/>
        <v>0</v>
      </c>
      <c r="AI68" s="3">
        <f t="shared" si="43"/>
        <v>2</v>
      </c>
      <c r="AJ68" s="3">
        <f t="shared" si="44"/>
        <v>0</v>
      </c>
      <c r="AK68" s="3">
        <f t="shared" si="45"/>
        <v>24.999999999999982</v>
      </c>
      <c r="AL68" s="4">
        <f t="shared" si="46"/>
        <v>1</v>
      </c>
      <c r="AM68" s="4">
        <f t="shared" si="47"/>
        <v>0</v>
      </c>
      <c r="AN68" s="4">
        <f t="shared" si="48"/>
        <v>0</v>
      </c>
      <c r="AO68" s="4">
        <f t="shared" si="49"/>
        <v>-1.7320508075688759</v>
      </c>
      <c r="AP68" s="3">
        <f t="shared" si="50"/>
        <v>1.0000000000000027</v>
      </c>
      <c r="AQ68" s="3">
        <f t="shared" si="51"/>
        <v>0</v>
      </c>
      <c r="AR68" s="3">
        <f t="shared" si="52"/>
        <v>0</v>
      </c>
      <c r="AS68" s="3">
        <f t="shared" si="53"/>
        <v>0.86602540378443726</v>
      </c>
      <c r="AT68" s="65">
        <f t="shared" si="54"/>
        <v>-0.50000000000000089</v>
      </c>
      <c r="AU68" s="65"/>
      <c r="AV68" s="3">
        <f t="shared" si="60"/>
        <v>0</v>
      </c>
      <c r="AW68" s="3">
        <f t="shared" si="58"/>
        <v>1</v>
      </c>
      <c r="AX68" s="3">
        <f t="shared" si="59"/>
        <v>1</v>
      </c>
      <c r="AY68" s="65"/>
      <c r="BA68" s="221">
        <v>63</v>
      </c>
      <c r="BB68" s="222"/>
      <c r="BC68" s="223"/>
      <c r="BD68" s="223"/>
      <c r="BE68" s="224"/>
      <c r="BF68" s="223">
        <v>5</v>
      </c>
      <c r="BG68" s="223">
        <v>4</v>
      </c>
      <c r="BH68" s="223">
        <v>4</v>
      </c>
      <c r="BI68" s="223">
        <v>4</v>
      </c>
      <c r="BJ68" s="223">
        <v>5</v>
      </c>
      <c r="BK68" s="223">
        <v>5</v>
      </c>
      <c r="BL68" s="223">
        <v>4</v>
      </c>
      <c r="BM68" s="223">
        <v>4</v>
      </c>
      <c r="BN68" s="223">
        <v>4</v>
      </c>
      <c r="BO68" s="223">
        <v>5</v>
      </c>
      <c r="BP68" s="223">
        <v>5</v>
      </c>
      <c r="BQ68" s="223">
        <v>4</v>
      </c>
      <c r="BR68" s="223">
        <v>4</v>
      </c>
      <c r="BS68" s="223">
        <v>4</v>
      </c>
      <c r="BT68" s="223">
        <v>5</v>
      </c>
      <c r="BU68" s="223">
        <v>5</v>
      </c>
      <c r="BV68" s="223">
        <v>4</v>
      </c>
      <c r="BW68" s="223">
        <v>4</v>
      </c>
      <c r="BX68" s="223">
        <v>4</v>
      </c>
      <c r="BY68" s="223">
        <v>5</v>
      </c>
      <c r="BZ68" s="223">
        <v>5</v>
      </c>
      <c r="CA68" s="223">
        <v>4</v>
      </c>
      <c r="CB68" s="223">
        <v>4</v>
      </c>
      <c r="CC68" s="223">
        <v>4</v>
      </c>
      <c r="CD68" s="223">
        <v>5</v>
      </c>
      <c r="CE68" s="223">
        <v>5</v>
      </c>
      <c r="CF68" s="223">
        <v>4</v>
      </c>
      <c r="CG68" s="223">
        <v>4</v>
      </c>
      <c r="CH68" s="223">
        <v>4</v>
      </c>
      <c r="CI68" s="223">
        <v>5</v>
      </c>
      <c r="CJ68" s="223"/>
      <c r="CK68" s="223"/>
      <c r="CL68" s="223"/>
      <c r="CM68" s="223"/>
      <c r="CN68" s="223"/>
      <c r="CO68" s="223"/>
      <c r="CP68" s="223"/>
      <c r="CQ68" s="223"/>
      <c r="CR68" s="223"/>
      <c r="CS68" s="223"/>
      <c r="CT68" s="223"/>
      <c r="CU68" s="223"/>
      <c r="CV68" s="223"/>
      <c r="CW68" s="223"/>
      <c r="CX68" s="223"/>
      <c r="CY68" s="223"/>
      <c r="CZ68" s="223"/>
      <c r="DA68" s="223"/>
      <c r="DB68" s="223"/>
      <c r="DC68" s="223"/>
      <c r="DD68" s="223"/>
      <c r="DE68" s="223"/>
      <c r="DF68" s="223"/>
      <c r="DG68" s="223"/>
      <c r="DH68" s="223"/>
      <c r="DI68" s="223"/>
      <c r="DJ68" s="223"/>
      <c r="DK68" s="223"/>
      <c r="DL68" s="223"/>
      <c r="DM68" s="223"/>
      <c r="DN68" s="223"/>
      <c r="DO68" s="223"/>
      <c r="DP68" s="223"/>
      <c r="DQ68" s="223"/>
      <c r="DR68" s="223"/>
      <c r="DS68" s="223"/>
      <c r="DT68" s="223"/>
      <c r="DU68" s="223"/>
      <c r="DV68" s="223"/>
      <c r="DW68" s="223"/>
      <c r="DX68" s="223"/>
      <c r="DY68" s="223"/>
      <c r="DZ68" s="48" t="s">
        <v>582</v>
      </c>
    </row>
    <row r="69" spans="2:130" x14ac:dyDescent="0.2">
      <c r="B69" s="3" t="s">
        <v>46</v>
      </c>
      <c r="C69" s="3" t="s">
        <v>46</v>
      </c>
      <c r="D69" s="3" t="str">
        <f t="shared" si="56"/>
        <v>B</v>
      </c>
      <c r="E69" s="3" t="str">
        <f t="shared" si="57"/>
        <v>B</v>
      </c>
      <c r="F69" s="3">
        <v>36</v>
      </c>
      <c r="G69" s="54" t="s">
        <v>46</v>
      </c>
      <c r="H69" s="54" t="s">
        <v>46</v>
      </c>
      <c r="I69" s="54">
        <v>1</v>
      </c>
      <c r="J69" s="54">
        <v>1</v>
      </c>
      <c r="K69" s="3">
        <f t="shared" si="20"/>
        <v>-0.49999999999999961</v>
      </c>
      <c r="L69" s="3">
        <f t="shared" si="21"/>
        <v>-0.49999999999999961</v>
      </c>
      <c r="M69" s="3">
        <f t="shared" si="22"/>
        <v>-0.99999999999999922</v>
      </c>
      <c r="N69" s="3">
        <f>SUM($M$33:M69)</f>
        <v>7.9999999999999991</v>
      </c>
      <c r="O69" s="3">
        <f t="shared" si="23"/>
        <v>3.9999999999999991</v>
      </c>
      <c r="P69" s="3">
        <f t="shared" si="24"/>
        <v>0.96592582628906698</v>
      </c>
      <c r="Q69" s="3">
        <f t="shared" si="25"/>
        <v>-0.25881904510252229</v>
      </c>
      <c r="R69" s="3">
        <f t="shared" si="26"/>
        <v>2.7997120975197198</v>
      </c>
      <c r="S69" s="3">
        <f t="shared" si="27"/>
        <v>0</v>
      </c>
      <c r="T69" s="3">
        <f t="shared" si="28"/>
        <v>0</v>
      </c>
      <c r="U69" s="3">
        <f t="shared" si="29"/>
        <v>1</v>
      </c>
      <c r="V69" s="3">
        <f t="shared" si="30"/>
        <v>1</v>
      </c>
      <c r="W69" s="3">
        <f t="shared" si="31"/>
        <v>0</v>
      </c>
      <c r="X69" s="3">
        <f t="shared" si="32"/>
        <v>0</v>
      </c>
      <c r="Y69" s="3">
        <f t="shared" si="33"/>
        <v>0</v>
      </c>
      <c r="Z69" s="3">
        <f t="shared" si="34"/>
        <v>2</v>
      </c>
      <c r="AA69" s="3">
        <f t="shared" si="35"/>
        <v>0</v>
      </c>
      <c r="AB69" s="65">
        <f t="shared" si="36"/>
        <v>0</v>
      </c>
      <c r="AC69" s="3">
        <f t="shared" si="37"/>
        <v>0</v>
      </c>
      <c r="AD69" s="65">
        <f t="shared" si="38"/>
        <v>-1.9318516525781355</v>
      </c>
      <c r="AE69" s="3">
        <f t="shared" si="39"/>
        <v>0.51763809020504503</v>
      </c>
      <c r="AF69" s="65">
        <f t="shared" si="40"/>
        <v>0</v>
      </c>
      <c r="AG69" s="3">
        <f t="shared" si="41"/>
        <v>0</v>
      </c>
      <c r="AH69" s="3">
        <f t="shared" si="42"/>
        <v>0</v>
      </c>
      <c r="AI69" s="3">
        <f t="shared" si="43"/>
        <v>2</v>
      </c>
      <c r="AJ69" s="3">
        <f t="shared" si="44"/>
        <v>0</v>
      </c>
      <c r="AK69" s="3">
        <f t="shared" si="45"/>
        <v>15.999999999999993</v>
      </c>
      <c r="AL69" s="4">
        <f t="shared" si="46"/>
        <v>1</v>
      </c>
      <c r="AM69" s="4">
        <f t="shared" si="47"/>
        <v>0</v>
      </c>
      <c r="AN69" s="4">
        <f t="shared" si="48"/>
        <v>0</v>
      </c>
      <c r="AO69" s="4">
        <f t="shared" si="49"/>
        <v>-1.9318516525781355</v>
      </c>
      <c r="AP69" s="3">
        <f t="shared" si="50"/>
        <v>0.51763809020504503</v>
      </c>
      <c r="AQ69" s="3">
        <f t="shared" si="51"/>
        <v>0</v>
      </c>
      <c r="AR69" s="3">
        <f t="shared" si="52"/>
        <v>0</v>
      </c>
      <c r="AS69" s="3">
        <f t="shared" si="53"/>
        <v>0.96592582628906698</v>
      </c>
      <c r="AT69" s="65">
        <f t="shared" si="54"/>
        <v>-0.25881904510252229</v>
      </c>
      <c r="AU69" s="65"/>
      <c r="AV69" s="3">
        <f t="shared" si="60"/>
        <v>0</v>
      </c>
      <c r="AW69" s="3">
        <f t="shared" si="58"/>
        <v>1</v>
      </c>
      <c r="AX69" s="3">
        <f t="shared" si="59"/>
        <v>1</v>
      </c>
      <c r="AY69" s="65"/>
      <c r="BA69" s="226">
        <v>64</v>
      </c>
      <c r="BB69" s="227"/>
      <c r="BC69" s="228"/>
      <c r="BD69" s="228"/>
      <c r="BE69" s="229"/>
      <c r="BF69" s="223">
        <v>4</v>
      </c>
      <c r="BG69" s="223">
        <v>4</v>
      </c>
      <c r="BH69" s="223">
        <v>5</v>
      </c>
      <c r="BI69" s="223">
        <v>5</v>
      </c>
      <c r="BJ69" s="223">
        <v>4</v>
      </c>
      <c r="BK69" s="223">
        <v>4</v>
      </c>
      <c r="BL69" s="223">
        <v>4</v>
      </c>
      <c r="BM69" s="223">
        <v>5</v>
      </c>
      <c r="BN69" s="223">
        <v>5</v>
      </c>
      <c r="BO69" s="223">
        <v>4</v>
      </c>
      <c r="BP69" s="223">
        <v>4</v>
      </c>
      <c r="BQ69" s="223">
        <v>4</v>
      </c>
      <c r="BR69" s="223">
        <v>5</v>
      </c>
      <c r="BS69" s="223">
        <v>5</v>
      </c>
      <c r="BT69" s="223">
        <v>4</v>
      </c>
      <c r="BU69" s="223">
        <v>4</v>
      </c>
      <c r="BV69" s="223">
        <v>4</v>
      </c>
      <c r="BW69" s="223">
        <v>5</v>
      </c>
      <c r="BX69" s="223">
        <v>5</v>
      </c>
      <c r="BY69" s="223">
        <v>4</v>
      </c>
      <c r="BZ69" s="223">
        <v>4</v>
      </c>
      <c r="CA69" s="223">
        <v>4</v>
      </c>
      <c r="CB69" s="223">
        <v>5</v>
      </c>
      <c r="CC69" s="223">
        <v>5</v>
      </c>
      <c r="CD69" s="223">
        <v>4</v>
      </c>
      <c r="CE69" s="223">
        <v>4</v>
      </c>
      <c r="CF69" s="223">
        <v>4</v>
      </c>
      <c r="CG69" s="223">
        <v>5</v>
      </c>
      <c r="CH69" s="223">
        <v>5</v>
      </c>
      <c r="CI69" s="223">
        <v>4</v>
      </c>
      <c r="CJ69" s="223"/>
      <c r="CK69" s="223"/>
      <c r="CL69" s="223"/>
      <c r="CM69" s="223"/>
      <c r="CN69" s="223"/>
      <c r="CO69" s="223"/>
      <c r="CP69" s="223"/>
      <c r="CQ69" s="223"/>
      <c r="CR69" s="223"/>
      <c r="CS69" s="223"/>
      <c r="CT69" s="223"/>
      <c r="CU69" s="223"/>
      <c r="CV69" s="223"/>
      <c r="CW69" s="223"/>
      <c r="CX69" s="223"/>
      <c r="CY69" s="223"/>
      <c r="CZ69" s="223"/>
      <c r="DA69" s="223"/>
      <c r="DB69" s="223"/>
      <c r="DC69" s="223"/>
      <c r="DD69" s="223"/>
      <c r="DE69" s="223"/>
      <c r="DF69" s="223"/>
      <c r="DG69" s="223"/>
      <c r="DH69" s="223"/>
      <c r="DI69" s="223"/>
      <c r="DJ69" s="223"/>
      <c r="DK69" s="223"/>
      <c r="DL69" s="223"/>
      <c r="DM69" s="223"/>
      <c r="DN69" s="223"/>
      <c r="DO69" s="223"/>
      <c r="DP69" s="223"/>
      <c r="DQ69" s="223"/>
      <c r="DR69" s="223"/>
      <c r="DS69" s="223"/>
      <c r="DT69" s="223"/>
      <c r="DU69" s="223"/>
      <c r="DV69" s="223"/>
      <c r="DW69" s="223"/>
      <c r="DX69" s="223"/>
      <c r="DY69" s="223"/>
      <c r="DZ69" s="51" t="s">
        <v>582</v>
      </c>
    </row>
    <row r="70" spans="2:130" x14ac:dyDescent="0.2">
      <c r="B70" s="3" t="s">
        <v>116</v>
      </c>
      <c r="C70" s="3" t="s">
        <v>116</v>
      </c>
      <c r="D70" s="3" t="str">
        <f t="shared" si="56"/>
        <v>A'</v>
      </c>
      <c r="E70" s="3" t="str">
        <f t="shared" si="57"/>
        <v>A'</v>
      </c>
      <c r="F70" s="3">
        <v>37</v>
      </c>
      <c r="G70" s="54" t="s">
        <v>116</v>
      </c>
      <c r="H70" s="54" t="s">
        <v>116</v>
      </c>
      <c r="I70" s="54">
        <v>1</v>
      </c>
      <c r="J70" s="54">
        <v>1</v>
      </c>
      <c r="K70" s="3">
        <f t="shared" si="20"/>
        <v>-1</v>
      </c>
      <c r="L70" s="3">
        <f t="shared" si="21"/>
        <v>-1</v>
      </c>
      <c r="M70" s="3">
        <f t="shared" si="22"/>
        <v>-2</v>
      </c>
      <c r="N70" s="3">
        <f>SUM($M$33:M70)</f>
        <v>5.9999999999999991</v>
      </c>
      <c r="O70" s="3">
        <f t="shared" si="23"/>
        <v>1.9999999999999991</v>
      </c>
      <c r="P70" s="3">
        <f t="shared" si="24"/>
        <v>2</v>
      </c>
      <c r="Q70" s="3">
        <f t="shared" si="25"/>
        <v>-7.3508907294517201E-16</v>
      </c>
      <c r="R70" s="3">
        <f t="shared" si="26"/>
        <v>0.95492965855137957</v>
      </c>
      <c r="S70" s="3">
        <f t="shared" si="27"/>
        <v>-1</v>
      </c>
      <c r="T70" s="3">
        <f t="shared" si="28"/>
        <v>-1</v>
      </c>
      <c r="U70" s="3">
        <f t="shared" si="29"/>
        <v>0</v>
      </c>
      <c r="V70" s="3">
        <f t="shared" si="30"/>
        <v>0</v>
      </c>
      <c r="W70" s="3">
        <f t="shared" si="31"/>
        <v>0</v>
      </c>
      <c r="X70" s="3">
        <f t="shared" si="32"/>
        <v>0</v>
      </c>
      <c r="Y70" s="3">
        <f t="shared" si="33"/>
        <v>-2</v>
      </c>
      <c r="Z70" s="3">
        <f t="shared" si="34"/>
        <v>0</v>
      </c>
      <c r="AA70" s="3">
        <f t="shared" si="35"/>
        <v>0</v>
      </c>
      <c r="AB70" s="65">
        <f t="shared" si="36"/>
        <v>2</v>
      </c>
      <c r="AC70" s="3">
        <f t="shared" si="37"/>
        <v>-7.3508907294517201E-16</v>
      </c>
      <c r="AD70" s="65">
        <f t="shared" si="38"/>
        <v>0</v>
      </c>
      <c r="AE70" s="3">
        <f t="shared" si="39"/>
        <v>0</v>
      </c>
      <c r="AF70" s="65">
        <f t="shared" si="40"/>
        <v>0</v>
      </c>
      <c r="AG70" s="3">
        <f t="shared" si="41"/>
        <v>0</v>
      </c>
      <c r="AH70" s="3">
        <f t="shared" si="42"/>
        <v>2</v>
      </c>
      <c r="AI70" s="3">
        <f t="shared" si="43"/>
        <v>0</v>
      </c>
      <c r="AJ70" s="3">
        <f t="shared" si="44"/>
        <v>0</v>
      </c>
      <c r="AK70" s="3">
        <f t="shared" si="45"/>
        <v>3.9999999999999964</v>
      </c>
      <c r="AL70" s="4">
        <f t="shared" si="46"/>
        <v>1</v>
      </c>
      <c r="AM70" s="4">
        <f t="shared" si="47"/>
        <v>2</v>
      </c>
      <c r="AN70" s="4">
        <f t="shared" si="48"/>
        <v>-7.3508907294517201E-16</v>
      </c>
      <c r="AO70" s="4">
        <f t="shared" si="49"/>
        <v>0</v>
      </c>
      <c r="AP70" s="3">
        <f t="shared" si="50"/>
        <v>0</v>
      </c>
      <c r="AQ70" s="3">
        <f t="shared" si="51"/>
        <v>0</v>
      </c>
      <c r="AR70" s="3">
        <f t="shared" si="52"/>
        <v>0</v>
      </c>
      <c r="AS70" s="3">
        <f t="shared" si="53"/>
        <v>2</v>
      </c>
      <c r="AT70" s="65">
        <f t="shared" si="54"/>
        <v>-7.3508907294517201E-16</v>
      </c>
      <c r="AV70" s="3">
        <f t="shared" si="60"/>
        <v>1</v>
      </c>
      <c r="AW70" s="3">
        <f t="shared" si="58"/>
        <v>1</v>
      </c>
      <c r="AX70" s="3">
        <f t="shared" si="59"/>
        <v>1</v>
      </c>
      <c r="AY70" s="65"/>
      <c r="BA70" s="217">
        <v>65</v>
      </c>
      <c r="BB70" s="218" t="s">
        <v>417</v>
      </c>
      <c r="BC70" s="219">
        <v>36</v>
      </c>
      <c r="BD70" s="219">
        <v>6</v>
      </c>
      <c r="BE70" s="220">
        <v>6</v>
      </c>
      <c r="BF70" s="219" t="s">
        <v>116</v>
      </c>
      <c r="BG70" s="219" t="s">
        <v>116</v>
      </c>
      <c r="BH70" s="219" t="s">
        <v>116</v>
      </c>
      <c r="BI70" s="219" t="s">
        <v>65</v>
      </c>
      <c r="BJ70" s="219" t="s">
        <v>65</v>
      </c>
      <c r="BK70" s="219" t="s">
        <v>65</v>
      </c>
      <c r="BL70" s="219" t="s">
        <v>117</v>
      </c>
      <c r="BM70" s="219" t="s">
        <v>117</v>
      </c>
      <c r="BN70" s="219" t="s">
        <v>117</v>
      </c>
      <c r="BO70" s="219" t="s">
        <v>41</v>
      </c>
      <c r="BP70" s="219" t="s">
        <v>41</v>
      </c>
      <c r="BQ70" s="219" t="s">
        <v>41</v>
      </c>
      <c r="BR70" s="219" t="s">
        <v>120</v>
      </c>
      <c r="BS70" s="219" t="s">
        <v>120</v>
      </c>
      <c r="BT70" s="219" t="s">
        <v>65</v>
      </c>
      <c r="BU70" s="219" t="s">
        <v>46</v>
      </c>
      <c r="BV70" s="219" t="s">
        <v>117</v>
      </c>
      <c r="BW70" s="219" t="s">
        <v>117</v>
      </c>
      <c r="BX70" s="219" t="s">
        <v>41</v>
      </c>
      <c r="BY70" s="219" t="s">
        <v>41</v>
      </c>
      <c r="BZ70" s="219" t="s">
        <v>41</v>
      </c>
      <c r="CA70" s="219" t="s">
        <v>120</v>
      </c>
      <c r="CB70" s="219" t="s">
        <v>120</v>
      </c>
      <c r="CC70" s="219" t="s">
        <v>120</v>
      </c>
      <c r="CD70" s="219" t="s">
        <v>46</v>
      </c>
      <c r="CE70" s="219" t="s">
        <v>46</v>
      </c>
      <c r="CF70" s="219" t="s">
        <v>117</v>
      </c>
      <c r="CG70" s="219" t="s">
        <v>116</v>
      </c>
      <c r="CH70" s="219" t="s">
        <v>116</v>
      </c>
      <c r="CI70" s="219" t="s">
        <v>116</v>
      </c>
      <c r="CJ70" s="219" t="s">
        <v>65</v>
      </c>
      <c r="CK70" s="219" t="s">
        <v>65</v>
      </c>
      <c r="CL70" s="219" t="s">
        <v>120</v>
      </c>
      <c r="CM70" s="219" t="s">
        <v>117</v>
      </c>
      <c r="CN70" s="219" t="s">
        <v>46</v>
      </c>
      <c r="CO70" s="219" t="s">
        <v>46</v>
      </c>
      <c r="CP70" s="219"/>
      <c r="CQ70" s="219"/>
      <c r="CR70" s="219"/>
      <c r="CS70" s="219"/>
      <c r="CT70" s="219"/>
      <c r="CU70" s="219"/>
      <c r="CV70" s="219"/>
      <c r="CW70" s="219"/>
      <c r="CX70" s="219"/>
      <c r="CY70" s="219"/>
      <c r="CZ70" s="219"/>
      <c r="DA70" s="219"/>
      <c r="DB70" s="219"/>
      <c r="DC70" s="219"/>
      <c r="DD70" s="219"/>
      <c r="DE70" s="219"/>
      <c r="DF70" s="219"/>
      <c r="DG70" s="219"/>
      <c r="DH70" s="219"/>
      <c r="DI70" s="219"/>
      <c r="DJ70" s="219"/>
      <c r="DK70" s="219"/>
      <c r="DL70" s="219"/>
      <c r="DM70" s="219"/>
      <c r="DN70" s="219"/>
      <c r="DO70" s="219"/>
      <c r="DP70" s="219"/>
      <c r="DQ70" s="219"/>
      <c r="DR70" s="219"/>
      <c r="DS70" s="219"/>
      <c r="DT70" s="219"/>
      <c r="DU70" s="219"/>
      <c r="DV70" s="219"/>
      <c r="DW70" s="219"/>
      <c r="DX70" s="219"/>
      <c r="DY70" s="219"/>
      <c r="DZ70" s="45" t="s">
        <v>582</v>
      </c>
    </row>
    <row r="71" spans="2:130" x14ac:dyDescent="0.2">
      <c r="B71" s="3" t="s">
        <v>116</v>
      </c>
      <c r="C71" s="3" t="s">
        <v>116</v>
      </c>
      <c r="D71" s="3" t="str">
        <f t="shared" si="56"/>
        <v>A'</v>
      </c>
      <c r="E71" s="3" t="str">
        <f t="shared" si="57"/>
        <v>A'</v>
      </c>
      <c r="F71" s="3">
        <v>38</v>
      </c>
      <c r="G71" s="54" t="s">
        <v>116</v>
      </c>
      <c r="H71" s="54" t="s">
        <v>116</v>
      </c>
      <c r="I71" s="54">
        <v>1</v>
      </c>
      <c r="J71" s="54">
        <v>1</v>
      </c>
      <c r="K71" s="3">
        <f t="shared" si="20"/>
        <v>-1</v>
      </c>
      <c r="L71" s="3">
        <f t="shared" si="21"/>
        <v>-1</v>
      </c>
      <c r="M71" s="3">
        <f t="shared" si="22"/>
        <v>-2</v>
      </c>
      <c r="N71" s="3">
        <f>SUM($M$33:M71)</f>
        <v>3.9999999999999991</v>
      </c>
      <c r="O71" s="3">
        <f t="shared" si="23"/>
        <v>0</v>
      </c>
      <c r="P71" s="3">
        <f t="shared" si="24"/>
        <v>1.9318516525781368</v>
      </c>
      <c r="Q71" s="3">
        <f t="shared" si="25"/>
        <v>0.51763809020504026</v>
      </c>
      <c r="R71" s="3">
        <f t="shared" si="26"/>
        <v>-0.95492965855136125</v>
      </c>
      <c r="S71" s="3">
        <f t="shared" si="27"/>
        <v>-1</v>
      </c>
      <c r="T71" s="3">
        <f t="shared" si="28"/>
        <v>-1</v>
      </c>
      <c r="U71" s="3">
        <f t="shared" si="29"/>
        <v>0</v>
      </c>
      <c r="V71" s="3">
        <f t="shared" si="30"/>
        <v>0</v>
      </c>
      <c r="W71" s="3">
        <f t="shared" si="31"/>
        <v>0</v>
      </c>
      <c r="X71" s="3">
        <f t="shared" si="32"/>
        <v>0</v>
      </c>
      <c r="Y71" s="3">
        <f t="shared" si="33"/>
        <v>-2</v>
      </c>
      <c r="Z71" s="3">
        <f t="shared" si="34"/>
        <v>0</v>
      </c>
      <c r="AA71" s="3">
        <f t="shared" si="35"/>
        <v>0</v>
      </c>
      <c r="AB71" s="65">
        <f t="shared" si="36"/>
        <v>1.9318516525781368</v>
      </c>
      <c r="AC71" s="3">
        <f t="shared" si="37"/>
        <v>0.51763809020504026</v>
      </c>
      <c r="AD71" s="65">
        <f t="shared" si="38"/>
        <v>0</v>
      </c>
      <c r="AE71" s="3">
        <f t="shared" si="39"/>
        <v>0</v>
      </c>
      <c r="AF71" s="65">
        <f t="shared" si="40"/>
        <v>0</v>
      </c>
      <c r="AG71" s="3">
        <f t="shared" si="41"/>
        <v>0</v>
      </c>
      <c r="AH71" s="3">
        <f t="shared" si="42"/>
        <v>2</v>
      </c>
      <c r="AI71" s="3">
        <f t="shared" si="43"/>
        <v>0</v>
      </c>
      <c r="AJ71" s="3">
        <f t="shared" si="44"/>
        <v>0</v>
      </c>
      <c r="AK71" s="3">
        <f t="shared" si="45"/>
        <v>0</v>
      </c>
      <c r="AL71" s="4">
        <f t="shared" si="46"/>
        <v>1</v>
      </c>
      <c r="AM71" s="4">
        <f t="shared" si="47"/>
        <v>1.9318516525781368</v>
      </c>
      <c r="AN71" s="4">
        <f t="shared" si="48"/>
        <v>0.51763809020504026</v>
      </c>
      <c r="AO71" s="4">
        <f t="shared" si="49"/>
        <v>0</v>
      </c>
      <c r="AP71" s="3">
        <f t="shared" si="50"/>
        <v>0</v>
      </c>
      <c r="AQ71" s="3">
        <f t="shared" si="51"/>
        <v>0</v>
      </c>
      <c r="AR71" s="3">
        <f t="shared" si="52"/>
        <v>0</v>
      </c>
      <c r="AS71" s="3">
        <f t="shared" si="53"/>
        <v>1.9318516525781368</v>
      </c>
      <c r="AT71" s="65">
        <f t="shared" si="54"/>
        <v>0.51763809020504026</v>
      </c>
      <c r="AV71" s="3">
        <f t="shared" si="60"/>
        <v>0</v>
      </c>
      <c r="AW71" s="3">
        <f t="shared" si="58"/>
        <v>1</v>
      </c>
      <c r="AX71" s="3">
        <f t="shared" si="59"/>
        <v>1</v>
      </c>
      <c r="AY71" s="65"/>
      <c r="BA71" s="221">
        <v>66</v>
      </c>
      <c r="BB71" s="222" t="s">
        <v>418</v>
      </c>
      <c r="BC71" s="223"/>
      <c r="BD71" s="223"/>
      <c r="BE71" s="224"/>
      <c r="BF71" s="223" t="s">
        <v>120</v>
      </c>
      <c r="BG71" s="223" t="s">
        <v>120</v>
      </c>
      <c r="BH71" s="223" t="s">
        <v>65</v>
      </c>
      <c r="BI71" s="223" t="s">
        <v>46</v>
      </c>
      <c r="BJ71" s="223" t="s">
        <v>117</v>
      </c>
      <c r="BK71" s="223" t="s">
        <v>117</v>
      </c>
      <c r="BL71" s="223" t="s">
        <v>41</v>
      </c>
      <c r="BM71" s="223" t="s">
        <v>41</v>
      </c>
      <c r="BN71" s="223" t="s">
        <v>41</v>
      </c>
      <c r="BO71" s="223" t="s">
        <v>120</v>
      </c>
      <c r="BP71" s="223" t="s">
        <v>120</v>
      </c>
      <c r="BQ71" s="223" t="s">
        <v>120</v>
      </c>
      <c r="BR71" s="223" t="s">
        <v>46</v>
      </c>
      <c r="BS71" s="223" t="s">
        <v>46</v>
      </c>
      <c r="BT71" s="223" t="s">
        <v>46</v>
      </c>
      <c r="BU71" s="223" t="s">
        <v>116</v>
      </c>
      <c r="BV71" s="223" t="s">
        <v>116</v>
      </c>
      <c r="BW71" s="223" t="s">
        <v>116</v>
      </c>
      <c r="BX71" s="223" t="s">
        <v>65</v>
      </c>
      <c r="BY71" s="223" t="s">
        <v>65</v>
      </c>
      <c r="BZ71" s="223" t="s">
        <v>120</v>
      </c>
      <c r="CA71" s="223" t="s">
        <v>117</v>
      </c>
      <c r="CB71" s="223" t="s">
        <v>46</v>
      </c>
      <c r="CC71" s="223" t="s">
        <v>46</v>
      </c>
      <c r="CD71" s="223" t="s">
        <v>116</v>
      </c>
      <c r="CE71" s="223" t="s">
        <v>116</v>
      </c>
      <c r="CF71" s="223" t="s">
        <v>116</v>
      </c>
      <c r="CG71" s="223" t="s">
        <v>65</v>
      </c>
      <c r="CH71" s="223" t="s">
        <v>65</v>
      </c>
      <c r="CI71" s="223" t="s">
        <v>65</v>
      </c>
      <c r="CJ71" s="223" t="s">
        <v>117</v>
      </c>
      <c r="CK71" s="223" t="s">
        <v>117</v>
      </c>
      <c r="CL71" s="223" t="s">
        <v>117</v>
      </c>
      <c r="CM71" s="223" t="s">
        <v>41</v>
      </c>
      <c r="CN71" s="223" t="s">
        <v>41</v>
      </c>
      <c r="CO71" s="223" t="s">
        <v>41</v>
      </c>
      <c r="CP71" s="223"/>
      <c r="CQ71" s="223"/>
      <c r="CR71" s="223"/>
      <c r="CS71" s="223"/>
      <c r="CT71" s="223"/>
      <c r="CU71" s="223"/>
      <c r="CV71" s="223"/>
      <c r="CW71" s="223"/>
      <c r="CX71" s="223"/>
      <c r="CY71" s="223"/>
      <c r="CZ71" s="223"/>
      <c r="DA71" s="223"/>
      <c r="DB71" s="223"/>
      <c r="DC71" s="223"/>
      <c r="DD71" s="223"/>
      <c r="DE71" s="223"/>
      <c r="DF71" s="223"/>
      <c r="DG71" s="223"/>
      <c r="DH71" s="223"/>
      <c r="DI71" s="223"/>
      <c r="DJ71" s="223"/>
      <c r="DK71" s="223"/>
      <c r="DL71" s="223"/>
      <c r="DM71" s="223"/>
      <c r="DN71" s="223"/>
      <c r="DO71" s="223"/>
      <c r="DP71" s="223"/>
      <c r="DQ71" s="223"/>
      <c r="DR71" s="223"/>
      <c r="DS71" s="223"/>
      <c r="DT71" s="223"/>
      <c r="DU71" s="223"/>
      <c r="DV71" s="223"/>
      <c r="DW71" s="223"/>
      <c r="DX71" s="223"/>
      <c r="DY71" s="223"/>
      <c r="DZ71" s="48" t="s">
        <v>582</v>
      </c>
    </row>
    <row r="72" spans="2:130" x14ac:dyDescent="0.2">
      <c r="B72" s="3" t="s">
        <v>116</v>
      </c>
      <c r="C72" s="3" t="s">
        <v>116</v>
      </c>
      <c r="D72" s="3" t="str">
        <f t="shared" si="56"/>
        <v>A'</v>
      </c>
      <c r="E72" s="3" t="str">
        <f t="shared" si="57"/>
        <v>A'</v>
      </c>
      <c r="F72" s="3">
        <v>39</v>
      </c>
      <c r="G72" s="54" t="s">
        <v>116</v>
      </c>
      <c r="H72" s="54" t="s">
        <v>116</v>
      </c>
      <c r="I72" s="54">
        <v>1</v>
      </c>
      <c r="J72" s="54">
        <v>1</v>
      </c>
      <c r="K72" s="3">
        <f t="shared" si="20"/>
        <v>-1</v>
      </c>
      <c r="L72" s="3">
        <f t="shared" si="21"/>
        <v>-1</v>
      </c>
      <c r="M72" s="3">
        <f t="shared" si="22"/>
        <v>-2</v>
      </c>
      <c r="N72" s="3">
        <f>SUM($M$33:M72)</f>
        <v>1.9999999999999991</v>
      </c>
      <c r="O72" s="3">
        <f t="shared" si="23"/>
        <v>-2.0000000000000009</v>
      </c>
      <c r="P72" s="3">
        <f t="shared" si="24"/>
        <v>1.7320508075688783</v>
      </c>
      <c r="Q72" s="3">
        <f t="shared" si="25"/>
        <v>0.99999999999999833</v>
      </c>
      <c r="R72" s="3">
        <f t="shared" si="26"/>
        <v>-2.7997120975197149</v>
      </c>
      <c r="S72" s="3">
        <f t="shared" si="27"/>
        <v>-1</v>
      </c>
      <c r="T72" s="3">
        <f t="shared" si="28"/>
        <v>-1</v>
      </c>
      <c r="U72" s="3">
        <f t="shared" si="29"/>
        <v>0</v>
      </c>
      <c r="V72" s="3">
        <f t="shared" si="30"/>
        <v>0</v>
      </c>
      <c r="W72" s="3">
        <f t="shared" si="31"/>
        <v>0</v>
      </c>
      <c r="X72" s="3">
        <f t="shared" si="32"/>
        <v>0</v>
      </c>
      <c r="Y72" s="3">
        <f t="shared" si="33"/>
        <v>-2</v>
      </c>
      <c r="Z72" s="3">
        <f t="shared" si="34"/>
        <v>0</v>
      </c>
      <c r="AA72" s="3">
        <f t="shared" si="35"/>
        <v>0</v>
      </c>
      <c r="AB72" s="65">
        <f t="shared" si="36"/>
        <v>1.7320508075688783</v>
      </c>
      <c r="AC72" s="3">
        <f t="shared" si="37"/>
        <v>0.99999999999999833</v>
      </c>
      <c r="AD72" s="65">
        <f t="shared" si="38"/>
        <v>0</v>
      </c>
      <c r="AE72" s="3">
        <f t="shared" si="39"/>
        <v>0</v>
      </c>
      <c r="AF72" s="65">
        <f t="shared" si="40"/>
        <v>0</v>
      </c>
      <c r="AG72" s="3">
        <f t="shared" si="41"/>
        <v>0</v>
      </c>
      <c r="AH72" s="3">
        <f t="shared" si="42"/>
        <v>2</v>
      </c>
      <c r="AI72" s="3">
        <f t="shared" si="43"/>
        <v>0</v>
      </c>
      <c r="AJ72" s="3">
        <f t="shared" si="44"/>
        <v>0</v>
      </c>
      <c r="AK72" s="3">
        <f t="shared" si="45"/>
        <v>4.0000000000000036</v>
      </c>
      <c r="AL72" s="4">
        <f t="shared" si="46"/>
        <v>1</v>
      </c>
      <c r="AM72" s="4">
        <f t="shared" si="47"/>
        <v>1.7320508075688783</v>
      </c>
      <c r="AN72" s="4">
        <f t="shared" si="48"/>
        <v>0.99999999999999833</v>
      </c>
      <c r="AO72" s="4">
        <f t="shared" si="49"/>
        <v>0</v>
      </c>
      <c r="AP72" s="3">
        <f t="shared" si="50"/>
        <v>0</v>
      </c>
      <c r="AQ72" s="3">
        <f t="shared" si="51"/>
        <v>0</v>
      </c>
      <c r="AR72" s="3">
        <f t="shared" si="52"/>
        <v>0</v>
      </c>
      <c r="AS72" s="3">
        <f t="shared" si="53"/>
        <v>1.7320508075688783</v>
      </c>
      <c r="AT72" s="65">
        <f t="shared" si="54"/>
        <v>0.99999999999999833</v>
      </c>
      <c r="AV72" s="3">
        <f t="shared" si="60"/>
        <v>0</v>
      </c>
      <c r="AW72" s="3">
        <f t="shared" si="58"/>
        <v>1</v>
      </c>
      <c r="AX72" s="3">
        <f t="shared" si="59"/>
        <v>1</v>
      </c>
      <c r="AY72" s="65"/>
      <c r="BA72" s="221">
        <v>67</v>
      </c>
      <c r="BB72" s="222"/>
      <c r="BC72" s="223"/>
      <c r="BD72" s="223"/>
      <c r="BE72" s="224"/>
      <c r="BF72" s="223"/>
      <c r="BG72" s="223"/>
      <c r="BH72" s="223"/>
      <c r="BI72" s="223"/>
      <c r="BJ72" s="223"/>
      <c r="BK72" s="223"/>
      <c r="BL72" s="223"/>
      <c r="BM72" s="223"/>
      <c r="BN72" s="223"/>
      <c r="BO72" s="223"/>
      <c r="BP72" s="223"/>
      <c r="BQ72" s="223"/>
      <c r="BR72" s="223"/>
      <c r="BS72" s="223"/>
      <c r="BT72" s="223"/>
      <c r="BU72" s="223"/>
      <c r="BV72" s="223"/>
      <c r="BW72" s="223"/>
      <c r="BX72" s="223"/>
      <c r="BY72" s="223"/>
      <c r="BZ72" s="223"/>
      <c r="CA72" s="223"/>
      <c r="CB72" s="223"/>
      <c r="CC72" s="223"/>
      <c r="CD72" s="223"/>
      <c r="CE72" s="223"/>
      <c r="CF72" s="223"/>
      <c r="CG72" s="223"/>
      <c r="CH72" s="223"/>
      <c r="CI72" s="223"/>
      <c r="CJ72" s="223"/>
      <c r="CK72" s="223"/>
      <c r="CL72" s="223"/>
      <c r="CM72" s="223"/>
      <c r="CN72" s="223"/>
      <c r="CO72" s="223"/>
      <c r="CP72" s="223"/>
      <c r="CQ72" s="223"/>
      <c r="CR72" s="223"/>
      <c r="CS72" s="223"/>
      <c r="CT72" s="223"/>
      <c r="CU72" s="223"/>
      <c r="CV72" s="223"/>
      <c r="CW72" s="223"/>
      <c r="CX72" s="223"/>
      <c r="CY72" s="223"/>
      <c r="CZ72" s="223"/>
      <c r="DA72" s="223"/>
      <c r="DB72" s="223"/>
      <c r="DC72" s="223"/>
      <c r="DD72" s="223"/>
      <c r="DE72" s="223"/>
      <c r="DF72" s="223"/>
      <c r="DG72" s="223"/>
      <c r="DH72" s="223"/>
      <c r="DI72" s="223"/>
      <c r="DJ72" s="223"/>
      <c r="DK72" s="223"/>
      <c r="DL72" s="223"/>
      <c r="DM72" s="223"/>
      <c r="DN72" s="223"/>
      <c r="DO72" s="223"/>
      <c r="DP72" s="223"/>
      <c r="DQ72" s="223"/>
      <c r="DR72" s="223"/>
      <c r="DS72" s="223"/>
      <c r="DT72" s="223"/>
      <c r="DU72" s="223"/>
      <c r="DV72" s="223"/>
      <c r="DW72" s="223"/>
      <c r="DX72" s="223"/>
      <c r="DY72" s="223"/>
      <c r="DZ72" s="48" t="s">
        <v>582</v>
      </c>
    </row>
    <row r="73" spans="2:130" x14ac:dyDescent="0.2">
      <c r="B73" s="3" t="s">
        <v>116</v>
      </c>
      <c r="C73" s="3" t="s">
        <v>116</v>
      </c>
      <c r="D73" s="3" t="str">
        <f t="shared" si="56"/>
        <v>A'</v>
      </c>
      <c r="E73" s="3" t="str">
        <f t="shared" si="57"/>
        <v>A'</v>
      </c>
      <c r="F73" s="3">
        <v>40</v>
      </c>
      <c r="G73" s="54" t="s">
        <v>116</v>
      </c>
      <c r="H73" s="54" t="s">
        <v>116</v>
      </c>
      <c r="I73" s="54">
        <v>1</v>
      </c>
      <c r="J73" s="54">
        <v>1</v>
      </c>
      <c r="K73" s="3">
        <f t="shared" si="20"/>
        <v>-1</v>
      </c>
      <c r="L73" s="3">
        <f t="shared" si="21"/>
        <v>-1</v>
      </c>
      <c r="M73" s="3">
        <f t="shared" si="22"/>
        <v>-2</v>
      </c>
      <c r="N73" s="3">
        <f>SUM($M$33:M73)</f>
        <v>0</v>
      </c>
      <c r="O73" s="3">
        <f t="shared" si="23"/>
        <v>-4</v>
      </c>
      <c r="P73" s="3">
        <f t="shared" si="24"/>
        <v>1.4142135623730969</v>
      </c>
      <c r="Q73" s="3">
        <f t="shared" si="25"/>
        <v>1.4142135623730931</v>
      </c>
      <c r="R73" s="3">
        <f t="shared" si="26"/>
        <v>-4.4536987837850885</v>
      </c>
      <c r="S73" s="3">
        <f t="shared" si="27"/>
        <v>-1</v>
      </c>
      <c r="T73" s="3">
        <f t="shared" si="28"/>
        <v>-1</v>
      </c>
      <c r="U73" s="3">
        <f t="shared" si="29"/>
        <v>0</v>
      </c>
      <c r="V73" s="3">
        <f t="shared" si="30"/>
        <v>0</v>
      </c>
      <c r="W73" s="3">
        <f t="shared" si="31"/>
        <v>0</v>
      </c>
      <c r="X73" s="3">
        <f t="shared" si="32"/>
        <v>0</v>
      </c>
      <c r="Y73" s="3">
        <f t="shared" si="33"/>
        <v>-2</v>
      </c>
      <c r="Z73" s="3">
        <f t="shared" si="34"/>
        <v>0</v>
      </c>
      <c r="AA73" s="3">
        <f t="shared" si="35"/>
        <v>0</v>
      </c>
      <c r="AB73" s="65">
        <f t="shared" si="36"/>
        <v>1.4142135623730969</v>
      </c>
      <c r="AC73" s="3">
        <f t="shared" si="37"/>
        <v>1.4142135623730931</v>
      </c>
      <c r="AD73" s="65">
        <f t="shared" si="38"/>
        <v>0</v>
      </c>
      <c r="AE73" s="3">
        <f t="shared" si="39"/>
        <v>0</v>
      </c>
      <c r="AF73" s="65">
        <f t="shared" si="40"/>
        <v>0</v>
      </c>
      <c r="AG73" s="3">
        <f t="shared" si="41"/>
        <v>0</v>
      </c>
      <c r="AH73" s="3">
        <f t="shared" si="42"/>
        <v>2</v>
      </c>
      <c r="AI73" s="3">
        <f t="shared" si="43"/>
        <v>0</v>
      </c>
      <c r="AJ73" s="3">
        <f t="shared" si="44"/>
        <v>0</v>
      </c>
      <c r="AK73" s="3">
        <f t="shared" si="45"/>
        <v>16</v>
      </c>
      <c r="AL73" s="4">
        <f t="shared" si="46"/>
        <v>1</v>
      </c>
      <c r="AM73" s="4">
        <f t="shared" si="47"/>
        <v>1.4142135623730969</v>
      </c>
      <c r="AN73" s="4">
        <f t="shared" si="48"/>
        <v>1.4142135623730931</v>
      </c>
      <c r="AO73" s="4">
        <f t="shared" si="49"/>
        <v>0</v>
      </c>
      <c r="AP73" s="3">
        <f t="shared" si="50"/>
        <v>0</v>
      </c>
      <c r="AQ73" s="3">
        <f t="shared" si="51"/>
        <v>0</v>
      </c>
      <c r="AR73" s="3">
        <f t="shared" si="52"/>
        <v>0</v>
      </c>
      <c r="AS73" s="3">
        <f t="shared" si="53"/>
        <v>1.4142135623730969</v>
      </c>
      <c r="AT73" s="65">
        <f t="shared" si="54"/>
        <v>1.4142135623730931</v>
      </c>
      <c r="AV73" s="3">
        <f t="shared" si="60"/>
        <v>0</v>
      </c>
      <c r="AW73" s="3">
        <f t="shared" si="58"/>
        <v>1</v>
      </c>
      <c r="AX73" s="3">
        <f t="shared" si="59"/>
        <v>1</v>
      </c>
      <c r="AY73" s="65"/>
      <c r="BA73" s="226">
        <v>68</v>
      </c>
      <c r="BB73" s="227"/>
      <c r="BC73" s="228"/>
      <c r="BD73" s="228"/>
      <c r="BE73" s="229"/>
      <c r="BF73" s="223"/>
      <c r="BG73" s="223"/>
      <c r="BH73" s="223"/>
      <c r="BI73" s="223"/>
      <c r="BJ73" s="223"/>
      <c r="BK73" s="223"/>
      <c r="BL73" s="223"/>
      <c r="BM73" s="223"/>
      <c r="BN73" s="223"/>
      <c r="BO73" s="223"/>
      <c r="BP73" s="223"/>
      <c r="BQ73" s="223"/>
      <c r="BR73" s="223"/>
      <c r="BS73" s="223"/>
      <c r="BT73" s="223"/>
      <c r="BU73" s="223"/>
      <c r="BV73" s="223"/>
      <c r="BW73" s="223"/>
      <c r="BX73" s="223"/>
      <c r="BY73" s="223"/>
      <c r="BZ73" s="223"/>
      <c r="CA73" s="223"/>
      <c r="CB73" s="223"/>
      <c r="CC73" s="223"/>
      <c r="CD73" s="223"/>
      <c r="CE73" s="223"/>
      <c r="CF73" s="223"/>
      <c r="CG73" s="223"/>
      <c r="CH73" s="223"/>
      <c r="CI73" s="223"/>
      <c r="CJ73" s="223"/>
      <c r="CK73" s="223"/>
      <c r="CL73" s="223"/>
      <c r="CM73" s="223"/>
      <c r="CN73" s="223"/>
      <c r="CO73" s="223"/>
      <c r="CP73" s="223"/>
      <c r="CQ73" s="223"/>
      <c r="CR73" s="223"/>
      <c r="CS73" s="223"/>
      <c r="CT73" s="223"/>
      <c r="CU73" s="223"/>
      <c r="CV73" s="223"/>
      <c r="CW73" s="223"/>
      <c r="CX73" s="223"/>
      <c r="CY73" s="223"/>
      <c r="CZ73" s="223"/>
      <c r="DA73" s="223"/>
      <c r="DB73" s="223"/>
      <c r="DC73" s="223"/>
      <c r="DD73" s="223"/>
      <c r="DE73" s="223"/>
      <c r="DF73" s="223"/>
      <c r="DG73" s="223"/>
      <c r="DH73" s="223"/>
      <c r="DI73" s="223"/>
      <c r="DJ73" s="223"/>
      <c r="DK73" s="223"/>
      <c r="DL73" s="223"/>
      <c r="DM73" s="223"/>
      <c r="DN73" s="223"/>
      <c r="DO73" s="223"/>
      <c r="DP73" s="223"/>
      <c r="DQ73" s="223"/>
      <c r="DR73" s="223"/>
      <c r="DS73" s="223"/>
      <c r="DT73" s="223"/>
      <c r="DU73" s="223"/>
      <c r="DV73" s="223"/>
      <c r="DW73" s="223"/>
      <c r="DX73" s="223"/>
      <c r="DY73" s="223"/>
      <c r="DZ73" s="51" t="s">
        <v>582</v>
      </c>
    </row>
    <row r="74" spans="2:130" x14ac:dyDescent="0.2">
      <c r="B74" s="3" t="s">
        <v>65</v>
      </c>
      <c r="C74" s="3" t="s">
        <v>65</v>
      </c>
      <c r="D74" s="3" t="str">
        <f t="shared" si="56"/>
        <v>C</v>
      </c>
      <c r="E74" s="3" t="str">
        <f t="shared" si="57"/>
        <v>C</v>
      </c>
      <c r="F74" s="3">
        <v>41</v>
      </c>
      <c r="G74" s="54" t="s">
        <v>65</v>
      </c>
      <c r="H74" s="54" t="s">
        <v>65</v>
      </c>
      <c r="I74" s="54">
        <v>1</v>
      </c>
      <c r="J74" s="54">
        <v>1</v>
      </c>
      <c r="K74" s="3">
        <f t="shared" si="20"/>
        <v>-0.49999999999999978</v>
      </c>
      <c r="L74" s="3">
        <f t="shared" si="21"/>
        <v>-0.49999999999999978</v>
      </c>
      <c r="M74" s="3">
        <f t="shared" si="22"/>
        <v>-0.99999999999999956</v>
      </c>
      <c r="N74" s="3">
        <f>SUM($M$33:M74)</f>
        <v>-1.0000000000000004</v>
      </c>
      <c r="O74" s="3">
        <f t="shared" si="23"/>
        <v>-5</v>
      </c>
      <c r="P74" s="3">
        <f t="shared" si="24"/>
        <v>0.50000000000000111</v>
      </c>
      <c r="Q74" s="3">
        <f t="shared" si="25"/>
        <v>0.86602540378443749</v>
      </c>
      <c r="R74" s="3">
        <f t="shared" si="26"/>
        <v>-5.8041732580207457</v>
      </c>
      <c r="S74" s="3">
        <f t="shared" si="27"/>
        <v>0</v>
      </c>
      <c r="T74" s="3">
        <f t="shared" si="28"/>
        <v>0</v>
      </c>
      <c r="U74" s="3">
        <f t="shared" si="29"/>
        <v>0</v>
      </c>
      <c r="V74" s="3">
        <f t="shared" si="30"/>
        <v>0</v>
      </c>
      <c r="W74" s="3">
        <f t="shared" si="31"/>
        <v>1</v>
      </c>
      <c r="X74" s="3">
        <f t="shared" si="32"/>
        <v>1</v>
      </c>
      <c r="Y74" s="3">
        <f t="shared" si="33"/>
        <v>0</v>
      </c>
      <c r="Z74" s="3">
        <f t="shared" si="34"/>
        <v>0</v>
      </c>
      <c r="AA74" s="3">
        <f t="shared" si="35"/>
        <v>2</v>
      </c>
      <c r="AB74" s="65">
        <f t="shared" si="36"/>
        <v>0</v>
      </c>
      <c r="AC74" s="3">
        <f t="shared" si="37"/>
        <v>0</v>
      </c>
      <c r="AD74" s="65">
        <f t="shared" si="38"/>
        <v>0</v>
      </c>
      <c r="AE74" s="3">
        <f t="shared" si="39"/>
        <v>0</v>
      </c>
      <c r="AF74" s="65">
        <f t="shared" si="40"/>
        <v>-1.0000000000000027</v>
      </c>
      <c r="AG74" s="3">
        <f t="shared" si="41"/>
        <v>-1.7320508075688756</v>
      </c>
      <c r="AH74" s="3">
        <f t="shared" si="42"/>
        <v>0</v>
      </c>
      <c r="AI74" s="3">
        <f t="shared" si="43"/>
        <v>0</v>
      </c>
      <c r="AJ74" s="3">
        <f t="shared" si="44"/>
        <v>2</v>
      </c>
      <c r="AK74" s="3">
        <f t="shared" si="45"/>
        <v>25</v>
      </c>
      <c r="AL74" s="4">
        <f t="shared" si="46"/>
        <v>1</v>
      </c>
      <c r="AM74" s="4">
        <f t="shared" si="47"/>
        <v>0</v>
      </c>
      <c r="AN74" s="4">
        <f t="shared" si="48"/>
        <v>0</v>
      </c>
      <c r="AO74" s="4">
        <f t="shared" si="49"/>
        <v>0</v>
      </c>
      <c r="AP74" s="3">
        <f t="shared" si="50"/>
        <v>0</v>
      </c>
      <c r="AQ74" s="3">
        <f t="shared" si="51"/>
        <v>-1.0000000000000027</v>
      </c>
      <c r="AR74" s="3">
        <f t="shared" si="52"/>
        <v>-1.7320508075688756</v>
      </c>
      <c r="AS74" s="3">
        <f t="shared" si="53"/>
        <v>0.50000000000000111</v>
      </c>
      <c r="AT74" s="65">
        <f t="shared" si="54"/>
        <v>0.86602540378443749</v>
      </c>
      <c r="AV74" s="3">
        <f t="shared" si="60"/>
        <v>1</v>
      </c>
      <c r="AW74" s="3">
        <f t="shared" si="58"/>
        <v>1</v>
      </c>
      <c r="AX74" s="3">
        <f t="shared" si="59"/>
        <v>1</v>
      </c>
      <c r="AY74" s="65"/>
      <c r="BA74" s="217">
        <v>69</v>
      </c>
      <c r="BB74" s="218" t="s">
        <v>420</v>
      </c>
      <c r="BC74" s="219">
        <v>36</v>
      </c>
      <c r="BD74" s="219">
        <v>4</v>
      </c>
      <c r="BE74" s="220">
        <v>6</v>
      </c>
      <c r="BF74" s="219" t="s">
        <v>41</v>
      </c>
      <c r="BG74" s="219" t="s">
        <v>41</v>
      </c>
      <c r="BH74" s="219" t="s">
        <v>41</v>
      </c>
      <c r="BI74" s="219" t="s">
        <v>120</v>
      </c>
      <c r="BJ74" s="219" t="s">
        <v>120</v>
      </c>
      <c r="BK74" s="219" t="s">
        <v>120</v>
      </c>
      <c r="BL74" s="219" t="s">
        <v>46</v>
      </c>
      <c r="BM74" s="219" t="s">
        <v>46</v>
      </c>
      <c r="BN74" s="219" t="s">
        <v>46</v>
      </c>
      <c r="BO74" s="219" t="s">
        <v>116</v>
      </c>
      <c r="BP74" s="219" t="s">
        <v>116</v>
      </c>
      <c r="BQ74" s="219" t="s">
        <v>116</v>
      </c>
      <c r="BR74" s="219" t="s">
        <v>65</v>
      </c>
      <c r="BS74" s="219" t="s">
        <v>65</v>
      </c>
      <c r="BT74" s="219" t="s">
        <v>65</v>
      </c>
      <c r="BU74" s="219" t="s">
        <v>117</v>
      </c>
      <c r="BV74" s="219" t="s">
        <v>117</v>
      </c>
      <c r="BW74" s="219" t="s">
        <v>117</v>
      </c>
      <c r="BX74" s="219" t="s">
        <v>41</v>
      </c>
      <c r="BY74" s="219" t="s">
        <v>41</v>
      </c>
      <c r="BZ74" s="219" t="s">
        <v>41</v>
      </c>
      <c r="CA74" s="219" t="s">
        <v>120</v>
      </c>
      <c r="CB74" s="219" t="s">
        <v>120</v>
      </c>
      <c r="CC74" s="219" t="s">
        <v>120</v>
      </c>
      <c r="CD74" s="219" t="s">
        <v>46</v>
      </c>
      <c r="CE74" s="219" t="s">
        <v>46</v>
      </c>
      <c r="CF74" s="219" t="s">
        <v>117</v>
      </c>
      <c r="CG74" s="219" t="s">
        <v>116</v>
      </c>
      <c r="CH74" s="219" t="s">
        <v>116</v>
      </c>
      <c r="CI74" s="219" t="s">
        <v>116</v>
      </c>
      <c r="CJ74" s="219" t="s">
        <v>65</v>
      </c>
      <c r="CK74" s="219" t="s">
        <v>65</v>
      </c>
      <c r="CL74" s="219" t="s">
        <v>65</v>
      </c>
      <c r="CM74" s="219" t="s">
        <v>117</v>
      </c>
      <c r="CN74" s="219" t="s">
        <v>117</v>
      </c>
      <c r="CO74" s="219" t="s">
        <v>117</v>
      </c>
      <c r="CP74" s="219"/>
      <c r="CQ74" s="219"/>
      <c r="CR74" s="219"/>
      <c r="CS74" s="219"/>
      <c r="CT74" s="219"/>
      <c r="CU74" s="219"/>
      <c r="CV74" s="219"/>
      <c r="CW74" s="219"/>
      <c r="CX74" s="219"/>
      <c r="CY74" s="219"/>
      <c r="CZ74" s="219"/>
      <c r="DA74" s="219"/>
      <c r="DB74" s="219"/>
      <c r="DC74" s="219"/>
      <c r="DD74" s="219"/>
      <c r="DE74" s="219"/>
      <c r="DF74" s="219"/>
      <c r="DG74" s="219"/>
      <c r="DH74" s="219"/>
      <c r="DI74" s="219"/>
      <c r="DJ74" s="219"/>
      <c r="DK74" s="219"/>
      <c r="DL74" s="219"/>
      <c r="DM74" s="219"/>
      <c r="DN74" s="219"/>
      <c r="DO74" s="219"/>
      <c r="DP74" s="219"/>
      <c r="DQ74" s="219"/>
      <c r="DR74" s="219"/>
      <c r="DS74" s="219"/>
      <c r="DT74" s="219"/>
      <c r="DU74" s="219"/>
      <c r="DV74" s="219"/>
      <c r="DW74" s="219"/>
      <c r="DX74" s="219"/>
      <c r="DY74" s="219"/>
      <c r="DZ74" s="45" t="s">
        <v>582</v>
      </c>
    </row>
    <row r="75" spans="2:130" x14ac:dyDescent="0.2">
      <c r="B75" s="3" t="s">
        <v>65</v>
      </c>
      <c r="C75" s="3" t="s">
        <v>65</v>
      </c>
      <c r="D75" s="3" t="str">
        <f t="shared" si="56"/>
        <v>C</v>
      </c>
      <c r="E75" s="3" t="str">
        <f t="shared" si="57"/>
        <v>C</v>
      </c>
      <c r="F75" s="3">
        <v>42</v>
      </c>
      <c r="G75" s="54" t="s">
        <v>65</v>
      </c>
      <c r="H75" s="54" t="s">
        <v>65</v>
      </c>
      <c r="I75" s="54">
        <v>1</v>
      </c>
      <c r="J75" s="54">
        <v>1</v>
      </c>
      <c r="K75" s="3">
        <f t="shared" si="20"/>
        <v>-0.49999999999999978</v>
      </c>
      <c r="L75" s="3">
        <f t="shared" si="21"/>
        <v>-0.49999999999999978</v>
      </c>
      <c r="M75" s="3">
        <f t="shared" si="22"/>
        <v>-0.99999999999999956</v>
      </c>
      <c r="N75" s="3">
        <f>SUM($M$33:M75)</f>
        <v>-2</v>
      </c>
      <c r="O75" s="3">
        <f t="shared" si="23"/>
        <v>-6</v>
      </c>
      <c r="P75" s="3">
        <f t="shared" si="24"/>
        <v>0.25881904510252246</v>
      </c>
      <c r="Q75" s="3">
        <f t="shared" si="25"/>
        <v>0.96592582628906731</v>
      </c>
      <c r="R75" s="3">
        <f t="shared" si="26"/>
        <v>-6.7591029165721173</v>
      </c>
      <c r="S75" s="3">
        <f t="shared" si="27"/>
        <v>0</v>
      </c>
      <c r="T75" s="3">
        <f t="shared" si="28"/>
        <v>0</v>
      </c>
      <c r="U75" s="3">
        <f t="shared" si="29"/>
        <v>0</v>
      </c>
      <c r="V75" s="3">
        <f t="shared" si="30"/>
        <v>0</v>
      </c>
      <c r="W75" s="3">
        <f t="shared" si="31"/>
        <v>1</v>
      </c>
      <c r="X75" s="3">
        <f t="shared" si="32"/>
        <v>1</v>
      </c>
      <c r="Y75" s="3">
        <f t="shared" si="33"/>
        <v>0</v>
      </c>
      <c r="Z75" s="3">
        <f t="shared" si="34"/>
        <v>0</v>
      </c>
      <c r="AA75" s="3">
        <f t="shared" si="35"/>
        <v>2</v>
      </c>
      <c r="AB75" s="65">
        <f t="shared" si="36"/>
        <v>0</v>
      </c>
      <c r="AC75" s="3">
        <f t="shared" si="37"/>
        <v>0</v>
      </c>
      <c r="AD75" s="65">
        <f t="shared" si="38"/>
        <v>0</v>
      </c>
      <c r="AE75" s="3">
        <f t="shared" si="39"/>
        <v>0</v>
      </c>
      <c r="AF75" s="65">
        <f t="shared" si="40"/>
        <v>-0.51763809020504514</v>
      </c>
      <c r="AG75" s="3">
        <f t="shared" si="41"/>
        <v>-1.9318516525781355</v>
      </c>
      <c r="AH75" s="3">
        <f t="shared" si="42"/>
        <v>0</v>
      </c>
      <c r="AI75" s="3">
        <f t="shared" si="43"/>
        <v>0</v>
      </c>
      <c r="AJ75" s="3">
        <f t="shared" si="44"/>
        <v>2</v>
      </c>
      <c r="AK75" s="3">
        <f t="shared" si="45"/>
        <v>36</v>
      </c>
      <c r="AL75" s="4">
        <f t="shared" si="46"/>
        <v>1</v>
      </c>
      <c r="AM75" s="4">
        <f t="shared" si="47"/>
        <v>0</v>
      </c>
      <c r="AN75" s="4">
        <f t="shared" si="48"/>
        <v>0</v>
      </c>
      <c r="AO75" s="4">
        <f t="shared" si="49"/>
        <v>0</v>
      </c>
      <c r="AP75" s="3">
        <f t="shared" si="50"/>
        <v>0</v>
      </c>
      <c r="AQ75" s="3">
        <f t="shared" si="51"/>
        <v>-0.51763809020504514</v>
      </c>
      <c r="AR75" s="3">
        <f t="shared" si="52"/>
        <v>-1.9318516525781355</v>
      </c>
      <c r="AS75" s="3">
        <f t="shared" si="53"/>
        <v>0.25881904510252246</v>
      </c>
      <c r="AT75" s="65">
        <f t="shared" si="54"/>
        <v>0.96592582628906731</v>
      </c>
      <c r="AV75" s="3">
        <f t="shared" si="60"/>
        <v>0</v>
      </c>
      <c r="AW75" s="3">
        <f t="shared" si="58"/>
        <v>1</v>
      </c>
      <c r="AX75" s="3">
        <f t="shared" si="59"/>
        <v>1</v>
      </c>
      <c r="AY75" s="65"/>
      <c r="BA75" s="221">
        <v>70</v>
      </c>
      <c r="BB75" s="222" t="s">
        <v>419</v>
      </c>
      <c r="BC75" s="223"/>
      <c r="BD75" s="223"/>
      <c r="BE75" s="224"/>
      <c r="BF75" s="223" t="s">
        <v>120</v>
      </c>
      <c r="BG75" s="223" t="s">
        <v>120</v>
      </c>
      <c r="BH75" s="223" t="s">
        <v>120</v>
      </c>
      <c r="BI75" s="223" t="s">
        <v>46</v>
      </c>
      <c r="BJ75" s="223" t="s">
        <v>46</v>
      </c>
      <c r="BK75" s="223" t="s">
        <v>46</v>
      </c>
      <c r="BL75" s="223" t="s">
        <v>116</v>
      </c>
      <c r="BM75" s="223" t="s">
        <v>116</v>
      </c>
      <c r="BN75" s="223" t="s">
        <v>116</v>
      </c>
      <c r="BO75" s="223" t="s">
        <v>65</v>
      </c>
      <c r="BP75" s="223" t="s">
        <v>65</v>
      </c>
      <c r="BQ75" s="223" t="s">
        <v>65</v>
      </c>
      <c r="BR75" s="223" t="s">
        <v>117</v>
      </c>
      <c r="BS75" s="223" t="s">
        <v>117</v>
      </c>
      <c r="BT75" s="223" t="s">
        <v>117</v>
      </c>
      <c r="BU75" s="223" t="s">
        <v>41</v>
      </c>
      <c r="BV75" s="223" t="s">
        <v>41</v>
      </c>
      <c r="BW75" s="223" t="s">
        <v>41</v>
      </c>
      <c r="BX75" s="223" t="s">
        <v>120</v>
      </c>
      <c r="BY75" s="223" t="s">
        <v>120</v>
      </c>
      <c r="BZ75" s="223" t="s">
        <v>120</v>
      </c>
      <c r="CA75" s="223" t="s">
        <v>46</v>
      </c>
      <c r="CB75" s="223" t="s">
        <v>46</v>
      </c>
      <c r="CC75" s="223" t="s">
        <v>46</v>
      </c>
      <c r="CD75" s="223" t="s">
        <v>116</v>
      </c>
      <c r="CE75" s="223" t="s">
        <v>116</v>
      </c>
      <c r="CF75" s="223" t="s">
        <v>116</v>
      </c>
      <c r="CG75" s="223" t="s">
        <v>65</v>
      </c>
      <c r="CH75" s="223" t="s">
        <v>65</v>
      </c>
      <c r="CI75" s="223" t="s">
        <v>65</v>
      </c>
      <c r="CJ75" s="223" t="s">
        <v>117</v>
      </c>
      <c r="CK75" s="223" t="s">
        <v>117</v>
      </c>
      <c r="CL75" s="223" t="s">
        <v>117</v>
      </c>
      <c r="CM75" s="223" t="s">
        <v>41</v>
      </c>
      <c r="CN75" s="223" t="s">
        <v>41</v>
      </c>
      <c r="CO75" s="223" t="s">
        <v>41</v>
      </c>
      <c r="CR75" s="223"/>
      <c r="CS75" s="223"/>
      <c r="CT75" s="223"/>
      <c r="CU75" s="223"/>
      <c r="CV75" s="223"/>
      <c r="CW75" s="223"/>
      <c r="CX75" s="223"/>
      <c r="CY75" s="223"/>
      <c r="CZ75" s="223"/>
      <c r="DA75" s="223"/>
      <c r="DB75" s="223"/>
      <c r="DC75" s="223"/>
      <c r="DD75" s="223"/>
      <c r="DE75" s="223"/>
      <c r="DF75" s="223"/>
      <c r="DG75" s="223"/>
      <c r="DH75" s="223"/>
      <c r="DI75" s="223"/>
      <c r="DJ75" s="223"/>
      <c r="DK75" s="223"/>
      <c r="DL75" s="223"/>
      <c r="DM75" s="223"/>
      <c r="DN75" s="223"/>
      <c r="DO75" s="223"/>
      <c r="DP75" s="223"/>
      <c r="DQ75" s="223"/>
      <c r="DR75" s="223"/>
      <c r="DS75" s="223"/>
      <c r="DT75" s="223"/>
      <c r="DU75" s="223"/>
      <c r="DV75" s="223"/>
      <c r="DW75" s="223"/>
      <c r="DX75" s="223"/>
      <c r="DY75" s="223"/>
      <c r="DZ75" s="48" t="s">
        <v>582</v>
      </c>
    </row>
    <row r="76" spans="2:130" x14ac:dyDescent="0.2">
      <c r="B76" s="3" t="s">
        <v>65</v>
      </c>
      <c r="C76" s="3" t="s">
        <v>65</v>
      </c>
      <c r="D76" s="3" t="str">
        <f t="shared" si="56"/>
        <v>C</v>
      </c>
      <c r="E76" s="3" t="str">
        <f t="shared" si="57"/>
        <v>C</v>
      </c>
      <c r="F76" s="3">
        <v>43</v>
      </c>
      <c r="G76" s="54" t="s">
        <v>65</v>
      </c>
      <c r="H76" s="54" t="s">
        <v>65</v>
      </c>
      <c r="I76" s="54">
        <v>1</v>
      </c>
      <c r="J76" s="54">
        <v>1</v>
      </c>
      <c r="K76" s="3">
        <f t="shared" si="20"/>
        <v>-0.49999999999999978</v>
      </c>
      <c r="L76" s="3">
        <f t="shared" si="21"/>
        <v>-0.49999999999999978</v>
      </c>
      <c r="M76" s="3">
        <f t="shared" si="22"/>
        <v>-0.99999999999999956</v>
      </c>
      <c r="N76" s="3">
        <f>SUM($M$33:M76)</f>
        <v>-2.9999999999999996</v>
      </c>
      <c r="O76" s="3">
        <f t="shared" si="23"/>
        <v>-7</v>
      </c>
      <c r="P76" s="3">
        <f t="shared" si="24"/>
        <v>4.2880195921801681E-16</v>
      </c>
      <c r="Q76" s="3">
        <f t="shared" si="25"/>
        <v>0.99999999999999956</v>
      </c>
      <c r="R76" s="3">
        <f t="shared" si="26"/>
        <v>-7.253410881304803</v>
      </c>
      <c r="S76" s="3">
        <f t="shared" si="27"/>
        <v>0</v>
      </c>
      <c r="T76" s="3">
        <f t="shared" si="28"/>
        <v>0</v>
      </c>
      <c r="U76" s="3">
        <f t="shared" si="29"/>
        <v>0</v>
      </c>
      <c r="V76" s="3">
        <f t="shared" si="30"/>
        <v>0</v>
      </c>
      <c r="W76" s="3">
        <f t="shared" si="31"/>
        <v>1</v>
      </c>
      <c r="X76" s="3">
        <f t="shared" si="32"/>
        <v>1</v>
      </c>
      <c r="Y76" s="3">
        <f t="shared" si="33"/>
        <v>0</v>
      </c>
      <c r="Z76" s="3">
        <f t="shared" si="34"/>
        <v>0</v>
      </c>
      <c r="AA76" s="3">
        <f t="shared" si="35"/>
        <v>2</v>
      </c>
      <c r="AB76" s="65">
        <f t="shared" si="36"/>
        <v>0</v>
      </c>
      <c r="AC76" s="3">
        <f t="shared" si="37"/>
        <v>0</v>
      </c>
      <c r="AD76" s="65">
        <f t="shared" si="38"/>
        <v>0</v>
      </c>
      <c r="AE76" s="3">
        <f t="shared" si="39"/>
        <v>0</v>
      </c>
      <c r="AF76" s="65">
        <f t="shared" si="40"/>
        <v>-8.5760391843603401E-16</v>
      </c>
      <c r="AG76" s="3">
        <f t="shared" si="41"/>
        <v>-2</v>
      </c>
      <c r="AH76" s="3">
        <f t="shared" si="42"/>
        <v>0</v>
      </c>
      <c r="AI76" s="3">
        <f t="shared" si="43"/>
        <v>0</v>
      </c>
      <c r="AJ76" s="3">
        <f t="shared" si="44"/>
        <v>2</v>
      </c>
      <c r="AK76" s="3">
        <f t="shared" si="45"/>
        <v>49</v>
      </c>
      <c r="AL76" s="4">
        <f t="shared" si="46"/>
        <v>1</v>
      </c>
      <c r="AM76" s="4">
        <f t="shared" si="47"/>
        <v>0</v>
      </c>
      <c r="AN76" s="4">
        <f t="shared" si="48"/>
        <v>0</v>
      </c>
      <c r="AO76" s="4">
        <f t="shared" si="49"/>
        <v>0</v>
      </c>
      <c r="AP76" s="3">
        <f t="shared" si="50"/>
        <v>0</v>
      </c>
      <c r="AQ76" s="3">
        <f t="shared" si="51"/>
        <v>-8.5760391843603401E-16</v>
      </c>
      <c r="AR76" s="3">
        <f t="shared" si="52"/>
        <v>-2</v>
      </c>
      <c r="AS76" s="3">
        <f t="shared" si="53"/>
        <v>4.2880195921801681E-16</v>
      </c>
      <c r="AT76" s="65">
        <f t="shared" si="54"/>
        <v>0.99999999999999956</v>
      </c>
      <c r="AV76" s="3">
        <f t="shared" si="60"/>
        <v>0</v>
      </c>
      <c r="AW76" s="3">
        <f t="shared" si="58"/>
        <v>1</v>
      </c>
      <c r="AX76" s="3">
        <f t="shared" si="59"/>
        <v>1</v>
      </c>
      <c r="AY76" s="65"/>
      <c r="BA76" s="221">
        <v>71</v>
      </c>
      <c r="BB76" s="222"/>
      <c r="BC76" s="223"/>
      <c r="BD76" s="223"/>
      <c r="BE76" s="224"/>
      <c r="BF76" s="223"/>
      <c r="BG76" s="223"/>
      <c r="BH76" s="223"/>
      <c r="BI76" s="223"/>
      <c r="BJ76" s="223"/>
      <c r="BK76" s="223"/>
      <c r="BL76" s="223"/>
      <c r="BM76" s="223"/>
      <c r="BN76" s="223"/>
      <c r="BO76" s="223"/>
      <c r="BP76" s="223"/>
      <c r="BQ76" s="223"/>
      <c r="BR76" s="223"/>
      <c r="BS76" s="223"/>
      <c r="BT76" s="223"/>
      <c r="BU76" s="223"/>
      <c r="BV76" s="223"/>
      <c r="BW76" s="223"/>
      <c r="BX76" s="223"/>
      <c r="BY76" s="223"/>
      <c r="BZ76" s="223"/>
      <c r="CA76" s="223"/>
      <c r="CB76" s="223"/>
      <c r="CC76" s="223"/>
      <c r="CD76" s="223"/>
      <c r="CE76" s="223"/>
      <c r="CF76" s="223"/>
      <c r="CG76" s="223"/>
      <c r="CH76" s="223"/>
      <c r="CI76" s="223"/>
      <c r="CJ76" s="223"/>
      <c r="CK76" s="223"/>
      <c r="CL76" s="223"/>
      <c r="CM76" s="223"/>
      <c r="CN76" s="223"/>
      <c r="CO76" s="223"/>
      <c r="CP76" s="223"/>
      <c r="CQ76" s="223"/>
      <c r="CR76" s="223"/>
      <c r="CS76" s="223"/>
      <c r="CT76" s="223"/>
      <c r="CU76" s="223"/>
      <c r="CV76" s="223"/>
      <c r="CW76" s="223"/>
      <c r="CX76" s="223"/>
      <c r="CY76" s="223"/>
      <c r="CZ76" s="223"/>
      <c r="DA76" s="223"/>
      <c r="DB76" s="223"/>
      <c r="DC76" s="223"/>
      <c r="DD76" s="223"/>
      <c r="DE76" s="223"/>
      <c r="DF76" s="223"/>
      <c r="DG76" s="223"/>
      <c r="DH76" s="223"/>
      <c r="DI76" s="223"/>
      <c r="DJ76" s="223"/>
      <c r="DK76" s="223"/>
      <c r="DL76" s="223"/>
      <c r="DM76" s="223"/>
      <c r="DN76" s="223"/>
      <c r="DO76" s="223"/>
      <c r="DP76" s="223"/>
      <c r="DQ76" s="223"/>
      <c r="DR76" s="223"/>
      <c r="DS76" s="223"/>
      <c r="DT76" s="223"/>
      <c r="DU76" s="223"/>
      <c r="DV76" s="223"/>
      <c r="DW76" s="223"/>
      <c r="DX76" s="223"/>
      <c r="DY76" s="223"/>
      <c r="DZ76" s="48" t="s">
        <v>582</v>
      </c>
    </row>
    <row r="77" spans="2:130" x14ac:dyDescent="0.2">
      <c r="B77" s="3" t="s">
        <v>65</v>
      </c>
      <c r="C77" s="3" t="s">
        <v>65</v>
      </c>
      <c r="D77" s="3" t="str">
        <f t="shared" si="56"/>
        <v>C</v>
      </c>
      <c r="E77" s="3" t="str">
        <f t="shared" si="57"/>
        <v>C</v>
      </c>
      <c r="F77" s="3">
        <v>44</v>
      </c>
      <c r="G77" s="54" t="s">
        <v>65</v>
      </c>
      <c r="H77" s="54" t="s">
        <v>65</v>
      </c>
      <c r="I77" s="54">
        <v>1</v>
      </c>
      <c r="J77" s="54">
        <v>1</v>
      </c>
      <c r="K77" s="3">
        <f t="shared" si="20"/>
        <v>-0.49999999999999978</v>
      </c>
      <c r="L77" s="3">
        <f t="shared" si="21"/>
        <v>-0.49999999999999978</v>
      </c>
      <c r="M77" s="3">
        <f t="shared" si="22"/>
        <v>-0.99999999999999956</v>
      </c>
      <c r="N77" s="3">
        <f>SUM($M$33:M77)</f>
        <v>-3.9999999999999991</v>
      </c>
      <c r="O77" s="3">
        <f t="shared" si="23"/>
        <v>-7.9999999999999991</v>
      </c>
      <c r="P77" s="3">
        <f t="shared" si="24"/>
        <v>-0.25881904510251996</v>
      </c>
      <c r="Q77" s="3">
        <f t="shared" si="25"/>
        <v>0.96592582628906798</v>
      </c>
      <c r="R77" s="3">
        <f t="shared" si="26"/>
        <v>-7.2534108813048039</v>
      </c>
      <c r="S77" s="3">
        <f t="shared" si="27"/>
        <v>0</v>
      </c>
      <c r="T77" s="3">
        <f t="shared" si="28"/>
        <v>0</v>
      </c>
      <c r="U77" s="3">
        <f t="shared" si="29"/>
        <v>0</v>
      </c>
      <c r="V77" s="3">
        <f t="shared" si="30"/>
        <v>0</v>
      </c>
      <c r="W77" s="3">
        <f t="shared" si="31"/>
        <v>1</v>
      </c>
      <c r="X77" s="3">
        <f t="shared" si="32"/>
        <v>1</v>
      </c>
      <c r="Y77" s="3">
        <f t="shared" si="33"/>
        <v>0</v>
      </c>
      <c r="Z77" s="3">
        <f t="shared" si="34"/>
        <v>0</v>
      </c>
      <c r="AA77" s="3">
        <f t="shared" si="35"/>
        <v>2</v>
      </c>
      <c r="AB77" s="65">
        <f t="shared" si="36"/>
        <v>0</v>
      </c>
      <c r="AC77" s="3">
        <f t="shared" si="37"/>
        <v>0</v>
      </c>
      <c r="AD77" s="65">
        <f t="shared" si="38"/>
        <v>0</v>
      </c>
      <c r="AE77" s="3">
        <f t="shared" si="39"/>
        <v>0</v>
      </c>
      <c r="AF77" s="65">
        <f t="shared" si="40"/>
        <v>0.51763809020504015</v>
      </c>
      <c r="AG77" s="3">
        <f t="shared" si="41"/>
        <v>-1.9318516525781368</v>
      </c>
      <c r="AH77" s="3">
        <f t="shared" si="42"/>
        <v>0</v>
      </c>
      <c r="AI77" s="3">
        <f t="shared" si="43"/>
        <v>0</v>
      </c>
      <c r="AJ77" s="3">
        <f t="shared" si="44"/>
        <v>2</v>
      </c>
      <c r="AK77" s="3">
        <f t="shared" si="45"/>
        <v>63.999999999999986</v>
      </c>
      <c r="AL77" s="4">
        <f t="shared" si="46"/>
        <v>1</v>
      </c>
      <c r="AM77" s="4">
        <f t="shared" si="47"/>
        <v>0</v>
      </c>
      <c r="AN77" s="4">
        <f t="shared" si="48"/>
        <v>0</v>
      </c>
      <c r="AO77" s="4">
        <f t="shared" si="49"/>
        <v>0</v>
      </c>
      <c r="AP77" s="3">
        <f t="shared" si="50"/>
        <v>0</v>
      </c>
      <c r="AQ77" s="3">
        <f t="shared" si="51"/>
        <v>0.51763809020504015</v>
      </c>
      <c r="AR77" s="3">
        <f t="shared" si="52"/>
        <v>-1.9318516525781368</v>
      </c>
      <c r="AS77" s="3">
        <f t="shared" si="53"/>
        <v>-0.25881904510251996</v>
      </c>
      <c r="AT77" s="65">
        <f t="shared" si="54"/>
        <v>0.96592582628906798</v>
      </c>
      <c r="AV77" s="3">
        <f t="shared" si="60"/>
        <v>0</v>
      </c>
      <c r="AW77" s="3">
        <f t="shared" si="58"/>
        <v>1</v>
      </c>
      <c r="AX77" s="3">
        <f t="shared" si="59"/>
        <v>1</v>
      </c>
      <c r="AY77" s="65"/>
      <c r="BA77" s="226">
        <v>72</v>
      </c>
      <c r="BB77" s="227"/>
      <c r="BC77" s="228"/>
      <c r="BD77" s="228"/>
      <c r="BE77" s="229"/>
      <c r="BF77" s="223"/>
      <c r="BG77" s="223"/>
      <c r="BH77" s="223"/>
      <c r="BI77" s="223"/>
      <c r="BJ77" s="223"/>
      <c r="BK77" s="223"/>
      <c r="BL77" s="223"/>
      <c r="BM77" s="223"/>
      <c r="BN77" s="223"/>
      <c r="BO77" s="223"/>
      <c r="BP77" s="223"/>
      <c r="BQ77" s="223"/>
      <c r="BR77" s="223"/>
      <c r="BS77" s="223"/>
      <c r="BT77" s="223"/>
      <c r="BU77" s="223"/>
      <c r="BV77" s="223"/>
      <c r="BW77" s="223"/>
      <c r="BX77" s="223"/>
      <c r="BY77" s="223"/>
      <c r="BZ77" s="223"/>
      <c r="CA77" s="223"/>
      <c r="CB77" s="223"/>
      <c r="CC77" s="223"/>
      <c r="CD77" s="223"/>
      <c r="CE77" s="223"/>
      <c r="CF77" s="223"/>
      <c r="CG77" s="223"/>
      <c r="CH77" s="223"/>
      <c r="CI77" s="223"/>
      <c r="CJ77" s="223"/>
      <c r="CK77" s="223"/>
      <c r="CL77" s="223"/>
      <c r="CM77" s="223"/>
      <c r="CN77" s="223"/>
      <c r="CO77" s="223"/>
      <c r="CP77" s="223"/>
      <c r="CQ77" s="223"/>
      <c r="CR77" s="223"/>
      <c r="CS77" s="223"/>
      <c r="CT77" s="223"/>
      <c r="CU77" s="223"/>
      <c r="CV77" s="223"/>
      <c r="CW77" s="223"/>
      <c r="CX77" s="223"/>
      <c r="CY77" s="223"/>
      <c r="CZ77" s="223"/>
      <c r="DA77" s="223"/>
      <c r="DB77" s="223"/>
      <c r="DC77" s="223"/>
      <c r="DD77" s="223"/>
      <c r="DE77" s="223"/>
      <c r="DF77" s="223"/>
      <c r="DG77" s="223"/>
      <c r="DH77" s="223"/>
      <c r="DI77" s="223"/>
      <c r="DJ77" s="223"/>
      <c r="DK77" s="223"/>
      <c r="DL77" s="223"/>
      <c r="DM77" s="223"/>
      <c r="DN77" s="223"/>
      <c r="DO77" s="223"/>
      <c r="DP77" s="223"/>
      <c r="DQ77" s="223"/>
      <c r="DR77" s="223"/>
      <c r="DS77" s="223"/>
      <c r="DT77" s="223"/>
      <c r="DU77" s="223"/>
      <c r="DV77" s="223"/>
      <c r="DW77" s="223"/>
      <c r="DX77" s="223"/>
      <c r="DY77" s="223"/>
      <c r="DZ77" s="51" t="s">
        <v>582</v>
      </c>
    </row>
    <row r="78" spans="2:130" x14ac:dyDescent="0.2">
      <c r="B78" s="3" t="s">
        <v>117</v>
      </c>
      <c r="C78" s="3" t="s">
        <v>117</v>
      </c>
      <c r="D78" s="3" t="str">
        <f t="shared" si="56"/>
        <v>B'</v>
      </c>
      <c r="E78" s="3" t="str">
        <f t="shared" si="57"/>
        <v>B'</v>
      </c>
      <c r="F78" s="3">
        <v>45</v>
      </c>
      <c r="G78" s="54" t="s">
        <v>117</v>
      </c>
      <c r="H78" s="54" t="s">
        <v>117</v>
      </c>
      <c r="I78" s="54">
        <v>1</v>
      </c>
      <c r="J78" s="54">
        <v>1</v>
      </c>
      <c r="K78" s="3">
        <f t="shared" si="20"/>
        <v>0.49999999999999961</v>
      </c>
      <c r="L78" s="3">
        <f t="shared" si="21"/>
        <v>0.49999999999999961</v>
      </c>
      <c r="M78" s="3">
        <f t="shared" si="22"/>
        <v>0.99999999999999922</v>
      </c>
      <c r="N78" s="3">
        <f>SUM($M$33:M78)</f>
        <v>-3</v>
      </c>
      <c r="O78" s="3">
        <f t="shared" si="23"/>
        <v>-7</v>
      </c>
      <c r="P78" s="3">
        <f t="shared" si="24"/>
        <v>0.49999999999999872</v>
      </c>
      <c r="Q78" s="3">
        <f t="shared" si="25"/>
        <v>-0.86602540378443849</v>
      </c>
      <c r="R78" s="3">
        <f t="shared" si="26"/>
        <v>-6.7591029165721199</v>
      </c>
      <c r="S78" s="3">
        <f t="shared" si="27"/>
        <v>0</v>
      </c>
      <c r="T78" s="3">
        <f t="shared" si="28"/>
        <v>0</v>
      </c>
      <c r="U78" s="3">
        <f t="shared" si="29"/>
        <v>-1</v>
      </c>
      <c r="V78" s="3">
        <f t="shared" si="30"/>
        <v>-1</v>
      </c>
      <c r="W78" s="3">
        <f t="shared" si="31"/>
        <v>0</v>
      </c>
      <c r="X78" s="3">
        <f t="shared" si="32"/>
        <v>0</v>
      </c>
      <c r="Y78" s="3">
        <f t="shared" si="33"/>
        <v>0</v>
      </c>
      <c r="Z78" s="3">
        <f t="shared" si="34"/>
        <v>-2</v>
      </c>
      <c r="AA78" s="3">
        <f t="shared" si="35"/>
        <v>0</v>
      </c>
      <c r="AB78" s="65">
        <f t="shared" si="36"/>
        <v>0</v>
      </c>
      <c r="AC78" s="3">
        <f t="shared" si="37"/>
        <v>0</v>
      </c>
      <c r="AD78" s="65">
        <f t="shared" si="38"/>
        <v>-0.99999999999999822</v>
      </c>
      <c r="AE78" s="3">
        <f t="shared" si="39"/>
        <v>1.7320508075688783</v>
      </c>
      <c r="AF78" s="65">
        <f t="shared" si="40"/>
        <v>0</v>
      </c>
      <c r="AG78" s="3">
        <f t="shared" si="41"/>
        <v>0</v>
      </c>
      <c r="AH78" s="3">
        <f t="shared" si="42"/>
        <v>0</v>
      </c>
      <c r="AI78" s="3">
        <f t="shared" si="43"/>
        <v>2</v>
      </c>
      <c r="AJ78" s="3">
        <f t="shared" si="44"/>
        <v>0</v>
      </c>
      <c r="AK78" s="3">
        <f t="shared" si="45"/>
        <v>49</v>
      </c>
      <c r="AL78" s="4">
        <f t="shared" si="46"/>
        <v>1</v>
      </c>
      <c r="AM78" s="4">
        <f t="shared" si="47"/>
        <v>0</v>
      </c>
      <c r="AN78" s="4">
        <f t="shared" si="48"/>
        <v>0</v>
      </c>
      <c r="AO78" s="4">
        <f t="shared" si="49"/>
        <v>-0.99999999999999822</v>
      </c>
      <c r="AP78" s="3">
        <f t="shared" si="50"/>
        <v>1.7320508075688783</v>
      </c>
      <c r="AQ78" s="3">
        <f t="shared" si="51"/>
        <v>0</v>
      </c>
      <c r="AR78" s="3">
        <f t="shared" si="52"/>
        <v>0</v>
      </c>
      <c r="AS78" s="3">
        <f t="shared" si="53"/>
        <v>0.49999999999999872</v>
      </c>
      <c r="AT78" s="65">
        <f t="shared" si="54"/>
        <v>-0.86602540378443849</v>
      </c>
      <c r="AV78" s="3">
        <f t="shared" si="60"/>
        <v>1</v>
      </c>
      <c r="AW78" s="3">
        <f t="shared" si="58"/>
        <v>1</v>
      </c>
      <c r="AX78" s="3">
        <f t="shared" si="59"/>
        <v>1</v>
      </c>
      <c r="AY78" s="65"/>
      <c r="BA78" s="217">
        <v>73</v>
      </c>
      <c r="BB78" s="218" t="s">
        <v>76</v>
      </c>
      <c r="BC78" s="219">
        <v>12</v>
      </c>
      <c r="BD78" s="219">
        <v>2</v>
      </c>
      <c r="BE78" s="220">
        <v>6</v>
      </c>
      <c r="BF78" s="219" t="s">
        <v>41</v>
      </c>
      <c r="BG78" s="219" t="s">
        <v>41</v>
      </c>
      <c r="BH78" s="219" t="s">
        <v>41</v>
      </c>
      <c r="BI78" s="219" t="s">
        <v>41</v>
      </c>
      <c r="BJ78" s="219" t="s">
        <v>46</v>
      </c>
      <c r="BK78" s="219" t="s">
        <v>46</v>
      </c>
      <c r="BL78" s="219" t="s">
        <v>46</v>
      </c>
      <c r="BM78" s="219" t="s">
        <v>46</v>
      </c>
      <c r="BN78" s="219" t="s">
        <v>65</v>
      </c>
      <c r="BO78" s="219" t="s">
        <v>65</v>
      </c>
      <c r="BP78" s="219" t="s">
        <v>65</v>
      </c>
      <c r="BQ78" s="219" t="s">
        <v>65</v>
      </c>
      <c r="BR78" s="219"/>
      <c r="BS78" s="219"/>
      <c r="BT78" s="219"/>
      <c r="BU78" s="219"/>
      <c r="BV78" s="219"/>
      <c r="BW78" s="219"/>
      <c r="BX78" s="219"/>
      <c r="BY78" s="219"/>
      <c r="BZ78" s="219"/>
      <c r="CA78" s="219"/>
      <c r="CB78" s="219"/>
      <c r="CC78" s="219"/>
      <c r="CD78" s="219"/>
      <c r="CE78" s="219"/>
      <c r="CF78" s="219"/>
      <c r="CG78" s="219"/>
      <c r="CH78" s="219"/>
      <c r="CI78" s="219"/>
      <c r="CJ78" s="219"/>
      <c r="CK78" s="219"/>
      <c r="CL78" s="219"/>
      <c r="CM78" s="219"/>
      <c r="CN78" s="219"/>
      <c r="CO78" s="219"/>
      <c r="CP78" s="219"/>
      <c r="CQ78" s="219"/>
      <c r="CR78" s="219"/>
      <c r="CS78" s="219"/>
      <c r="CT78" s="219"/>
      <c r="CU78" s="219"/>
      <c r="CV78" s="219"/>
      <c r="CW78" s="219"/>
      <c r="CX78" s="219"/>
      <c r="CY78" s="219"/>
      <c r="CZ78" s="219"/>
      <c r="DA78" s="219"/>
      <c r="DB78" s="219"/>
      <c r="DC78" s="219"/>
      <c r="DD78" s="219"/>
      <c r="DE78" s="219"/>
      <c r="DF78" s="219"/>
      <c r="DG78" s="219"/>
      <c r="DH78" s="219"/>
      <c r="DI78" s="219"/>
      <c r="DJ78" s="219"/>
      <c r="DK78" s="219"/>
      <c r="DL78" s="219"/>
      <c r="DM78" s="219"/>
      <c r="DN78" s="219"/>
      <c r="DO78" s="219"/>
      <c r="DP78" s="219"/>
      <c r="DQ78" s="219"/>
      <c r="DR78" s="219"/>
      <c r="DS78" s="219"/>
      <c r="DT78" s="219"/>
      <c r="DU78" s="219"/>
      <c r="DV78" s="219"/>
      <c r="DW78" s="219"/>
      <c r="DX78" s="219"/>
      <c r="DY78" s="219"/>
      <c r="DZ78" s="45" t="s">
        <v>582</v>
      </c>
    </row>
    <row r="79" spans="2:130" x14ac:dyDescent="0.2">
      <c r="B79" s="3" t="s">
        <v>117</v>
      </c>
      <c r="C79" s="3" t="s">
        <v>117</v>
      </c>
      <c r="D79" s="3" t="str">
        <f t="shared" si="56"/>
        <v>B'</v>
      </c>
      <c r="E79" s="3" t="str">
        <f t="shared" si="57"/>
        <v>B'</v>
      </c>
      <c r="F79" s="3">
        <v>46</v>
      </c>
      <c r="G79" s="54" t="s">
        <v>117</v>
      </c>
      <c r="H79" s="54" t="s">
        <v>117</v>
      </c>
      <c r="I79" s="54">
        <v>1</v>
      </c>
      <c r="J79" s="54">
        <v>1</v>
      </c>
      <c r="K79" s="3">
        <f t="shared" si="20"/>
        <v>0.49999999999999961</v>
      </c>
      <c r="L79" s="3">
        <f t="shared" si="21"/>
        <v>0.49999999999999961</v>
      </c>
      <c r="M79" s="3">
        <f t="shared" si="22"/>
        <v>0.99999999999999922</v>
      </c>
      <c r="N79" s="3">
        <f>SUM($M$33:M79)</f>
        <v>-2.0000000000000009</v>
      </c>
      <c r="O79" s="3">
        <f t="shared" si="23"/>
        <v>-6.0000000000000009</v>
      </c>
      <c r="P79" s="3">
        <f t="shared" si="24"/>
        <v>0.70710678118654602</v>
      </c>
      <c r="Q79" s="3">
        <f t="shared" si="25"/>
        <v>-0.70710678118654791</v>
      </c>
      <c r="R79" s="3">
        <f t="shared" si="26"/>
        <v>-5.8041732580207501</v>
      </c>
      <c r="S79" s="3">
        <f t="shared" si="27"/>
        <v>0</v>
      </c>
      <c r="T79" s="3">
        <f t="shared" si="28"/>
        <v>0</v>
      </c>
      <c r="U79" s="3">
        <f t="shared" si="29"/>
        <v>-1</v>
      </c>
      <c r="V79" s="3">
        <f t="shared" si="30"/>
        <v>-1</v>
      </c>
      <c r="W79" s="3">
        <f t="shared" si="31"/>
        <v>0</v>
      </c>
      <c r="X79" s="3">
        <f t="shared" si="32"/>
        <v>0</v>
      </c>
      <c r="Y79" s="3">
        <f t="shared" si="33"/>
        <v>0</v>
      </c>
      <c r="Z79" s="3">
        <f t="shared" si="34"/>
        <v>-2</v>
      </c>
      <c r="AA79" s="3">
        <f t="shared" si="35"/>
        <v>0</v>
      </c>
      <c r="AB79" s="65">
        <f t="shared" si="36"/>
        <v>0</v>
      </c>
      <c r="AC79" s="3">
        <f t="shared" si="37"/>
        <v>0</v>
      </c>
      <c r="AD79" s="65">
        <f t="shared" si="38"/>
        <v>-1.4142135623730931</v>
      </c>
      <c r="AE79" s="3">
        <f t="shared" si="39"/>
        <v>1.4142135623730969</v>
      </c>
      <c r="AF79" s="65">
        <f t="shared" si="40"/>
        <v>0</v>
      </c>
      <c r="AG79" s="3">
        <f t="shared" si="41"/>
        <v>0</v>
      </c>
      <c r="AH79" s="3">
        <f t="shared" si="42"/>
        <v>0</v>
      </c>
      <c r="AI79" s="3">
        <f t="shared" si="43"/>
        <v>2</v>
      </c>
      <c r="AJ79" s="3">
        <f t="shared" si="44"/>
        <v>0</v>
      </c>
      <c r="AK79" s="3">
        <f t="shared" si="45"/>
        <v>36.000000000000014</v>
      </c>
      <c r="AL79" s="4">
        <f t="shared" si="46"/>
        <v>1</v>
      </c>
      <c r="AM79" s="4">
        <f t="shared" si="47"/>
        <v>0</v>
      </c>
      <c r="AN79" s="4">
        <f t="shared" si="48"/>
        <v>0</v>
      </c>
      <c r="AO79" s="4">
        <f t="shared" si="49"/>
        <v>-1.4142135623730931</v>
      </c>
      <c r="AP79" s="3">
        <f t="shared" si="50"/>
        <v>1.4142135623730969</v>
      </c>
      <c r="AQ79" s="3">
        <f t="shared" si="51"/>
        <v>0</v>
      </c>
      <c r="AR79" s="3">
        <f t="shared" si="52"/>
        <v>0</v>
      </c>
      <c r="AS79" s="3">
        <f t="shared" si="53"/>
        <v>0.70710678118654602</v>
      </c>
      <c r="AT79" s="65">
        <f t="shared" si="54"/>
        <v>-0.70710678118654791</v>
      </c>
      <c r="AV79" s="3">
        <f t="shared" si="60"/>
        <v>0</v>
      </c>
      <c r="AW79" s="3">
        <f t="shared" si="58"/>
        <v>1</v>
      </c>
      <c r="AX79" s="3">
        <f t="shared" si="59"/>
        <v>1</v>
      </c>
      <c r="AY79" s="65"/>
      <c r="BA79" s="221">
        <v>74</v>
      </c>
      <c r="BB79" s="222" t="s">
        <v>77</v>
      </c>
      <c r="BC79" s="223"/>
      <c r="BD79" s="223"/>
      <c r="BE79" s="224"/>
      <c r="BF79" s="223" t="s">
        <v>117</v>
      </c>
      <c r="BG79" s="223" t="s">
        <v>117</v>
      </c>
      <c r="BH79" s="223" t="s">
        <v>120</v>
      </c>
      <c r="BI79" s="223" t="s">
        <v>120</v>
      </c>
      <c r="BJ79" s="223" t="s">
        <v>120</v>
      </c>
      <c r="BK79" s="223" t="s">
        <v>120</v>
      </c>
      <c r="BL79" s="223" t="s">
        <v>116</v>
      </c>
      <c r="BM79" s="223" t="s">
        <v>116</v>
      </c>
      <c r="BN79" s="223" t="s">
        <v>116</v>
      </c>
      <c r="BO79" s="223" t="s">
        <v>116</v>
      </c>
      <c r="BP79" s="223" t="s">
        <v>117</v>
      </c>
      <c r="BQ79" s="223" t="s">
        <v>117</v>
      </c>
      <c r="BR79" s="223"/>
      <c r="BS79" s="223"/>
      <c r="BT79" s="223"/>
      <c r="BU79" s="223"/>
      <c r="BV79" s="223"/>
      <c r="BW79" s="223"/>
      <c r="BX79" s="223"/>
      <c r="BY79" s="223"/>
      <c r="BZ79" s="223"/>
      <c r="CA79" s="223"/>
      <c r="CB79" s="223"/>
      <c r="CC79" s="223"/>
      <c r="CD79" s="223"/>
      <c r="CE79" s="223"/>
      <c r="CF79" s="223"/>
      <c r="CG79" s="223"/>
      <c r="CH79" s="223"/>
      <c r="CI79" s="223"/>
      <c r="CJ79" s="223"/>
      <c r="CK79" s="223"/>
      <c r="CL79" s="223"/>
      <c r="CM79" s="223"/>
      <c r="CN79" s="223"/>
      <c r="CO79" s="223"/>
      <c r="CP79" s="223"/>
      <c r="CQ79" s="223"/>
      <c r="CR79" s="223"/>
      <c r="CS79" s="223"/>
      <c r="CT79" s="223"/>
      <c r="CU79" s="223"/>
      <c r="CV79" s="223"/>
      <c r="CW79" s="223"/>
      <c r="CX79" s="223"/>
      <c r="CY79" s="223"/>
      <c r="CZ79" s="223"/>
      <c r="DA79" s="223"/>
      <c r="DB79" s="223"/>
      <c r="DC79" s="223"/>
      <c r="DD79" s="223"/>
      <c r="DE79" s="223"/>
      <c r="DF79" s="223"/>
      <c r="DG79" s="223"/>
      <c r="DH79" s="223"/>
      <c r="DI79" s="223"/>
      <c r="DJ79" s="223"/>
      <c r="DK79" s="223"/>
      <c r="DL79" s="223"/>
      <c r="DM79" s="223"/>
      <c r="DN79" s="223"/>
      <c r="DO79" s="223"/>
      <c r="DP79" s="223"/>
      <c r="DQ79" s="223"/>
      <c r="DR79" s="223"/>
      <c r="DS79" s="223"/>
      <c r="DT79" s="223"/>
      <c r="DU79" s="223"/>
      <c r="DV79" s="223"/>
      <c r="DW79" s="223"/>
      <c r="DX79" s="223"/>
      <c r="DY79" s="223"/>
      <c r="DZ79" s="48" t="s">
        <v>582</v>
      </c>
    </row>
    <row r="80" spans="2:130" x14ac:dyDescent="0.2">
      <c r="B80" s="3" t="s">
        <v>117</v>
      </c>
      <c r="C80" s="3" t="s">
        <v>117</v>
      </c>
      <c r="D80" s="3" t="str">
        <f t="shared" si="56"/>
        <v>B'</v>
      </c>
      <c r="E80" s="3" t="str">
        <f t="shared" si="57"/>
        <v>B'</v>
      </c>
      <c r="F80" s="3">
        <v>47</v>
      </c>
      <c r="G80" s="54" t="s">
        <v>117</v>
      </c>
      <c r="H80" s="54" t="s">
        <v>117</v>
      </c>
      <c r="I80" s="54">
        <v>1</v>
      </c>
      <c r="J80" s="54">
        <v>1</v>
      </c>
      <c r="K80" s="3">
        <f t="shared" si="20"/>
        <v>0.49999999999999961</v>
      </c>
      <c r="L80" s="3">
        <f t="shared" si="21"/>
        <v>0.49999999999999961</v>
      </c>
      <c r="M80" s="3">
        <f t="shared" si="22"/>
        <v>0.99999999999999922</v>
      </c>
      <c r="N80" s="3">
        <f>SUM($M$33:M80)</f>
        <v>-1.0000000000000018</v>
      </c>
      <c r="O80" s="3">
        <f t="shared" si="23"/>
        <v>-5.0000000000000018</v>
      </c>
      <c r="P80" s="3">
        <f t="shared" si="24"/>
        <v>0.86602540378443715</v>
      </c>
      <c r="Q80" s="3">
        <f t="shared" si="25"/>
        <v>-0.50000000000000111</v>
      </c>
      <c r="R80" s="3">
        <f t="shared" si="26"/>
        <v>-4.453698783785093</v>
      </c>
      <c r="S80" s="3">
        <f t="shared" si="27"/>
        <v>0</v>
      </c>
      <c r="T80" s="3">
        <f t="shared" si="28"/>
        <v>0</v>
      </c>
      <c r="U80" s="3">
        <f t="shared" si="29"/>
        <v>-1</v>
      </c>
      <c r="V80" s="3">
        <f t="shared" si="30"/>
        <v>-1</v>
      </c>
      <c r="W80" s="3">
        <f t="shared" si="31"/>
        <v>0</v>
      </c>
      <c r="X80" s="3">
        <f t="shared" si="32"/>
        <v>0</v>
      </c>
      <c r="Y80" s="3">
        <f t="shared" si="33"/>
        <v>0</v>
      </c>
      <c r="Z80" s="3">
        <f t="shared" si="34"/>
        <v>-2</v>
      </c>
      <c r="AA80" s="3">
        <f t="shared" si="35"/>
        <v>0</v>
      </c>
      <c r="AB80" s="65">
        <f t="shared" si="36"/>
        <v>0</v>
      </c>
      <c r="AC80" s="3">
        <f t="shared" si="37"/>
        <v>0</v>
      </c>
      <c r="AD80" s="65">
        <f t="shared" si="38"/>
        <v>-1.7320508075688756</v>
      </c>
      <c r="AE80" s="3">
        <f t="shared" si="39"/>
        <v>1.0000000000000029</v>
      </c>
      <c r="AF80" s="65">
        <f t="shared" si="40"/>
        <v>0</v>
      </c>
      <c r="AG80" s="3">
        <f t="shared" si="41"/>
        <v>0</v>
      </c>
      <c r="AH80" s="3">
        <f t="shared" si="42"/>
        <v>0</v>
      </c>
      <c r="AI80" s="3">
        <f t="shared" si="43"/>
        <v>2</v>
      </c>
      <c r="AJ80" s="3">
        <f t="shared" si="44"/>
        <v>0</v>
      </c>
      <c r="AK80" s="3">
        <f t="shared" si="45"/>
        <v>25.000000000000018</v>
      </c>
      <c r="AL80" s="4">
        <f t="shared" si="46"/>
        <v>1</v>
      </c>
      <c r="AM80" s="4">
        <f t="shared" si="47"/>
        <v>0</v>
      </c>
      <c r="AN80" s="4">
        <f t="shared" si="48"/>
        <v>0</v>
      </c>
      <c r="AO80" s="4">
        <f t="shared" si="49"/>
        <v>-1.7320508075688756</v>
      </c>
      <c r="AP80" s="3">
        <f t="shared" si="50"/>
        <v>1.0000000000000029</v>
      </c>
      <c r="AQ80" s="3">
        <f t="shared" si="51"/>
        <v>0</v>
      </c>
      <c r="AR80" s="3">
        <f t="shared" si="52"/>
        <v>0</v>
      </c>
      <c r="AS80" s="3">
        <f t="shared" si="53"/>
        <v>0.86602540378443715</v>
      </c>
      <c r="AT80" s="65">
        <f t="shared" si="54"/>
        <v>-0.50000000000000111</v>
      </c>
      <c r="AV80" s="3">
        <f t="shared" si="60"/>
        <v>0</v>
      </c>
      <c r="AW80" s="3">
        <f t="shared" si="58"/>
        <v>1</v>
      </c>
      <c r="AX80" s="3">
        <f t="shared" si="59"/>
        <v>1</v>
      </c>
      <c r="AY80" s="65"/>
      <c r="BA80" s="221">
        <v>75</v>
      </c>
      <c r="BB80" s="222"/>
      <c r="BC80" s="223"/>
      <c r="BD80" s="223"/>
      <c r="BE80" s="224"/>
      <c r="BF80" s="223"/>
      <c r="BG80" s="223"/>
      <c r="BH80" s="223"/>
      <c r="BI80" s="223"/>
      <c r="BJ80" s="223"/>
      <c r="BK80" s="223"/>
      <c r="BL80" s="223"/>
      <c r="BM80" s="223"/>
      <c r="BN80" s="223"/>
      <c r="BO80" s="223"/>
      <c r="BP80" s="223"/>
      <c r="BQ80" s="223"/>
      <c r="BR80" s="223"/>
      <c r="BS80" s="223"/>
      <c r="BT80" s="223"/>
      <c r="BU80" s="223"/>
      <c r="BV80" s="223"/>
      <c r="BW80" s="223"/>
      <c r="BX80" s="223"/>
      <c r="BY80" s="223"/>
      <c r="BZ80" s="223"/>
      <c r="CA80" s="223"/>
      <c r="CB80" s="223"/>
      <c r="CC80" s="223"/>
      <c r="CD80" s="223"/>
      <c r="CE80" s="223"/>
      <c r="CF80" s="223"/>
      <c r="CG80" s="223"/>
      <c r="CH80" s="223"/>
      <c r="CI80" s="223"/>
      <c r="CJ80" s="223"/>
      <c r="CK80" s="223"/>
      <c r="CL80" s="223"/>
      <c r="CM80" s="223"/>
      <c r="CN80" s="223"/>
      <c r="CO80" s="223"/>
      <c r="CP80" s="223"/>
      <c r="CQ80" s="223"/>
      <c r="CR80" s="223"/>
      <c r="CS80" s="223"/>
      <c r="CT80" s="223"/>
      <c r="CU80" s="223"/>
      <c r="CV80" s="223"/>
      <c r="CW80" s="223"/>
      <c r="CX80" s="223"/>
      <c r="CY80" s="223"/>
      <c r="CZ80" s="223"/>
      <c r="DA80" s="223"/>
      <c r="DB80" s="223"/>
      <c r="DC80" s="223"/>
      <c r="DD80" s="223"/>
      <c r="DE80" s="223"/>
      <c r="DF80" s="223"/>
      <c r="DG80" s="223"/>
      <c r="DH80" s="223"/>
      <c r="DI80" s="223"/>
      <c r="DJ80" s="223"/>
      <c r="DK80" s="223"/>
      <c r="DL80" s="223"/>
      <c r="DM80" s="223"/>
      <c r="DN80" s="223"/>
      <c r="DO80" s="223"/>
      <c r="DP80" s="223"/>
      <c r="DQ80" s="223"/>
      <c r="DR80" s="223"/>
      <c r="DS80" s="223"/>
      <c r="DT80" s="223"/>
      <c r="DU80" s="223"/>
      <c r="DV80" s="223"/>
      <c r="DW80" s="223"/>
      <c r="DX80" s="223"/>
      <c r="DY80" s="223"/>
      <c r="DZ80" s="48" t="s">
        <v>582</v>
      </c>
    </row>
    <row r="81" spans="2:130" x14ac:dyDescent="0.2">
      <c r="B81" s="3" t="s">
        <v>117</v>
      </c>
      <c r="C81" s="3" t="s">
        <v>117</v>
      </c>
      <c r="D81" s="3" t="str">
        <f t="shared" si="56"/>
        <v>B'</v>
      </c>
      <c r="E81" s="3" t="str">
        <f t="shared" si="57"/>
        <v>B'</v>
      </c>
      <c r="F81" s="3">
        <v>48</v>
      </c>
      <c r="G81" s="54" t="s">
        <v>117</v>
      </c>
      <c r="H81" s="54" t="s">
        <v>117</v>
      </c>
      <c r="I81" s="54">
        <v>1</v>
      </c>
      <c r="J81" s="54">
        <v>1</v>
      </c>
      <c r="K81" s="3">
        <f t="shared" si="20"/>
        <v>0.49999999999999961</v>
      </c>
      <c r="L81" s="3">
        <f t="shared" si="21"/>
        <v>0.49999999999999961</v>
      </c>
      <c r="M81" s="3">
        <f t="shared" si="22"/>
        <v>0.99999999999999922</v>
      </c>
      <c r="N81" s="3">
        <f>SUM($M$33:M81)</f>
        <v>-2.55351295663786E-15</v>
      </c>
      <c r="O81" s="3">
        <f t="shared" si="23"/>
        <v>-4.0000000000000027</v>
      </c>
      <c r="P81" s="3">
        <f t="shared" si="24"/>
        <v>0.96592582628906698</v>
      </c>
      <c r="Q81" s="3">
        <f t="shared" si="25"/>
        <v>-0.25881904510252246</v>
      </c>
      <c r="R81" s="3">
        <f t="shared" si="26"/>
        <v>-2.7997120975197207</v>
      </c>
      <c r="S81" s="3">
        <f t="shared" si="27"/>
        <v>0</v>
      </c>
      <c r="T81" s="3">
        <f t="shared" si="28"/>
        <v>0</v>
      </c>
      <c r="U81" s="3">
        <f t="shared" si="29"/>
        <v>-1</v>
      </c>
      <c r="V81" s="3">
        <f t="shared" si="30"/>
        <v>-1</v>
      </c>
      <c r="W81" s="3">
        <f t="shared" si="31"/>
        <v>0</v>
      </c>
      <c r="X81" s="3">
        <f t="shared" si="32"/>
        <v>0</v>
      </c>
      <c r="Y81" s="3">
        <f t="shared" si="33"/>
        <v>0</v>
      </c>
      <c r="Z81" s="3">
        <f t="shared" si="34"/>
        <v>-2</v>
      </c>
      <c r="AA81" s="3">
        <f t="shared" si="35"/>
        <v>0</v>
      </c>
      <c r="AB81" s="65">
        <f t="shared" si="36"/>
        <v>0</v>
      </c>
      <c r="AC81" s="3">
        <f t="shared" si="37"/>
        <v>0</v>
      </c>
      <c r="AD81" s="65">
        <f t="shared" si="38"/>
        <v>-1.9318516525781355</v>
      </c>
      <c r="AE81" s="3">
        <f t="shared" si="39"/>
        <v>0.51763809020504536</v>
      </c>
      <c r="AF81" s="65">
        <f t="shared" si="40"/>
        <v>0</v>
      </c>
      <c r="AG81" s="3">
        <f t="shared" si="41"/>
        <v>0</v>
      </c>
      <c r="AH81" s="3">
        <f t="shared" si="42"/>
        <v>0</v>
      </c>
      <c r="AI81" s="3">
        <f t="shared" si="43"/>
        <v>2</v>
      </c>
      <c r="AJ81" s="3">
        <f t="shared" si="44"/>
        <v>0</v>
      </c>
      <c r="AK81" s="3">
        <f t="shared" si="45"/>
        <v>16.000000000000021</v>
      </c>
      <c r="AL81" s="4">
        <f t="shared" si="46"/>
        <v>1</v>
      </c>
      <c r="AM81" s="4">
        <f t="shared" si="47"/>
        <v>0</v>
      </c>
      <c r="AN81" s="4">
        <f t="shared" si="48"/>
        <v>0</v>
      </c>
      <c r="AO81" s="4">
        <f t="shared" si="49"/>
        <v>-1.9318516525781355</v>
      </c>
      <c r="AP81" s="3">
        <f t="shared" si="50"/>
        <v>0.51763809020504536</v>
      </c>
      <c r="AQ81" s="3">
        <f t="shared" si="51"/>
        <v>0</v>
      </c>
      <c r="AR81" s="3">
        <f t="shared" si="52"/>
        <v>0</v>
      </c>
      <c r="AS81" s="3">
        <f t="shared" si="53"/>
        <v>0.96592582628906698</v>
      </c>
      <c r="AT81" s="65">
        <f t="shared" si="54"/>
        <v>-0.25881904510252246</v>
      </c>
      <c r="AV81" s="3">
        <f t="shared" si="60"/>
        <v>0</v>
      </c>
      <c r="AW81" s="3">
        <f t="shared" si="58"/>
        <v>1</v>
      </c>
      <c r="AX81" s="3">
        <f t="shared" si="59"/>
        <v>1</v>
      </c>
      <c r="AY81" s="65"/>
      <c r="BA81" s="226">
        <v>76</v>
      </c>
      <c r="BB81" s="227"/>
      <c r="BC81" s="228"/>
      <c r="BD81" s="228"/>
      <c r="BE81" s="229"/>
      <c r="BF81" s="223"/>
      <c r="BG81" s="223"/>
      <c r="BH81" s="223"/>
      <c r="BI81" s="223"/>
      <c r="BJ81" s="223"/>
      <c r="BK81" s="223"/>
      <c r="BL81" s="223"/>
      <c r="BM81" s="223"/>
      <c r="BN81" s="223"/>
      <c r="BO81" s="223"/>
      <c r="BP81" s="223"/>
      <c r="BQ81" s="223"/>
      <c r="BR81" s="223"/>
      <c r="BS81" s="223"/>
      <c r="BT81" s="223"/>
      <c r="BU81" s="223"/>
      <c r="BV81" s="223"/>
      <c r="BW81" s="223"/>
      <c r="BX81" s="223"/>
      <c r="BY81" s="223"/>
      <c r="BZ81" s="223"/>
      <c r="CA81" s="223"/>
      <c r="CB81" s="223"/>
      <c r="CC81" s="223"/>
      <c r="CD81" s="223"/>
      <c r="CE81" s="223"/>
      <c r="CF81" s="223"/>
      <c r="CG81" s="223"/>
      <c r="CH81" s="223"/>
      <c r="CI81" s="223"/>
      <c r="CJ81" s="223"/>
      <c r="CK81" s="223"/>
      <c r="CL81" s="223"/>
      <c r="CM81" s="223"/>
      <c r="CN81" s="223"/>
      <c r="CO81" s="223"/>
      <c r="CP81" s="223"/>
      <c r="CQ81" s="223"/>
      <c r="CR81" s="223"/>
      <c r="CS81" s="223"/>
      <c r="CT81" s="223"/>
      <c r="CU81" s="223"/>
      <c r="CV81" s="223"/>
      <c r="CW81" s="223"/>
      <c r="CX81" s="223"/>
      <c r="CY81" s="223"/>
      <c r="CZ81" s="223"/>
      <c r="DA81" s="223"/>
      <c r="DB81" s="223"/>
      <c r="DC81" s="223"/>
      <c r="DD81" s="223"/>
      <c r="DE81" s="223"/>
      <c r="DF81" s="223"/>
      <c r="DG81" s="223"/>
      <c r="DH81" s="223"/>
      <c r="DI81" s="223"/>
      <c r="DJ81" s="223"/>
      <c r="DK81" s="223"/>
      <c r="DL81" s="223"/>
      <c r="DM81" s="223"/>
      <c r="DN81" s="223"/>
      <c r="DO81" s="223"/>
      <c r="DP81" s="223"/>
      <c r="DQ81" s="223"/>
      <c r="DR81" s="223"/>
      <c r="DS81" s="223"/>
      <c r="DT81" s="223"/>
      <c r="DU81" s="223"/>
      <c r="DV81" s="223"/>
      <c r="DW81" s="223"/>
      <c r="DX81" s="223"/>
      <c r="DY81" s="223"/>
      <c r="DZ81" s="51" t="s">
        <v>582</v>
      </c>
    </row>
    <row r="82" spans="2:130" x14ac:dyDescent="0.2">
      <c r="D82" s="3">
        <f t="shared" si="56"/>
        <v>0</v>
      </c>
      <c r="E82" s="3">
        <f t="shared" si="57"/>
        <v>0</v>
      </c>
      <c r="F82" s="3">
        <v>49</v>
      </c>
      <c r="G82" s="54"/>
      <c r="H82" s="54"/>
      <c r="I82" s="54"/>
      <c r="J82" s="54"/>
      <c r="AB82" s="65"/>
      <c r="AD82" s="65"/>
      <c r="AF82" s="65"/>
      <c r="AL82" s="4"/>
      <c r="AM82" s="4"/>
      <c r="AN82" s="4"/>
      <c r="AO82" s="4"/>
      <c r="AT82" s="65"/>
      <c r="AV82" s="3">
        <f t="shared" si="60"/>
        <v>1</v>
      </c>
      <c r="AW82" s="3">
        <f t="shared" si="58"/>
        <v>0</v>
      </c>
      <c r="AX82" s="3">
        <f t="shared" si="59"/>
        <v>0</v>
      </c>
      <c r="AY82" s="65"/>
      <c r="BA82" s="217">
        <v>77</v>
      </c>
      <c r="BB82" s="218" t="s">
        <v>47</v>
      </c>
      <c r="BC82" s="219">
        <v>36</v>
      </c>
      <c r="BD82" s="219">
        <v>6</v>
      </c>
      <c r="BE82" s="220">
        <v>6</v>
      </c>
      <c r="BF82" s="219" t="s">
        <v>116</v>
      </c>
      <c r="BG82" s="219" t="s">
        <v>65</v>
      </c>
      <c r="BH82" s="219" t="s">
        <v>65</v>
      </c>
      <c r="BI82" s="219" t="s">
        <v>65</v>
      </c>
      <c r="BJ82" s="219" t="s">
        <v>65</v>
      </c>
      <c r="BK82" s="219" t="s">
        <v>41</v>
      </c>
      <c r="BL82" s="219" t="s">
        <v>41</v>
      </c>
      <c r="BM82" s="219" t="s">
        <v>41</v>
      </c>
      <c r="BN82" s="219" t="s">
        <v>41</v>
      </c>
      <c r="BO82" s="219" t="s">
        <v>46</v>
      </c>
      <c r="BP82" s="219" t="s">
        <v>46</v>
      </c>
      <c r="BQ82" s="219" t="s">
        <v>46</v>
      </c>
      <c r="BR82" s="219" t="s">
        <v>46</v>
      </c>
      <c r="BS82" s="219" t="s">
        <v>116</v>
      </c>
      <c r="BT82" s="219" t="s">
        <v>65</v>
      </c>
      <c r="BU82" s="219" t="s">
        <v>65</v>
      </c>
      <c r="BV82" s="219" t="s">
        <v>117</v>
      </c>
      <c r="BW82" s="219" t="s">
        <v>117</v>
      </c>
      <c r="BX82" s="219" t="s">
        <v>41</v>
      </c>
      <c r="BY82" s="219" t="s">
        <v>120</v>
      </c>
      <c r="BZ82" s="219" t="s">
        <v>120</v>
      </c>
      <c r="CA82" s="219" t="s">
        <v>120</v>
      </c>
      <c r="CB82" s="219" t="s">
        <v>120</v>
      </c>
      <c r="CC82" s="219" t="s">
        <v>116</v>
      </c>
      <c r="CD82" s="219" t="s">
        <v>116</v>
      </c>
      <c r="CE82" s="219" t="s">
        <v>116</v>
      </c>
      <c r="CF82" s="219" t="s">
        <v>116</v>
      </c>
      <c r="CG82" s="219" t="s">
        <v>117</v>
      </c>
      <c r="CH82" s="219" t="s">
        <v>117</v>
      </c>
      <c r="CI82" s="219" t="s">
        <v>117</v>
      </c>
      <c r="CJ82" s="219" t="s">
        <v>117</v>
      </c>
      <c r="CK82" s="219" t="s">
        <v>41</v>
      </c>
      <c r="CL82" s="219" t="s">
        <v>120</v>
      </c>
      <c r="CM82" s="219" t="s">
        <v>120</v>
      </c>
      <c r="CN82" s="219" t="s">
        <v>46</v>
      </c>
      <c r="CO82" s="219" t="s">
        <v>46</v>
      </c>
      <c r="CP82" s="219"/>
      <c r="CQ82" s="219"/>
      <c r="CR82" s="219"/>
      <c r="CS82" s="219"/>
      <c r="CT82" s="219"/>
      <c r="CU82" s="219"/>
      <c r="CV82" s="219"/>
      <c r="CW82" s="219"/>
      <c r="CX82" s="219"/>
      <c r="CY82" s="219"/>
      <c r="CZ82" s="219"/>
      <c r="DA82" s="219"/>
      <c r="DB82" s="219"/>
      <c r="DC82" s="219"/>
      <c r="DD82" s="219"/>
      <c r="DE82" s="219"/>
      <c r="DF82" s="219"/>
      <c r="DG82" s="219"/>
      <c r="DH82" s="219"/>
      <c r="DI82" s="219"/>
      <c r="DJ82" s="219"/>
      <c r="DK82" s="219"/>
      <c r="DL82" s="219"/>
      <c r="DM82" s="219"/>
      <c r="DN82" s="219"/>
      <c r="DO82" s="219"/>
      <c r="DP82" s="219"/>
      <c r="DQ82" s="219"/>
      <c r="DR82" s="219"/>
      <c r="DS82" s="219"/>
      <c r="DT82" s="219"/>
      <c r="DU82" s="219"/>
      <c r="DV82" s="219"/>
      <c r="DW82" s="219"/>
      <c r="DX82" s="219"/>
      <c r="DY82" s="219"/>
      <c r="DZ82" s="45" t="s">
        <v>582</v>
      </c>
    </row>
    <row r="83" spans="2:130" x14ac:dyDescent="0.2">
      <c r="D83" s="3">
        <f t="shared" si="56"/>
        <v>0</v>
      </c>
      <c r="E83" s="3">
        <f t="shared" si="57"/>
        <v>0</v>
      </c>
      <c r="F83" s="3">
        <v>50</v>
      </c>
      <c r="G83" s="54"/>
      <c r="H83" s="54"/>
      <c r="I83" s="54"/>
      <c r="J83" s="54"/>
      <c r="AB83" s="65"/>
      <c r="AD83" s="65"/>
      <c r="AF83" s="65"/>
      <c r="AL83" s="4"/>
      <c r="AM83" s="4"/>
      <c r="AN83" s="4"/>
      <c r="AO83" s="4"/>
      <c r="AT83" s="65"/>
      <c r="AV83" s="3">
        <f t="shared" si="60"/>
        <v>0</v>
      </c>
      <c r="AW83" s="3">
        <f t="shared" si="58"/>
        <v>0</v>
      </c>
      <c r="AX83" s="3">
        <f t="shared" si="59"/>
        <v>0</v>
      </c>
      <c r="AY83" s="65"/>
      <c r="BA83" s="221">
        <v>78</v>
      </c>
      <c r="BB83" s="222" t="s">
        <v>49</v>
      </c>
      <c r="BC83" s="223"/>
      <c r="BD83" s="223"/>
      <c r="BE83" s="224"/>
      <c r="BF83" s="223" t="s">
        <v>46</v>
      </c>
      <c r="BG83" s="223" t="s">
        <v>116</v>
      </c>
      <c r="BH83" s="223" t="s">
        <v>65</v>
      </c>
      <c r="BI83" s="223" t="s">
        <v>65</v>
      </c>
      <c r="BJ83" s="223" t="s">
        <v>117</v>
      </c>
      <c r="BK83" s="223" t="s">
        <v>117</v>
      </c>
      <c r="BL83" s="223" t="s">
        <v>41</v>
      </c>
      <c r="BM83" s="223" t="s">
        <v>120</v>
      </c>
      <c r="BN83" s="223" t="s">
        <v>120</v>
      </c>
      <c r="BO83" s="223" t="s">
        <v>120</v>
      </c>
      <c r="BP83" s="223" t="s">
        <v>120</v>
      </c>
      <c r="BQ83" s="223" t="s">
        <v>116</v>
      </c>
      <c r="BR83" s="223" t="s">
        <v>116</v>
      </c>
      <c r="BS83" s="223" t="s">
        <v>116</v>
      </c>
      <c r="BT83" s="223" t="s">
        <v>116</v>
      </c>
      <c r="BU83" s="223" t="s">
        <v>117</v>
      </c>
      <c r="BV83" s="223" t="s">
        <v>117</v>
      </c>
      <c r="BW83" s="223" t="s">
        <v>117</v>
      </c>
      <c r="BX83" s="223" t="s">
        <v>117</v>
      </c>
      <c r="BY83" s="223" t="s">
        <v>41</v>
      </c>
      <c r="BZ83" s="223" t="s">
        <v>120</v>
      </c>
      <c r="CA83" s="223" t="s">
        <v>120</v>
      </c>
      <c r="CB83" s="223" t="s">
        <v>46</v>
      </c>
      <c r="CC83" s="223" t="s">
        <v>46</v>
      </c>
      <c r="CD83" s="223" t="s">
        <v>116</v>
      </c>
      <c r="CE83" s="223" t="s">
        <v>65</v>
      </c>
      <c r="CF83" s="223" t="s">
        <v>65</v>
      </c>
      <c r="CG83" s="223" t="s">
        <v>65</v>
      </c>
      <c r="CH83" s="223" t="s">
        <v>65</v>
      </c>
      <c r="CI83" s="223" t="s">
        <v>41</v>
      </c>
      <c r="CJ83" s="223" t="s">
        <v>41</v>
      </c>
      <c r="CK83" s="223" t="s">
        <v>41</v>
      </c>
      <c r="CL83" s="223" t="s">
        <v>41</v>
      </c>
      <c r="CM83" s="223" t="s">
        <v>46</v>
      </c>
      <c r="CN83" s="223" t="s">
        <v>46</v>
      </c>
      <c r="CO83" s="223" t="s">
        <v>46</v>
      </c>
      <c r="CP83" s="223"/>
      <c r="CQ83" s="223"/>
      <c r="CR83" s="223"/>
      <c r="CS83" s="223"/>
      <c r="CT83" s="223"/>
      <c r="CU83" s="223"/>
      <c r="CV83" s="223"/>
      <c r="CW83" s="223"/>
      <c r="CX83" s="223"/>
      <c r="CY83" s="223"/>
      <c r="CZ83" s="223"/>
      <c r="DA83" s="223"/>
      <c r="DB83" s="223"/>
      <c r="DC83" s="223"/>
      <c r="DD83" s="223"/>
      <c r="DE83" s="223"/>
      <c r="DF83" s="223"/>
      <c r="DG83" s="223"/>
      <c r="DH83" s="223"/>
      <c r="DI83" s="223"/>
      <c r="DJ83" s="223"/>
      <c r="DK83" s="223"/>
      <c r="DL83" s="223"/>
      <c r="DM83" s="223"/>
      <c r="DN83" s="223"/>
      <c r="DO83" s="223"/>
      <c r="DP83" s="223"/>
      <c r="DQ83" s="223"/>
      <c r="DR83" s="223"/>
      <c r="DS83" s="223"/>
      <c r="DT83" s="223"/>
      <c r="DU83" s="223"/>
      <c r="DV83" s="223"/>
      <c r="DW83" s="223"/>
      <c r="DX83" s="223"/>
      <c r="DY83" s="223"/>
      <c r="DZ83" s="48" t="s">
        <v>582</v>
      </c>
    </row>
    <row r="84" spans="2:130" x14ac:dyDescent="0.2">
      <c r="D84" s="3">
        <f t="shared" si="56"/>
        <v>0</v>
      </c>
      <c r="E84" s="3">
        <f t="shared" si="57"/>
        <v>0</v>
      </c>
      <c r="F84" s="3">
        <v>51</v>
      </c>
      <c r="G84" s="54"/>
      <c r="H84" s="54"/>
      <c r="I84" s="54"/>
      <c r="J84" s="54"/>
      <c r="AB84" s="65"/>
      <c r="AD84" s="65"/>
      <c r="AF84" s="65"/>
      <c r="AL84" s="4"/>
      <c r="AM84" s="4"/>
      <c r="AN84" s="4"/>
      <c r="AO84" s="4"/>
      <c r="AT84" s="65"/>
      <c r="AV84" s="3">
        <f t="shared" si="60"/>
        <v>0</v>
      </c>
      <c r="AW84" s="3">
        <f t="shared" si="58"/>
        <v>0</v>
      </c>
      <c r="AX84" s="3">
        <f t="shared" si="59"/>
        <v>0</v>
      </c>
      <c r="AY84" s="65"/>
      <c r="BA84" s="221">
        <v>79</v>
      </c>
      <c r="BB84" s="222"/>
      <c r="BC84" s="223"/>
      <c r="BD84" s="223"/>
      <c r="BE84" s="224"/>
      <c r="BF84" s="223"/>
      <c r="BG84" s="223"/>
      <c r="BH84" s="223"/>
      <c r="BI84" s="223"/>
      <c r="BJ84" s="223"/>
      <c r="BK84" s="223"/>
      <c r="BL84" s="223"/>
      <c r="BM84" s="223"/>
      <c r="BN84" s="223"/>
      <c r="BO84" s="223"/>
      <c r="BP84" s="223"/>
      <c r="BQ84" s="223"/>
      <c r="BR84" s="223"/>
      <c r="BS84" s="223"/>
      <c r="BT84" s="223"/>
      <c r="BU84" s="223"/>
      <c r="BV84" s="223"/>
      <c r="BW84" s="223"/>
      <c r="BX84" s="223"/>
      <c r="BY84" s="223"/>
      <c r="BZ84" s="223"/>
      <c r="CA84" s="223"/>
      <c r="CB84" s="223"/>
      <c r="CC84" s="223"/>
      <c r="CD84" s="223"/>
      <c r="CE84" s="223"/>
      <c r="CF84" s="223"/>
      <c r="CG84" s="223"/>
      <c r="CH84" s="223"/>
      <c r="CI84" s="223"/>
      <c r="CJ84" s="223"/>
      <c r="CK84" s="223"/>
      <c r="CL84" s="223"/>
      <c r="CM84" s="223"/>
      <c r="CN84" s="223"/>
      <c r="CO84" s="223"/>
      <c r="CP84" s="223"/>
      <c r="CQ84" s="223"/>
      <c r="CR84" s="223"/>
      <c r="CS84" s="223"/>
      <c r="CT84" s="223"/>
      <c r="CU84" s="223"/>
      <c r="CV84" s="223"/>
      <c r="CW84" s="223"/>
      <c r="CX84" s="223"/>
      <c r="CY84" s="223"/>
      <c r="CZ84" s="223"/>
      <c r="DA84" s="223"/>
      <c r="DB84" s="223"/>
      <c r="DC84" s="223"/>
      <c r="DD84" s="223"/>
      <c r="DE84" s="223"/>
      <c r="DF84" s="223"/>
      <c r="DG84" s="223"/>
      <c r="DH84" s="223"/>
      <c r="DI84" s="223"/>
      <c r="DJ84" s="223"/>
      <c r="DK84" s="223"/>
      <c r="DL84" s="223"/>
      <c r="DM84" s="223"/>
      <c r="DN84" s="223"/>
      <c r="DO84" s="223"/>
      <c r="DP84" s="223"/>
      <c r="DQ84" s="223"/>
      <c r="DR84" s="223"/>
      <c r="DS84" s="223"/>
      <c r="DT84" s="223"/>
      <c r="DU84" s="223"/>
      <c r="DV84" s="223"/>
      <c r="DW84" s="223"/>
      <c r="DX84" s="223"/>
      <c r="DY84" s="223"/>
      <c r="DZ84" s="48" t="s">
        <v>582</v>
      </c>
    </row>
    <row r="85" spans="2:130" x14ac:dyDescent="0.2">
      <c r="D85" s="3">
        <f t="shared" si="56"/>
        <v>0</v>
      </c>
      <c r="E85" s="3">
        <f t="shared" si="57"/>
        <v>0</v>
      </c>
      <c r="F85" s="3">
        <v>52</v>
      </c>
      <c r="G85" s="54"/>
      <c r="H85" s="54"/>
      <c r="I85" s="54"/>
      <c r="J85" s="54"/>
      <c r="AB85" s="65"/>
      <c r="AD85" s="65"/>
      <c r="AF85" s="65"/>
      <c r="AL85" s="4"/>
      <c r="AM85" s="4"/>
      <c r="AN85" s="4"/>
      <c r="AO85" s="4"/>
      <c r="AT85" s="65"/>
      <c r="AV85" s="3">
        <f t="shared" si="60"/>
        <v>0</v>
      </c>
      <c r="AW85" s="3">
        <f t="shared" si="58"/>
        <v>0</v>
      </c>
      <c r="AX85" s="3">
        <f t="shared" si="59"/>
        <v>0</v>
      </c>
      <c r="AY85" s="65"/>
      <c r="BA85" s="226">
        <v>80</v>
      </c>
      <c r="BB85" s="227"/>
      <c r="BC85" s="228"/>
      <c r="BD85" s="228"/>
      <c r="BE85" s="229"/>
      <c r="BF85" s="223"/>
      <c r="BG85" s="223"/>
      <c r="BH85" s="223"/>
      <c r="BI85" s="223"/>
      <c r="BJ85" s="223"/>
      <c r="BK85" s="223"/>
      <c r="BL85" s="223"/>
      <c r="BM85" s="223"/>
      <c r="BN85" s="223"/>
      <c r="BO85" s="223"/>
      <c r="BP85" s="223"/>
      <c r="BQ85" s="223"/>
      <c r="BR85" s="223"/>
      <c r="BS85" s="223"/>
      <c r="BT85" s="223"/>
      <c r="BU85" s="223"/>
      <c r="BV85" s="223"/>
      <c r="BW85" s="223"/>
      <c r="BX85" s="223"/>
      <c r="BY85" s="223"/>
      <c r="BZ85" s="223"/>
      <c r="CA85" s="223"/>
      <c r="CB85" s="223"/>
      <c r="CC85" s="223"/>
      <c r="CD85" s="223"/>
      <c r="CE85" s="223"/>
      <c r="CF85" s="223"/>
      <c r="CG85" s="223"/>
      <c r="CH85" s="223"/>
      <c r="CI85" s="223"/>
      <c r="CJ85" s="223"/>
      <c r="CK85" s="223"/>
      <c r="CL85" s="223"/>
      <c r="CM85" s="223"/>
      <c r="CN85" s="223"/>
      <c r="CO85" s="223"/>
      <c r="CP85" s="223"/>
      <c r="CQ85" s="223"/>
      <c r="CR85" s="223"/>
      <c r="CS85" s="223"/>
      <c r="CT85" s="223"/>
      <c r="CU85" s="223"/>
      <c r="CV85" s="223"/>
      <c r="CW85" s="223"/>
      <c r="CX85" s="223"/>
      <c r="CY85" s="223"/>
      <c r="CZ85" s="223"/>
      <c r="DA85" s="223"/>
      <c r="DB85" s="223"/>
      <c r="DC85" s="223"/>
      <c r="DD85" s="223"/>
      <c r="DE85" s="223"/>
      <c r="DF85" s="223"/>
      <c r="DG85" s="223"/>
      <c r="DH85" s="223"/>
      <c r="DI85" s="223"/>
      <c r="DJ85" s="223"/>
      <c r="DK85" s="223"/>
      <c r="DL85" s="223"/>
      <c r="DM85" s="223"/>
      <c r="DN85" s="223"/>
      <c r="DO85" s="223"/>
      <c r="DP85" s="223"/>
      <c r="DQ85" s="223"/>
      <c r="DR85" s="223"/>
      <c r="DS85" s="223"/>
      <c r="DT85" s="223"/>
      <c r="DU85" s="223"/>
      <c r="DV85" s="223"/>
      <c r="DW85" s="223"/>
      <c r="DX85" s="223"/>
      <c r="DY85" s="223"/>
      <c r="DZ85" s="51" t="s">
        <v>582</v>
      </c>
    </row>
    <row r="86" spans="2:130" x14ac:dyDescent="0.2">
      <c r="D86" s="3">
        <f t="shared" si="56"/>
        <v>0</v>
      </c>
      <c r="E86" s="3">
        <f t="shared" si="57"/>
        <v>0</v>
      </c>
      <c r="F86" s="3">
        <v>53</v>
      </c>
      <c r="G86" s="54"/>
      <c r="H86" s="54"/>
      <c r="I86" s="54"/>
      <c r="J86" s="54"/>
      <c r="AB86" s="65"/>
      <c r="AD86" s="65"/>
      <c r="AF86" s="65"/>
      <c r="AL86" s="4"/>
      <c r="AM86" s="4"/>
      <c r="AN86" s="4"/>
      <c r="AO86" s="4"/>
      <c r="AT86" s="65"/>
      <c r="AV86" s="3">
        <f t="shared" si="60"/>
        <v>0</v>
      </c>
      <c r="AW86" s="3">
        <f t="shared" si="58"/>
        <v>0</v>
      </c>
      <c r="AX86" s="3">
        <f t="shared" si="59"/>
        <v>0</v>
      </c>
      <c r="AY86" s="65"/>
      <c r="BA86" s="217">
        <v>81</v>
      </c>
      <c r="BB86" s="218" t="s">
        <v>48</v>
      </c>
      <c r="BC86" s="219">
        <v>36</v>
      </c>
      <c r="BD86" s="219">
        <v>4</v>
      </c>
      <c r="BE86" s="220">
        <v>6</v>
      </c>
      <c r="BF86" s="219" t="s">
        <v>116</v>
      </c>
      <c r="BG86" s="219" t="s">
        <v>120</v>
      </c>
      <c r="BH86" s="219" t="s">
        <v>120</v>
      </c>
      <c r="BI86" s="219" t="s">
        <v>120</v>
      </c>
      <c r="BJ86" s="219" t="s">
        <v>120</v>
      </c>
      <c r="BK86" s="219" t="s">
        <v>41</v>
      </c>
      <c r="BL86" s="219" t="s">
        <v>41</v>
      </c>
      <c r="BM86" s="219" t="s">
        <v>41</v>
      </c>
      <c r="BN86" s="219" t="s">
        <v>41</v>
      </c>
      <c r="BO86" s="219" t="s">
        <v>117</v>
      </c>
      <c r="BP86" s="219" t="s">
        <v>117</v>
      </c>
      <c r="BQ86" s="219" t="s">
        <v>117</v>
      </c>
      <c r="BR86" s="219" t="s">
        <v>117</v>
      </c>
      <c r="BS86" s="219" t="s">
        <v>116</v>
      </c>
      <c r="BT86" s="219" t="s">
        <v>65</v>
      </c>
      <c r="BU86" s="219" t="s">
        <v>65</v>
      </c>
      <c r="BV86" s="219" t="s">
        <v>46</v>
      </c>
      <c r="BW86" s="219" t="s">
        <v>46</v>
      </c>
      <c r="BX86" s="219" t="s">
        <v>116</v>
      </c>
      <c r="BY86" s="219" t="s">
        <v>120</v>
      </c>
      <c r="BZ86" s="219" t="s">
        <v>120</v>
      </c>
      <c r="CA86" s="219" t="s">
        <v>120</v>
      </c>
      <c r="CB86" s="219" t="s">
        <v>120</v>
      </c>
      <c r="CC86" s="219" t="s">
        <v>41</v>
      </c>
      <c r="CD86" s="219" t="s">
        <v>41</v>
      </c>
      <c r="CE86" s="219" t="s">
        <v>41</v>
      </c>
      <c r="CF86" s="219" t="s">
        <v>41</v>
      </c>
      <c r="CG86" s="219" t="s">
        <v>117</v>
      </c>
      <c r="CH86" s="219" t="s">
        <v>117</v>
      </c>
      <c r="CI86" s="219" t="s">
        <v>117</v>
      </c>
      <c r="CJ86" s="219" t="s">
        <v>117</v>
      </c>
      <c r="CK86" s="219" t="s">
        <v>116</v>
      </c>
      <c r="CL86" s="219" t="s">
        <v>65</v>
      </c>
      <c r="CM86" s="219" t="s">
        <v>65</v>
      </c>
      <c r="CN86" s="219" t="s">
        <v>46</v>
      </c>
      <c r="CO86" s="219" t="s">
        <v>46</v>
      </c>
      <c r="CP86" s="219"/>
      <c r="CQ86" s="219"/>
      <c r="CR86" s="219"/>
      <c r="CS86" s="219"/>
      <c r="CT86" s="219"/>
      <c r="CU86" s="219"/>
      <c r="CV86" s="219"/>
      <c r="CW86" s="219"/>
      <c r="CX86" s="219"/>
      <c r="CY86" s="219"/>
      <c r="CZ86" s="219"/>
      <c r="DA86" s="219"/>
      <c r="DB86" s="219"/>
      <c r="DC86" s="219"/>
      <c r="DD86" s="219"/>
      <c r="DE86" s="219"/>
      <c r="DF86" s="219"/>
      <c r="DG86" s="219"/>
      <c r="DH86" s="219"/>
      <c r="DI86" s="219"/>
      <c r="DJ86" s="219"/>
      <c r="DK86" s="219"/>
      <c r="DL86" s="219"/>
      <c r="DM86" s="219"/>
      <c r="DN86" s="219"/>
      <c r="DO86" s="219"/>
      <c r="DP86" s="219"/>
      <c r="DQ86" s="219"/>
      <c r="DR86" s="219"/>
      <c r="DS86" s="219"/>
      <c r="DT86" s="219"/>
      <c r="DU86" s="219"/>
      <c r="DV86" s="219"/>
      <c r="DW86" s="219"/>
      <c r="DX86" s="219"/>
      <c r="DY86" s="219"/>
      <c r="DZ86" s="45" t="s">
        <v>582</v>
      </c>
    </row>
    <row r="87" spans="2:130" x14ac:dyDescent="0.2">
      <c r="D87" s="3">
        <f t="shared" si="56"/>
        <v>0</v>
      </c>
      <c r="E87" s="3">
        <f t="shared" si="57"/>
        <v>0</v>
      </c>
      <c r="F87" s="3">
        <v>54</v>
      </c>
      <c r="G87" s="54"/>
      <c r="H87" s="54"/>
      <c r="I87" s="54"/>
      <c r="J87" s="54"/>
      <c r="AB87" s="65"/>
      <c r="AD87" s="65"/>
      <c r="AF87" s="65"/>
      <c r="AL87" s="4"/>
      <c r="AM87" s="4"/>
      <c r="AN87" s="4"/>
      <c r="AO87" s="4"/>
      <c r="AT87" s="65"/>
      <c r="AV87" s="3">
        <f t="shared" si="60"/>
        <v>0</v>
      </c>
      <c r="AW87" s="3">
        <f t="shared" si="58"/>
        <v>0</v>
      </c>
      <c r="AX87" s="3">
        <f t="shared" si="59"/>
        <v>0</v>
      </c>
      <c r="AY87" s="65"/>
      <c r="BA87" s="221">
        <v>82</v>
      </c>
      <c r="BB87" s="222" t="s">
        <v>50</v>
      </c>
      <c r="BC87" s="223"/>
      <c r="BD87" s="223"/>
      <c r="BE87" s="223"/>
      <c r="BF87" s="222" t="s">
        <v>46</v>
      </c>
      <c r="BG87" s="223" t="s">
        <v>41</v>
      </c>
      <c r="BH87" s="223" t="s">
        <v>120</v>
      </c>
      <c r="BI87" s="223" t="s">
        <v>120</v>
      </c>
      <c r="BJ87" s="223" t="s">
        <v>117</v>
      </c>
      <c r="BK87" s="223" t="s">
        <v>117</v>
      </c>
      <c r="BL87" s="223" t="s">
        <v>41</v>
      </c>
      <c r="BM87" s="223" t="s">
        <v>65</v>
      </c>
      <c r="BN87" s="223" t="s">
        <v>65</v>
      </c>
      <c r="BO87" s="223" t="s">
        <v>65</v>
      </c>
      <c r="BP87" s="223" t="s">
        <v>65</v>
      </c>
      <c r="BQ87" s="223" t="s">
        <v>116</v>
      </c>
      <c r="BR87" s="223" t="s">
        <v>116</v>
      </c>
      <c r="BS87" s="223" t="s">
        <v>116</v>
      </c>
      <c r="BT87" s="223" t="s">
        <v>116</v>
      </c>
      <c r="BU87" s="223" t="s">
        <v>46</v>
      </c>
      <c r="BV87" s="223" t="s">
        <v>46</v>
      </c>
      <c r="BW87" s="223" t="s">
        <v>46</v>
      </c>
      <c r="BX87" s="223" t="s">
        <v>46</v>
      </c>
      <c r="BY87" s="223" t="s">
        <v>41</v>
      </c>
      <c r="BZ87" s="223" t="s">
        <v>120</v>
      </c>
      <c r="CA87" s="223" t="s">
        <v>120</v>
      </c>
      <c r="CB87" s="223" t="s">
        <v>117</v>
      </c>
      <c r="CC87" s="223" t="s">
        <v>117</v>
      </c>
      <c r="CD87" s="223" t="s">
        <v>41</v>
      </c>
      <c r="CE87" s="223" t="s">
        <v>65</v>
      </c>
      <c r="CF87" s="223" t="s">
        <v>65</v>
      </c>
      <c r="CG87" s="223" t="s">
        <v>65</v>
      </c>
      <c r="CH87" s="223" t="s">
        <v>65</v>
      </c>
      <c r="CI87" s="223" t="s">
        <v>116</v>
      </c>
      <c r="CJ87" s="223" t="s">
        <v>116</v>
      </c>
      <c r="CK87" s="223" t="s">
        <v>116</v>
      </c>
      <c r="CL87" s="223" t="s">
        <v>116</v>
      </c>
      <c r="CM87" s="223" t="s">
        <v>46</v>
      </c>
      <c r="CN87" s="223" t="s">
        <v>46</v>
      </c>
      <c r="CO87" s="223" t="s">
        <v>46</v>
      </c>
      <c r="CP87" s="223"/>
      <c r="CQ87" s="223"/>
      <c r="CR87" s="223"/>
      <c r="CS87" s="223"/>
      <c r="CT87" s="223"/>
      <c r="CU87" s="223"/>
      <c r="CV87" s="223"/>
      <c r="CW87" s="223"/>
      <c r="CX87" s="223"/>
      <c r="CY87" s="223"/>
      <c r="CZ87" s="223"/>
      <c r="DA87" s="223"/>
      <c r="DB87" s="223"/>
      <c r="DC87" s="223"/>
      <c r="DD87" s="223"/>
      <c r="DE87" s="223"/>
      <c r="DF87" s="223"/>
      <c r="DG87" s="223"/>
      <c r="DH87" s="223"/>
      <c r="DI87" s="223"/>
      <c r="DJ87" s="223"/>
      <c r="DK87" s="223"/>
      <c r="DL87" s="223"/>
      <c r="DM87" s="223"/>
      <c r="DN87" s="223"/>
      <c r="DO87" s="223"/>
      <c r="DP87" s="223"/>
      <c r="DQ87" s="223"/>
      <c r="DR87" s="223"/>
      <c r="DS87" s="223"/>
      <c r="DT87" s="223"/>
      <c r="DU87" s="223"/>
      <c r="DV87" s="223"/>
      <c r="DW87" s="223"/>
      <c r="DX87" s="223"/>
      <c r="DY87" s="223"/>
      <c r="DZ87" s="48" t="s">
        <v>582</v>
      </c>
    </row>
    <row r="88" spans="2:130" x14ac:dyDescent="0.2">
      <c r="D88" s="3">
        <f t="shared" si="56"/>
        <v>0</v>
      </c>
      <c r="E88" s="3">
        <f t="shared" si="57"/>
        <v>0</v>
      </c>
      <c r="F88" s="3">
        <v>55</v>
      </c>
      <c r="G88" s="54"/>
      <c r="H88" s="54"/>
      <c r="I88" s="54"/>
      <c r="J88" s="54"/>
      <c r="AB88" s="65"/>
      <c r="AD88" s="65"/>
      <c r="AF88" s="65"/>
      <c r="AL88" s="4"/>
      <c r="AM88" s="4"/>
      <c r="AN88" s="4"/>
      <c r="AO88" s="4"/>
      <c r="AT88" s="65"/>
      <c r="AV88" s="3">
        <f t="shared" si="60"/>
        <v>0</v>
      </c>
      <c r="AW88" s="3">
        <f t="shared" si="58"/>
        <v>0</v>
      </c>
      <c r="AX88" s="3">
        <f t="shared" si="59"/>
        <v>0</v>
      </c>
      <c r="AY88" s="65"/>
      <c r="BA88" s="221">
        <v>83</v>
      </c>
      <c r="BB88" s="222"/>
      <c r="BC88" s="223"/>
      <c r="BD88" s="223"/>
      <c r="BE88" s="224"/>
      <c r="BF88" s="223"/>
      <c r="BG88" s="223"/>
      <c r="BH88" s="223"/>
      <c r="BI88" s="223"/>
      <c r="BJ88" s="223"/>
      <c r="BK88" s="223"/>
      <c r="BL88" s="223"/>
      <c r="BM88" s="223"/>
      <c r="BN88" s="223"/>
      <c r="BO88" s="223"/>
      <c r="BP88" s="223"/>
      <c r="BQ88" s="223"/>
      <c r="BR88" s="223"/>
      <c r="BS88" s="223"/>
      <c r="BT88" s="223"/>
      <c r="BU88" s="223"/>
      <c r="BV88" s="223"/>
      <c r="BW88" s="223"/>
      <c r="BX88" s="223"/>
      <c r="BY88" s="223"/>
      <c r="BZ88" s="223"/>
      <c r="CA88" s="223"/>
      <c r="CB88" s="223"/>
      <c r="CC88" s="223"/>
      <c r="CD88" s="223"/>
      <c r="CE88" s="223"/>
      <c r="CF88" s="223"/>
      <c r="CG88" s="223"/>
      <c r="CH88" s="223"/>
      <c r="CI88" s="223"/>
      <c r="CJ88" s="223"/>
      <c r="CK88" s="223"/>
      <c r="CL88" s="223"/>
      <c r="CM88" s="223"/>
      <c r="CN88" s="223"/>
      <c r="CO88" s="223"/>
      <c r="CP88" s="223"/>
      <c r="CQ88" s="223"/>
      <c r="CR88" s="223"/>
      <c r="CS88" s="223"/>
      <c r="CT88" s="223"/>
      <c r="CU88" s="223"/>
      <c r="CV88" s="223"/>
      <c r="CW88" s="223"/>
      <c r="CX88" s="223"/>
      <c r="CY88" s="223"/>
      <c r="CZ88" s="223"/>
      <c r="DA88" s="223"/>
      <c r="DB88" s="223"/>
      <c r="DC88" s="223"/>
      <c r="DD88" s="223"/>
      <c r="DE88" s="223"/>
      <c r="DF88" s="223"/>
      <c r="DG88" s="223"/>
      <c r="DH88" s="223"/>
      <c r="DI88" s="223"/>
      <c r="DJ88" s="223"/>
      <c r="DK88" s="223"/>
      <c r="DL88" s="223"/>
      <c r="DM88" s="223"/>
      <c r="DN88" s="223"/>
      <c r="DO88" s="223"/>
      <c r="DP88" s="223"/>
      <c r="DQ88" s="223"/>
      <c r="DR88" s="223"/>
      <c r="DS88" s="223"/>
      <c r="DT88" s="223"/>
      <c r="DU88" s="223"/>
      <c r="DV88" s="223"/>
      <c r="DW88" s="223"/>
      <c r="DX88" s="223"/>
      <c r="DY88" s="223"/>
      <c r="DZ88" s="48" t="s">
        <v>582</v>
      </c>
    </row>
    <row r="89" spans="2:130" x14ac:dyDescent="0.2">
      <c r="D89" s="3">
        <f t="shared" si="56"/>
        <v>0</v>
      </c>
      <c r="E89" s="3">
        <f t="shared" si="57"/>
        <v>0</v>
      </c>
      <c r="F89" s="3">
        <v>56</v>
      </c>
      <c r="G89" s="54"/>
      <c r="H89" s="54"/>
      <c r="I89" s="54"/>
      <c r="J89" s="54"/>
      <c r="AB89" s="65"/>
      <c r="AD89" s="65"/>
      <c r="AF89" s="65"/>
      <c r="AL89" s="4"/>
      <c r="AM89" s="4"/>
      <c r="AN89" s="4"/>
      <c r="AO89" s="4"/>
      <c r="AT89" s="65"/>
      <c r="AV89" s="3">
        <f t="shared" si="60"/>
        <v>0</v>
      </c>
      <c r="AW89" s="3">
        <f t="shared" si="58"/>
        <v>0</v>
      </c>
      <c r="AX89" s="3">
        <f t="shared" si="59"/>
        <v>0</v>
      </c>
      <c r="AY89" s="65"/>
      <c r="BA89" s="226">
        <v>84</v>
      </c>
      <c r="BB89" s="227"/>
      <c r="BC89" s="228"/>
      <c r="BD89" s="228"/>
      <c r="BE89" s="229"/>
      <c r="BF89" s="223"/>
      <c r="BG89" s="223"/>
      <c r="BH89" s="223"/>
      <c r="BI89" s="223"/>
      <c r="BJ89" s="223"/>
      <c r="BK89" s="223"/>
      <c r="BL89" s="223"/>
      <c r="BM89" s="223"/>
      <c r="BN89" s="223"/>
      <c r="BO89" s="223"/>
      <c r="BP89" s="223"/>
      <c r="BQ89" s="223"/>
      <c r="BR89" s="223"/>
      <c r="BS89" s="223"/>
      <c r="BT89" s="223"/>
      <c r="BU89" s="223"/>
      <c r="BV89" s="223"/>
      <c r="BW89" s="223"/>
      <c r="BX89" s="223"/>
      <c r="BY89" s="223"/>
      <c r="BZ89" s="223"/>
      <c r="CA89" s="223"/>
      <c r="CB89" s="223"/>
      <c r="CC89" s="223"/>
      <c r="CD89" s="223"/>
      <c r="CE89" s="223"/>
      <c r="CF89" s="223"/>
      <c r="CG89" s="223"/>
      <c r="CH89" s="223"/>
      <c r="CI89" s="223"/>
      <c r="CJ89" s="223"/>
      <c r="CK89" s="223"/>
      <c r="CL89" s="223"/>
      <c r="CM89" s="223"/>
      <c r="CN89" s="223"/>
      <c r="CO89" s="223"/>
      <c r="CP89" s="223"/>
      <c r="CQ89" s="223"/>
      <c r="CR89" s="223"/>
      <c r="CS89" s="223"/>
      <c r="CT89" s="223"/>
      <c r="CU89" s="223"/>
      <c r="CV89" s="223"/>
      <c r="CW89" s="223"/>
      <c r="CX89" s="223"/>
      <c r="CY89" s="223"/>
      <c r="CZ89" s="223"/>
      <c r="DA89" s="223"/>
      <c r="DB89" s="223"/>
      <c r="DC89" s="223"/>
      <c r="DD89" s="223"/>
      <c r="DE89" s="223"/>
      <c r="DF89" s="223"/>
      <c r="DG89" s="223"/>
      <c r="DH89" s="223"/>
      <c r="DI89" s="223"/>
      <c r="DJ89" s="223"/>
      <c r="DK89" s="223"/>
      <c r="DL89" s="223"/>
      <c r="DM89" s="223"/>
      <c r="DN89" s="223"/>
      <c r="DO89" s="223"/>
      <c r="DP89" s="223"/>
      <c r="DQ89" s="223"/>
      <c r="DR89" s="223"/>
      <c r="DS89" s="223"/>
      <c r="DT89" s="223"/>
      <c r="DU89" s="223"/>
      <c r="DV89" s="223"/>
      <c r="DW89" s="223"/>
      <c r="DX89" s="223"/>
      <c r="DY89" s="223"/>
      <c r="DZ89" s="51" t="s">
        <v>582</v>
      </c>
    </row>
    <row r="90" spans="2:130" x14ac:dyDescent="0.2">
      <c r="D90" s="3">
        <f t="shared" si="56"/>
        <v>0</v>
      </c>
      <c r="E90" s="3">
        <f t="shared" si="57"/>
        <v>0</v>
      </c>
      <c r="F90" s="3">
        <v>57</v>
      </c>
      <c r="G90" s="54"/>
      <c r="H90" s="54"/>
      <c r="I90" s="54"/>
      <c r="J90" s="54"/>
      <c r="AB90" s="65"/>
      <c r="AD90" s="65"/>
      <c r="AF90" s="65"/>
      <c r="AL90" s="4"/>
      <c r="AM90" s="4"/>
      <c r="AN90" s="4"/>
      <c r="AO90" s="4"/>
      <c r="AT90" s="65"/>
      <c r="AV90" s="3">
        <f t="shared" si="60"/>
        <v>0</v>
      </c>
      <c r="AW90" s="3">
        <f t="shared" si="58"/>
        <v>0</v>
      </c>
      <c r="AX90" s="3">
        <f t="shared" si="59"/>
        <v>0</v>
      </c>
      <c r="AY90" s="65"/>
      <c r="BA90" s="217">
        <v>85</v>
      </c>
      <c r="BB90" s="218" t="s">
        <v>308</v>
      </c>
      <c r="BC90" s="219">
        <v>36</v>
      </c>
      <c r="BD90" s="219">
        <v>8</v>
      </c>
      <c r="BE90" s="220">
        <v>5</v>
      </c>
      <c r="BF90" s="218" t="s">
        <v>116</v>
      </c>
      <c r="BG90" s="219" t="s">
        <v>46</v>
      </c>
      <c r="BH90" s="219" t="s">
        <v>65</v>
      </c>
      <c r="BI90" s="219" t="s">
        <v>117</v>
      </c>
      <c r="BJ90" s="219" t="s">
        <v>117</v>
      </c>
      <c r="BK90" s="219" t="s">
        <v>41</v>
      </c>
      <c r="BL90" s="219" t="s">
        <v>120</v>
      </c>
      <c r="BM90" s="219" t="s">
        <v>120</v>
      </c>
      <c r="BN90" s="219" t="s">
        <v>46</v>
      </c>
      <c r="BO90" s="219" t="s">
        <v>46</v>
      </c>
      <c r="BP90" s="219" t="s">
        <v>116</v>
      </c>
      <c r="BQ90" s="219" t="s">
        <v>116</v>
      </c>
      <c r="BR90" s="219" t="s">
        <v>65</v>
      </c>
      <c r="BS90" s="219" t="s">
        <v>65</v>
      </c>
      <c r="BT90" s="219" t="s">
        <v>117</v>
      </c>
      <c r="BU90" s="219" t="s">
        <v>41</v>
      </c>
      <c r="BV90" s="219" t="s">
        <v>41</v>
      </c>
      <c r="BW90" s="219" t="s">
        <v>120</v>
      </c>
      <c r="BX90" s="219" t="s">
        <v>116</v>
      </c>
      <c r="BY90" s="219" t="s">
        <v>46</v>
      </c>
      <c r="BZ90" s="219" t="s">
        <v>65</v>
      </c>
      <c r="CA90" s="219" t="s">
        <v>117</v>
      </c>
      <c r="CB90" s="219" t="s">
        <v>117</v>
      </c>
      <c r="CC90" s="219" t="s">
        <v>41</v>
      </c>
      <c r="CD90" s="219" t="s">
        <v>120</v>
      </c>
      <c r="CE90" s="219" t="s">
        <v>120</v>
      </c>
      <c r="CF90" s="219" t="s">
        <v>117</v>
      </c>
      <c r="CG90" s="219" t="s">
        <v>117</v>
      </c>
      <c r="CH90" s="219" t="s">
        <v>116</v>
      </c>
      <c r="CI90" s="219" t="s">
        <v>116</v>
      </c>
      <c r="CJ90" s="219" t="s">
        <v>65</v>
      </c>
      <c r="CK90" s="219" t="s">
        <v>65</v>
      </c>
      <c r="CL90" s="219" t="s">
        <v>117</v>
      </c>
      <c r="CM90" s="219" t="s">
        <v>41</v>
      </c>
      <c r="CN90" s="219" t="s">
        <v>41</v>
      </c>
      <c r="CO90" s="219" t="s">
        <v>120</v>
      </c>
      <c r="CP90" s="219"/>
      <c r="CQ90" s="219"/>
      <c r="CR90" s="219"/>
      <c r="CS90" s="219"/>
      <c r="CT90" s="219"/>
      <c r="CU90" s="219"/>
      <c r="CV90" s="219"/>
      <c r="CW90" s="219"/>
      <c r="CX90" s="219"/>
      <c r="CY90" s="219"/>
      <c r="CZ90" s="219"/>
      <c r="DA90" s="219"/>
      <c r="DB90" s="219"/>
      <c r="DC90" s="219"/>
      <c r="DD90" s="219"/>
      <c r="DE90" s="219"/>
      <c r="DF90" s="219"/>
      <c r="DG90" s="219"/>
      <c r="DH90" s="219"/>
      <c r="DI90" s="219"/>
      <c r="DJ90" s="219"/>
      <c r="DK90" s="219"/>
      <c r="DL90" s="219"/>
      <c r="DM90" s="219"/>
      <c r="DN90" s="219"/>
      <c r="DO90" s="219"/>
      <c r="DP90" s="219"/>
      <c r="DQ90" s="219"/>
      <c r="DR90" s="219"/>
      <c r="DS90" s="219"/>
      <c r="DT90" s="219"/>
      <c r="DU90" s="219"/>
      <c r="DV90" s="219"/>
      <c r="DW90" s="219"/>
      <c r="DX90" s="219"/>
      <c r="DY90" s="219"/>
      <c r="DZ90" s="45" t="s">
        <v>582</v>
      </c>
    </row>
    <row r="91" spans="2:130" x14ac:dyDescent="0.2">
      <c r="D91" s="3">
        <f t="shared" si="56"/>
        <v>0</v>
      </c>
      <c r="E91" s="3">
        <f t="shared" si="57"/>
        <v>0</v>
      </c>
      <c r="F91" s="3">
        <v>58</v>
      </c>
      <c r="G91" s="54"/>
      <c r="H91" s="54"/>
      <c r="I91" s="54"/>
      <c r="J91" s="54"/>
      <c r="AB91" s="65"/>
      <c r="AD91" s="65"/>
      <c r="AF91" s="65"/>
      <c r="AL91" s="4"/>
      <c r="AM91" s="4"/>
      <c r="AN91" s="4"/>
      <c r="AO91" s="4"/>
      <c r="AT91" s="65"/>
      <c r="AV91" s="3">
        <f t="shared" si="60"/>
        <v>0</v>
      </c>
      <c r="AW91" s="3">
        <f t="shared" si="58"/>
        <v>0</v>
      </c>
      <c r="AX91" s="3">
        <f t="shared" si="59"/>
        <v>0</v>
      </c>
      <c r="AY91" s="65"/>
      <c r="BA91" s="221">
        <v>86</v>
      </c>
      <c r="BB91" s="222" t="s">
        <v>309</v>
      </c>
      <c r="BC91" s="223"/>
      <c r="BD91" s="223"/>
      <c r="BE91" s="224"/>
      <c r="BF91" s="222" t="s">
        <v>116</v>
      </c>
      <c r="BG91" s="223" t="s">
        <v>46</v>
      </c>
      <c r="BH91" s="223" t="s">
        <v>65</v>
      </c>
      <c r="BI91" s="223" t="s">
        <v>117</v>
      </c>
      <c r="BJ91" s="223" t="s">
        <v>117</v>
      </c>
      <c r="BK91" s="223" t="s">
        <v>41</v>
      </c>
      <c r="BL91" s="223" t="s">
        <v>120</v>
      </c>
      <c r="BM91" s="223" t="s">
        <v>120</v>
      </c>
      <c r="BN91" s="223" t="s">
        <v>46</v>
      </c>
      <c r="BO91" s="223" t="s">
        <v>46</v>
      </c>
      <c r="BP91" s="223" t="s">
        <v>116</v>
      </c>
      <c r="BQ91" s="223" t="s">
        <v>116</v>
      </c>
      <c r="BR91" s="223" t="s">
        <v>65</v>
      </c>
      <c r="BS91" s="223" t="s">
        <v>65</v>
      </c>
      <c r="BT91" s="223" t="s">
        <v>117</v>
      </c>
      <c r="BU91" s="223" t="s">
        <v>41</v>
      </c>
      <c r="BV91" s="223" t="s">
        <v>41</v>
      </c>
      <c r="BW91" s="223" t="s">
        <v>120</v>
      </c>
      <c r="BX91" s="223" t="s">
        <v>116</v>
      </c>
      <c r="BY91" s="223" t="s">
        <v>46</v>
      </c>
      <c r="BZ91" s="223" t="s">
        <v>65</v>
      </c>
      <c r="CA91" s="223" t="s">
        <v>117</v>
      </c>
      <c r="CB91" s="223" t="s">
        <v>117</v>
      </c>
      <c r="CC91" s="223" t="s">
        <v>41</v>
      </c>
      <c r="CD91" s="223" t="s">
        <v>120</v>
      </c>
      <c r="CE91" s="223" t="s">
        <v>120</v>
      </c>
      <c r="CF91" s="223" t="s">
        <v>117</v>
      </c>
      <c r="CG91" s="223" t="s">
        <v>117</v>
      </c>
      <c r="CH91" s="223" t="s">
        <v>116</v>
      </c>
      <c r="CI91" s="223" t="s">
        <v>116</v>
      </c>
      <c r="CJ91" s="223" t="s">
        <v>65</v>
      </c>
      <c r="CK91" s="223" t="s">
        <v>65</v>
      </c>
      <c r="CL91" s="223" t="s">
        <v>117</v>
      </c>
      <c r="CM91" s="223" t="s">
        <v>41</v>
      </c>
      <c r="CN91" s="223" t="s">
        <v>41</v>
      </c>
      <c r="CO91" s="223" t="s">
        <v>120</v>
      </c>
      <c r="CP91" s="223"/>
      <c r="CQ91" s="223"/>
      <c r="CR91" s="223"/>
      <c r="CS91" s="223"/>
      <c r="CT91" s="223"/>
      <c r="CU91" s="223"/>
      <c r="CV91" s="223"/>
      <c r="CW91" s="223"/>
      <c r="CX91" s="223"/>
      <c r="CY91" s="223"/>
      <c r="CZ91" s="223"/>
      <c r="DA91" s="223"/>
      <c r="DB91" s="223"/>
      <c r="DC91" s="223"/>
      <c r="DD91" s="223"/>
      <c r="DE91" s="223"/>
      <c r="DF91" s="223"/>
      <c r="DG91" s="223"/>
      <c r="DH91" s="223"/>
      <c r="DI91" s="223"/>
      <c r="DJ91" s="223"/>
      <c r="DK91" s="223"/>
      <c r="DL91" s="223"/>
      <c r="DM91" s="223"/>
      <c r="DN91" s="223"/>
      <c r="DO91" s="223"/>
      <c r="DP91" s="223"/>
      <c r="DQ91" s="223"/>
      <c r="DR91" s="223"/>
      <c r="DS91" s="223"/>
      <c r="DT91" s="223"/>
      <c r="DU91" s="223"/>
      <c r="DV91" s="223"/>
      <c r="DW91" s="223"/>
      <c r="DX91" s="223"/>
      <c r="DY91" s="223"/>
      <c r="DZ91" s="48" t="s">
        <v>582</v>
      </c>
    </row>
    <row r="92" spans="2:130" x14ac:dyDescent="0.2">
      <c r="D92" s="3">
        <f t="shared" si="56"/>
        <v>0</v>
      </c>
      <c r="E92" s="3">
        <f t="shared" si="57"/>
        <v>0</v>
      </c>
      <c r="F92" s="3">
        <v>59</v>
      </c>
      <c r="G92" s="54"/>
      <c r="H92" s="54"/>
      <c r="I92" s="54"/>
      <c r="J92" s="54"/>
      <c r="AB92" s="65"/>
      <c r="AD92" s="65"/>
      <c r="AF92" s="65"/>
      <c r="AL92" s="4"/>
      <c r="AM92" s="4"/>
      <c r="AN92" s="4"/>
      <c r="AO92" s="4"/>
      <c r="AT92" s="65"/>
      <c r="AV92" s="3">
        <f t="shared" si="60"/>
        <v>0</v>
      </c>
      <c r="AW92" s="3">
        <f t="shared" si="58"/>
        <v>0</v>
      </c>
      <c r="AX92" s="3">
        <f t="shared" si="59"/>
        <v>0</v>
      </c>
      <c r="AY92" s="65"/>
      <c r="BA92" s="221">
        <v>87</v>
      </c>
      <c r="BB92" s="222"/>
      <c r="BC92" s="223"/>
      <c r="BD92" s="223"/>
      <c r="BE92" s="224"/>
      <c r="BF92" s="223"/>
      <c r="BG92" s="223"/>
      <c r="BH92" s="223"/>
      <c r="BI92" s="223"/>
      <c r="BJ92" s="223"/>
      <c r="BK92" s="223"/>
      <c r="BL92" s="223"/>
      <c r="BM92" s="223"/>
      <c r="BN92" s="223"/>
      <c r="BO92" s="223"/>
      <c r="BP92" s="223"/>
      <c r="BQ92" s="223"/>
      <c r="BR92" s="223"/>
      <c r="BS92" s="223"/>
      <c r="BT92" s="223"/>
      <c r="BU92" s="223"/>
      <c r="BV92" s="223"/>
      <c r="BW92" s="223"/>
      <c r="BX92" s="223"/>
      <c r="BY92" s="223"/>
      <c r="BZ92" s="223"/>
      <c r="CA92" s="223"/>
      <c r="CB92" s="223"/>
      <c r="CC92" s="223"/>
      <c r="CD92" s="223"/>
      <c r="CE92" s="223"/>
      <c r="CF92" s="223"/>
      <c r="CG92" s="223"/>
      <c r="CH92" s="223"/>
      <c r="CI92" s="223"/>
      <c r="CJ92" s="223"/>
      <c r="CK92" s="223"/>
      <c r="CL92" s="223"/>
      <c r="CM92" s="223"/>
      <c r="CN92" s="223"/>
      <c r="CO92" s="223"/>
      <c r="CP92" s="223"/>
      <c r="CQ92" s="223"/>
      <c r="CR92" s="223"/>
      <c r="CS92" s="223"/>
      <c r="CT92" s="223"/>
      <c r="CU92" s="223"/>
      <c r="CV92" s="223"/>
      <c r="CW92" s="223"/>
      <c r="CX92" s="223"/>
      <c r="CY92" s="223"/>
      <c r="CZ92" s="223"/>
      <c r="DA92" s="223"/>
      <c r="DB92" s="223"/>
      <c r="DC92" s="223"/>
      <c r="DD92" s="223"/>
      <c r="DE92" s="223"/>
      <c r="DF92" s="223"/>
      <c r="DG92" s="223"/>
      <c r="DH92" s="223"/>
      <c r="DI92" s="223"/>
      <c r="DJ92" s="223"/>
      <c r="DK92" s="223"/>
      <c r="DL92" s="223"/>
      <c r="DM92" s="223"/>
      <c r="DN92" s="223"/>
      <c r="DO92" s="223"/>
      <c r="DP92" s="223"/>
      <c r="DQ92" s="223"/>
      <c r="DR92" s="223"/>
      <c r="DS92" s="223"/>
      <c r="DT92" s="223"/>
      <c r="DU92" s="223"/>
      <c r="DV92" s="223"/>
      <c r="DW92" s="223"/>
      <c r="DX92" s="223"/>
      <c r="DY92" s="223"/>
      <c r="DZ92" s="48" t="s">
        <v>582</v>
      </c>
    </row>
    <row r="93" spans="2:130" x14ac:dyDescent="0.2">
      <c r="D93" s="3">
        <f t="shared" si="56"/>
        <v>0</v>
      </c>
      <c r="E93" s="3">
        <f t="shared" si="57"/>
        <v>0</v>
      </c>
      <c r="F93" s="3">
        <v>60</v>
      </c>
      <c r="G93" s="54"/>
      <c r="H93" s="54"/>
      <c r="I93" s="54"/>
      <c r="J93" s="54"/>
      <c r="AB93" s="65"/>
      <c r="AD93" s="65"/>
      <c r="AF93" s="65"/>
      <c r="AL93" s="4"/>
      <c r="AM93" s="4"/>
      <c r="AN93" s="4"/>
      <c r="AO93" s="4"/>
      <c r="AT93" s="65"/>
      <c r="AV93" s="3">
        <f t="shared" si="60"/>
        <v>0</v>
      </c>
      <c r="AW93" s="3">
        <f t="shared" si="58"/>
        <v>0</v>
      </c>
      <c r="AX93" s="3">
        <f t="shared" si="59"/>
        <v>0</v>
      </c>
      <c r="AY93" s="65"/>
      <c r="BA93" s="226">
        <v>88</v>
      </c>
      <c r="BB93" s="227"/>
      <c r="BC93" s="228"/>
      <c r="BD93" s="228"/>
      <c r="BE93" s="229"/>
      <c r="BF93" s="223"/>
      <c r="BG93" s="223"/>
      <c r="BH93" s="223"/>
      <c r="BI93" s="223"/>
      <c r="BJ93" s="223"/>
      <c r="BK93" s="223"/>
      <c r="BL93" s="223"/>
      <c r="BM93" s="223"/>
      <c r="BN93" s="223"/>
      <c r="BO93" s="223"/>
      <c r="BP93" s="223"/>
      <c r="BQ93" s="223"/>
      <c r="BR93" s="223"/>
      <c r="BS93" s="223"/>
      <c r="BT93" s="223"/>
      <c r="BU93" s="223"/>
      <c r="BV93" s="223"/>
      <c r="BW93" s="223"/>
      <c r="BX93" s="223"/>
      <c r="BY93" s="223"/>
      <c r="BZ93" s="223"/>
      <c r="CA93" s="223"/>
      <c r="CB93" s="223"/>
      <c r="CC93" s="223"/>
      <c r="CD93" s="223"/>
      <c r="CE93" s="223"/>
      <c r="CF93" s="223"/>
      <c r="CG93" s="223"/>
      <c r="CH93" s="223"/>
      <c r="CI93" s="223"/>
      <c r="CJ93" s="223"/>
      <c r="CK93" s="223"/>
      <c r="CL93" s="223"/>
      <c r="CM93" s="223"/>
      <c r="CN93" s="223"/>
      <c r="CO93" s="223"/>
      <c r="CP93" s="223"/>
      <c r="CQ93" s="223"/>
      <c r="CR93" s="223"/>
      <c r="CS93" s="223"/>
      <c r="CT93" s="223"/>
      <c r="CU93" s="223"/>
      <c r="CV93" s="223"/>
      <c r="CW93" s="223"/>
      <c r="CX93" s="223"/>
      <c r="CY93" s="223"/>
      <c r="CZ93" s="223"/>
      <c r="DA93" s="223"/>
      <c r="DB93" s="223"/>
      <c r="DC93" s="223"/>
      <c r="DD93" s="223"/>
      <c r="DE93" s="223"/>
      <c r="DF93" s="223"/>
      <c r="DG93" s="223"/>
      <c r="DH93" s="223"/>
      <c r="DI93" s="223"/>
      <c r="DJ93" s="223"/>
      <c r="DK93" s="223"/>
      <c r="DL93" s="223"/>
      <c r="DM93" s="223"/>
      <c r="DN93" s="223"/>
      <c r="DO93" s="223"/>
      <c r="DP93" s="223"/>
      <c r="DQ93" s="223"/>
      <c r="DR93" s="223"/>
      <c r="DS93" s="223"/>
      <c r="DT93" s="223"/>
      <c r="DU93" s="223"/>
      <c r="DV93" s="223"/>
      <c r="DW93" s="223"/>
      <c r="DX93" s="223"/>
      <c r="DY93" s="223"/>
      <c r="DZ93" s="51" t="s">
        <v>582</v>
      </c>
    </row>
    <row r="94" spans="2:130" x14ac:dyDescent="0.2">
      <c r="D94" s="3">
        <f t="shared" si="56"/>
        <v>0</v>
      </c>
      <c r="E94" s="3">
        <f t="shared" si="57"/>
        <v>0</v>
      </c>
      <c r="F94" s="3">
        <v>61</v>
      </c>
      <c r="G94" s="54"/>
      <c r="H94" s="54"/>
      <c r="I94" s="54"/>
      <c r="J94" s="54"/>
      <c r="AB94" s="65"/>
      <c r="AD94" s="65"/>
      <c r="AF94" s="65"/>
      <c r="AL94" s="4"/>
      <c r="AM94" s="4"/>
      <c r="AN94" s="4"/>
      <c r="AO94" s="4"/>
      <c r="AT94" s="65"/>
      <c r="AV94" s="3">
        <f t="shared" si="60"/>
        <v>0</v>
      </c>
      <c r="AW94" s="3">
        <f t="shared" si="58"/>
        <v>0</v>
      </c>
      <c r="AX94" s="3">
        <f t="shared" si="59"/>
        <v>0</v>
      </c>
      <c r="AY94" s="65"/>
      <c r="BA94" s="217">
        <v>89</v>
      </c>
      <c r="BB94" s="218" t="s">
        <v>311</v>
      </c>
      <c r="BC94" s="219">
        <v>36</v>
      </c>
      <c r="BD94" s="219">
        <v>6</v>
      </c>
      <c r="BE94" s="220">
        <v>5</v>
      </c>
      <c r="BF94" s="218" t="s">
        <v>116</v>
      </c>
      <c r="BG94" s="219" t="s">
        <v>117</v>
      </c>
      <c r="BH94" s="219" t="s">
        <v>65</v>
      </c>
      <c r="BI94" s="219" t="s">
        <v>117</v>
      </c>
      <c r="BJ94" s="219" t="s">
        <v>117</v>
      </c>
      <c r="BK94" s="219" t="s">
        <v>41</v>
      </c>
      <c r="BL94" s="219" t="s">
        <v>120</v>
      </c>
      <c r="BM94" s="219" t="s">
        <v>120</v>
      </c>
      <c r="BN94" s="219" t="s">
        <v>46</v>
      </c>
      <c r="BO94" s="219" t="s">
        <v>46</v>
      </c>
      <c r="BP94" s="219" t="s">
        <v>116</v>
      </c>
      <c r="BQ94" s="219" t="s">
        <v>116</v>
      </c>
      <c r="BR94" s="219" t="s">
        <v>65</v>
      </c>
      <c r="BS94" s="219" t="s">
        <v>65</v>
      </c>
      <c r="BT94" s="219" t="s">
        <v>117</v>
      </c>
      <c r="BU94" s="219" t="s">
        <v>41</v>
      </c>
      <c r="BV94" s="219" t="s">
        <v>41</v>
      </c>
      <c r="BW94" s="219" t="s">
        <v>120</v>
      </c>
      <c r="BX94" s="219" t="s">
        <v>41</v>
      </c>
      <c r="BY94" s="219" t="s">
        <v>46</v>
      </c>
      <c r="BZ94" s="219" t="s">
        <v>65</v>
      </c>
      <c r="CA94" s="219" t="s">
        <v>46</v>
      </c>
      <c r="CB94" s="219" t="s">
        <v>46</v>
      </c>
      <c r="CC94" s="219" t="s">
        <v>116</v>
      </c>
      <c r="CD94" s="219" t="s">
        <v>120</v>
      </c>
      <c r="CE94" s="219" t="s">
        <v>65</v>
      </c>
      <c r="CF94" s="219" t="s">
        <v>46</v>
      </c>
      <c r="CG94" s="219" t="s">
        <v>46</v>
      </c>
      <c r="CH94" s="219" t="s">
        <v>41</v>
      </c>
      <c r="CI94" s="219" t="s">
        <v>41</v>
      </c>
      <c r="CJ94" s="219" t="s">
        <v>120</v>
      </c>
      <c r="CK94" s="219" t="s">
        <v>120</v>
      </c>
      <c r="CL94" s="219" t="s">
        <v>46</v>
      </c>
      <c r="CM94" s="219" t="s">
        <v>116</v>
      </c>
      <c r="CN94" s="219" t="s">
        <v>116</v>
      </c>
      <c r="CO94" s="219" t="s">
        <v>65</v>
      </c>
      <c r="CP94" s="219"/>
      <c r="CQ94" s="219"/>
      <c r="CR94" s="219"/>
      <c r="CS94" s="219"/>
      <c r="CT94" s="219"/>
      <c r="CU94" s="219"/>
      <c r="CV94" s="219"/>
      <c r="CW94" s="219"/>
      <c r="CX94" s="219"/>
      <c r="CY94" s="219"/>
      <c r="CZ94" s="219"/>
      <c r="DA94" s="219"/>
      <c r="DB94" s="219"/>
      <c r="DC94" s="219"/>
      <c r="DD94" s="219"/>
      <c r="DE94" s="219"/>
      <c r="DF94" s="219"/>
      <c r="DG94" s="219"/>
      <c r="DH94" s="219"/>
      <c r="DI94" s="219"/>
      <c r="DJ94" s="219"/>
      <c r="DK94" s="219"/>
      <c r="DL94" s="219"/>
      <c r="DM94" s="219"/>
      <c r="DN94" s="219"/>
      <c r="DO94" s="219"/>
      <c r="DP94" s="219"/>
      <c r="DQ94" s="219"/>
      <c r="DR94" s="219"/>
      <c r="DS94" s="219"/>
      <c r="DT94" s="219"/>
      <c r="DU94" s="219"/>
      <c r="DV94" s="219"/>
      <c r="DW94" s="219"/>
      <c r="DX94" s="219"/>
      <c r="DY94" s="219"/>
      <c r="DZ94" s="45" t="s">
        <v>582</v>
      </c>
    </row>
    <row r="95" spans="2:130" x14ac:dyDescent="0.2">
      <c r="D95" s="3">
        <f t="shared" si="56"/>
        <v>0</v>
      </c>
      <c r="E95" s="3">
        <f t="shared" si="57"/>
        <v>0</v>
      </c>
      <c r="F95" s="3">
        <v>62</v>
      </c>
      <c r="G95" s="54"/>
      <c r="H95" s="54"/>
      <c r="I95" s="54"/>
      <c r="J95" s="54"/>
      <c r="AB95" s="65"/>
      <c r="AD95" s="65"/>
      <c r="AF95" s="65"/>
      <c r="AL95" s="4"/>
      <c r="AM95" s="4"/>
      <c r="AN95" s="4"/>
      <c r="AO95" s="4"/>
      <c r="AT95" s="65"/>
      <c r="AV95" s="3">
        <f t="shared" si="60"/>
        <v>0</v>
      </c>
      <c r="AW95" s="3">
        <f t="shared" si="58"/>
        <v>0</v>
      </c>
      <c r="AX95" s="3">
        <f t="shared" si="59"/>
        <v>0</v>
      </c>
      <c r="AY95" s="65"/>
      <c r="BA95" s="221">
        <v>90</v>
      </c>
      <c r="BB95" s="222" t="s">
        <v>310</v>
      </c>
      <c r="BC95" s="223"/>
      <c r="BD95" s="223"/>
      <c r="BE95" s="224"/>
      <c r="BF95" s="222" t="s">
        <v>116</v>
      </c>
      <c r="BG95" s="223" t="s">
        <v>117</v>
      </c>
      <c r="BH95" s="223" t="s">
        <v>65</v>
      </c>
      <c r="BI95" s="223" t="s">
        <v>117</v>
      </c>
      <c r="BJ95" s="223" t="s">
        <v>117</v>
      </c>
      <c r="BK95" s="223" t="s">
        <v>41</v>
      </c>
      <c r="BL95" s="223" t="s">
        <v>120</v>
      </c>
      <c r="BM95" s="223" t="s">
        <v>120</v>
      </c>
      <c r="BN95" s="223" t="s">
        <v>46</v>
      </c>
      <c r="BO95" s="223" t="s">
        <v>46</v>
      </c>
      <c r="BP95" s="223" t="s">
        <v>116</v>
      </c>
      <c r="BQ95" s="223" t="s">
        <v>116</v>
      </c>
      <c r="BR95" s="223" t="s">
        <v>65</v>
      </c>
      <c r="BS95" s="223" t="s">
        <v>65</v>
      </c>
      <c r="BT95" s="223" t="s">
        <v>117</v>
      </c>
      <c r="BU95" s="223" t="s">
        <v>41</v>
      </c>
      <c r="BV95" s="223" t="s">
        <v>41</v>
      </c>
      <c r="BW95" s="223" t="s">
        <v>120</v>
      </c>
      <c r="BX95" s="223" t="s">
        <v>41</v>
      </c>
      <c r="BY95" s="223" t="s">
        <v>46</v>
      </c>
      <c r="BZ95" s="223" t="s">
        <v>65</v>
      </c>
      <c r="CA95" s="223" t="s">
        <v>46</v>
      </c>
      <c r="CB95" s="223" t="s">
        <v>46</v>
      </c>
      <c r="CC95" s="223" t="s">
        <v>116</v>
      </c>
      <c r="CD95" s="223" t="s">
        <v>120</v>
      </c>
      <c r="CE95" s="223" t="s">
        <v>65</v>
      </c>
      <c r="CF95" s="223" t="s">
        <v>46</v>
      </c>
      <c r="CG95" s="223" t="s">
        <v>46</v>
      </c>
      <c r="CH95" s="223" t="s">
        <v>41</v>
      </c>
      <c r="CI95" s="223" t="s">
        <v>41</v>
      </c>
      <c r="CJ95" s="223" t="s">
        <v>120</v>
      </c>
      <c r="CK95" s="223" t="s">
        <v>120</v>
      </c>
      <c r="CL95" s="223" t="s">
        <v>46</v>
      </c>
      <c r="CM95" s="223" t="s">
        <v>116</v>
      </c>
      <c r="CN95" s="223" t="s">
        <v>116</v>
      </c>
      <c r="CO95" s="223" t="s">
        <v>65</v>
      </c>
      <c r="CP95" s="223"/>
      <c r="CQ95" s="223"/>
      <c r="CR95" s="223"/>
      <c r="CS95" s="223"/>
      <c r="CT95" s="223"/>
      <c r="CU95" s="223"/>
      <c r="CV95" s="223"/>
      <c r="CW95" s="223"/>
      <c r="CX95" s="223"/>
      <c r="CY95" s="223"/>
      <c r="CZ95" s="223"/>
      <c r="DA95" s="223"/>
      <c r="DB95" s="223"/>
      <c r="DC95" s="223"/>
      <c r="DD95" s="223"/>
      <c r="DE95" s="223"/>
      <c r="DF95" s="223"/>
      <c r="DG95" s="223"/>
      <c r="DH95" s="223"/>
      <c r="DI95" s="223"/>
      <c r="DJ95" s="223"/>
      <c r="DK95" s="223"/>
      <c r="DL95" s="223"/>
      <c r="DM95" s="223"/>
      <c r="DN95" s="223"/>
      <c r="DO95" s="223"/>
      <c r="DP95" s="223"/>
      <c r="DQ95" s="223"/>
      <c r="DR95" s="223"/>
      <c r="DS95" s="223"/>
      <c r="DT95" s="223"/>
      <c r="DU95" s="223"/>
      <c r="DV95" s="223"/>
      <c r="DW95" s="223"/>
      <c r="DX95" s="223"/>
      <c r="DY95" s="223"/>
      <c r="DZ95" s="48" t="s">
        <v>582</v>
      </c>
    </row>
    <row r="96" spans="2:130" x14ac:dyDescent="0.2">
      <c r="D96" s="3">
        <f t="shared" si="56"/>
        <v>0</v>
      </c>
      <c r="E96" s="3">
        <f t="shared" si="57"/>
        <v>0</v>
      </c>
      <c r="F96" s="3">
        <v>63</v>
      </c>
      <c r="G96" s="54"/>
      <c r="H96" s="54"/>
      <c r="I96" s="54"/>
      <c r="J96" s="54"/>
      <c r="AB96" s="65"/>
      <c r="AD96" s="65"/>
      <c r="AF96" s="65"/>
      <c r="AL96" s="4"/>
      <c r="AM96" s="4"/>
      <c r="AN96" s="4"/>
      <c r="AO96" s="4"/>
      <c r="AT96" s="65"/>
      <c r="AV96" s="3">
        <f t="shared" si="60"/>
        <v>0</v>
      </c>
      <c r="AW96" s="3">
        <f t="shared" si="58"/>
        <v>0</v>
      </c>
      <c r="AX96" s="3">
        <f t="shared" si="59"/>
        <v>0</v>
      </c>
      <c r="AY96" s="65"/>
      <c r="BA96" s="221">
        <v>91</v>
      </c>
      <c r="BB96" s="222"/>
      <c r="BC96" s="223"/>
      <c r="BD96" s="223"/>
      <c r="BE96" s="224"/>
      <c r="BF96" s="223"/>
      <c r="BG96" s="223"/>
      <c r="BH96" s="223"/>
      <c r="BI96" s="223"/>
      <c r="BJ96" s="223"/>
      <c r="BK96" s="223"/>
      <c r="BL96" s="223"/>
      <c r="BM96" s="223"/>
      <c r="BN96" s="223"/>
      <c r="BO96" s="223"/>
      <c r="BP96" s="223"/>
      <c r="BQ96" s="223"/>
      <c r="BR96" s="223"/>
      <c r="BS96" s="223"/>
      <c r="BT96" s="223"/>
      <c r="BU96" s="223"/>
      <c r="BV96" s="223"/>
      <c r="BW96" s="223"/>
      <c r="BX96" s="223"/>
      <c r="BY96" s="223"/>
      <c r="BZ96" s="223"/>
      <c r="CA96" s="223"/>
      <c r="CB96" s="223"/>
      <c r="CC96" s="223"/>
      <c r="CD96" s="223"/>
      <c r="CE96" s="223"/>
      <c r="CF96" s="223"/>
      <c r="CG96" s="223"/>
      <c r="CH96" s="223"/>
      <c r="CI96" s="223"/>
      <c r="CJ96" s="223"/>
      <c r="CK96" s="223"/>
      <c r="CL96" s="223"/>
      <c r="CM96" s="223"/>
      <c r="CN96" s="223"/>
      <c r="CO96" s="223"/>
      <c r="CP96" s="223"/>
      <c r="CQ96" s="223"/>
      <c r="CR96" s="223"/>
      <c r="CS96" s="223"/>
      <c r="CT96" s="223"/>
      <c r="CU96" s="223"/>
      <c r="CV96" s="223"/>
      <c r="CW96" s="223"/>
      <c r="CX96" s="223"/>
      <c r="CY96" s="223"/>
      <c r="CZ96" s="223"/>
      <c r="DA96" s="223"/>
      <c r="DB96" s="223"/>
      <c r="DC96" s="223"/>
      <c r="DD96" s="223"/>
      <c r="DE96" s="223"/>
      <c r="DF96" s="223"/>
      <c r="DG96" s="223"/>
      <c r="DH96" s="223"/>
      <c r="DI96" s="223"/>
      <c r="DJ96" s="223"/>
      <c r="DK96" s="223"/>
      <c r="DL96" s="223"/>
      <c r="DM96" s="223"/>
      <c r="DN96" s="223"/>
      <c r="DO96" s="223"/>
      <c r="DP96" s="223"/>
      <c r="DQ96" s="223"/>
      <c r="DR96" s="223"/>
      <c r="DS96" s="223"/>
      <c r="DT96" s="223"/>
      <c r="DU96" s="223"/>
      <c r="DV96" s="223"/>
      <c r="DW96" s="223"/>
      <c r="DX96" s="223"/>
      <c r="DY96" s="223"/>
      <c r="DZ96" s="48" t="s">
        <v>582</v>
      </c>
    </row>
    <row r="97" spans="4:130" x14ac:dyDescent="0.2">
      <c r="D97" s="3">
        <f t="shared" si="56"/>
        <v>0</v>
      </c>
      <c r="E97" s="3">
        <f t="shared" si="57"/>
        <v>0</v>
      </c>
      <c r="F97" s="3">
        <v>64</v>
      </c>
      <c r="G97" s="54"/>
      <c r="H97" s="54"/>
      <c r="I97" s="54"/>
      <c r="J97" s="54"/>
      <c r="AB97" s="65"/>
      <c r="AD97" s="65"/>
      <c r="AF97" s="65"/>
      <c r="AL97" s="4"/>
      <c r="AM97" s="4"/>
      <c r="AN97" s="4"/>
      <c r="AO97" s="4"/>
      <c r="AT97" s="65"/>
      <c r="AV97" s="3">
        <f t="shared" si="60"/>
        <v>0</v>
      </c>
      <c r="AW97" s="3">
        <f t="shared" si="58"/>
        <v>0</v>
      </c>
      <c r="AX97" s="3">
        <f t="shared" si="59"/>
        <v>0</v>
      </c>
      <c r="AY97" s="65"/>
      <c r="BA97" s="226">
        <v>92</v>
      </c>
      <c r="BB97" s="227"/>
      <c r="BC97" s="228"/>
      <c r="BD97" s="228"/>
      <c r="BE97" s="229"/>
      <c r="BF97" s="223"/>
      <c r="BG97" s="223"/>
      <c r="BH97" s="223"/>
      <c r="BI97" s="223"/>
      <c r="BJ97" s="223"/>
      <c r="BK97" s="223"/>
      <c r="BL97" s="223"/>
      <c r="BM97" s="223"/>
      <c r="BN97" s="223"/>
      <c r="BO97" s="223"/>
      <c r="BP97" s="223"/>
      <c r="BQ97" s="223"/>
      <c r="BR97" s="223"/>
      <c r="BS97" s="223"/>
      <c r="BT97" s="223"/>
      <c r="BU97" s="223"/>
      <c r="BV97" s="223"/>
      <c r="BW97" s="223"/>
      <c r="BX97" s="223"/>
      <c r="BY97" s="223"/>
      <c r="BZ97" s="223"/>
      <c r="CA97" s="223"/>
      <c r="CB97" s="223"/>
      <c r="CC97" s="223"/>
      <c r="CD97" s="223"/>
      <c r="CE97" s="223"/>
      <c r="CF97" s="223"/>
      <c r="CG97" s="223"/>
      <c r="CH97" s="223"/>
      <c r="CI97" s="223"/>
      <c r="CJ97" s="223"/>
      <c r="CK97" s="223"/>
      <c r="CL97" s="223"/>
      <c r="CM97" s="223"/>
      <c r="CN97" s="223"/>
      <c r="CO97" s="223"/>
      <c r="CP97" s="223"/>
      <c r="CQ97" s="223"/>
      <c r="CR97" s="223"/>
      <c r="CS97" s="223"/>
      <c r="CT97" s="223"/>
      <c r="CU97" s="223"/>
      <c r="CV97" s="223"/>
      <c r="CW97" s="223"/>
      <c r="CX97" s="223"/>
      <c r="CY97" s="223"/>
      <c r="CZ97" s="223"/>
      <c r="DA97" s="223"/>
      <c r="DB97" s="223"/>
      <c r="DC97" s="223"/>
      <c r="DD97" s="223"/>
      <c r="DE97" s="223"/>
      <c r="DF97" s="223"/>
      <c r="DG97" s="223"/>
      <c r="DH97" s="223"/>
      <c r="DI97" s="223"/>
      <c r="DJ97" s="223"/>
      <c r="DK97" s="223"/>
      <c r="DL97" s="223"/>
      <c r="DM97" s="223"/>
      <c r="DN97" s="223"/>
      <c r="DO97" s="223"/>
      <c r="DP97" s="223"/>
      <c r="DQ97" s="223"/>
      <c r="DR97" s="223"/>
      <c r="DS97" s="223"/>
      <c r="DT97" s="223"/>
      <c r="DU97" s="223"/>
      <c r="DV97" s="223"/>
      <c r="DW97" s="223"/>
      <c r="DX97" s="223"/>
      <c r="DY97" s="223"/>
      <c r="DZ97" s="51" t="s">
        <v>582</v>
      </c>
    </row>
    <row r="98" spans="4:130" x14ac:dyDescent="0.2">
      <c r="D98" s="3">
        <f t="shared" ref="D98:D105" si="61">VLOOKUP($E$27,$BB$6:$DY$205,4+F98,FALSE)</f>
        <v>0</v>
      </c>
      <c r="E98" s="3">
        <f t="shared" ref="E98:E105" si="62">INDEX($BF$6:$DY$205,VLOOKUP($E$27,$AZ$6:$DY$205,2,FALSE)*4-2,F98)</f>
        <v>0</v>
      </c>
      <c r="F98" s="3">
        <v>65</v>
      </c>
      <c r="G98" s="54"/>
      <c r="H98" s="54"/>
      <c r="I98" s="54"/>
      <c r="J98" s="54"/>
      <c r="AB98" s="65"/>
      <c r="AD98" s="65"/>
      <c r="AF98" s="65"/>
      <c r="AL98" s="4"/>
      <c r="AM98" s="4"/>
      <c r="AN98" s="4"/>
      <c r="AO98" s="4"/>
      <c r="AT98" s="65"/>
      <c r="AV98" s="3">
        <f t="shared" si="60"/>
        <v>0</v>
      </c>
      <c r="AW98" s="3">
        <f t="shared" ref="AW98:AW105" si="63">INDEX($BF$6:$DY$205,VLOOKUP($E$27,$AZ$6:$DY$205,2,FALSE)*4-1,F98)</f>
        <v>0</v>
      </c>
      <c r="AX98" s="3">
        <f t="shared" ref="AX98:AX105" si="64">INDEX($BF$6:$DY$205,VLOOKUP($E$27,$AZ$6:$DY$205,2,FALSE)*4-0,F98)</f>
        <v>0</v>
      </c>
      <c r="AY98" s="65"/>
      <c r="BA98" s="217">
        <v>93</v>
      </c>
      <c r="BB98" s="218" t="s">
        <v>856</v>
      </c>
      <c r="BC98" s="219"/>
      <c r="BD98" s="219"/>
      <c r="BE98" s="220"/>
      <c r="BF98" s="219"/>
      <c r="BG98" s="219"/>
      <c r="BH98" s="219"/>
      <c r="BI98" s="219"/>
      <c r="BJ98" s="219"/>
      <c r="BK98" s="219"/>
      <c r="BL98" s="219"/>
      <c r="BM98" s="219"/>
      <c r="BN98" s="219"/>
      <c r="BO98" s="219"/>
      <c r="BP98" s="219"/>
      <c r="BQ98" s="219"/>
      <c r="BR98" s="219"/>
      <c r="BS98" s="219"/>
      <c r="BT98" s="219"/>
      <c r="BU98" s="219"/>
      <c r="BV98" s="219"/>
      <c r="BW98" s="219"/>
      <c r="BX98" s="219"/>
      <c r="BY98" s="219"/>
      <c r="BZ98" s="219"/>
      <c r="CA98" s="219"/>
      <c r="CB98" s="219"/>
      <c r="CC98" s="219"/>
      <c r="CD98" s="219"/>
      <c r="CE98" s="219"/>
      <c r="CF98" s="219"/>
      <c r="CG98" s="219"/>
      <c r="CH98" s="219"/>
      <c r="CI98" s="219"/>
      <c r="CJ98" s="219"/>
      <c r="CK98" s="219"/>
      <c r="CL98" s="219"/>
      <c r="CM98" s="219"/>
      <c r="CN98" s="219"/>
      <c r="CO98" s="219"/>
      <c r="CP98" s="219"/>
      <c r="CQ98" s="219"/>
      <c r="CR98" s="219"/>
      <c r="CS98" s="219"/>
      <c r="CT98" s="219"/>
      <c r="CU98" s="219"/>
      <c r="CV98" s="219"/>
      <c r="CW98" s="219"/>
      <c r="CX98" s="219"/>
      <c r="CY98" s="219"/>
      <c r="CZ98" s="219"/>
      <c r="DA98" s="219"/>
      <c r="DB98" s="219"/>
      <c r="DC98" s="219"/>
      <c r="DD98" s="219"/>
      <c r="DE98" s="219"/>
      <c r="DF98" s="219"/>
      <c r="DG98" s="219"/>
      <c r="DH98" s="219"/>
      <c r="DI98" s="219"/>
      <c r="DJ98" s="219"/>
      <c r="DK98" s="219"/>
      <c r="DL98" s="219"/>
      <c r="DM98" s="219"/>
      <c r="DN98" s="219"/>
      <c r="DO98" s="219"/>
      <c r="DP98" s="219"/>
      <c r="DQ98" s="219"/>
      <c r="DR98" s="219"/>
      <c r="DS98" s="219"/>
      <c r="DT98" s="219"/>
      <c r="DU98" s="219"/>
      <c r="DV98" s="219"/>
      <c r="DW98" s="219"/>
      <c r="DX98" s="219"/>
      <c r="DY98" s="219"/>
      <c r="DZ98" s="45" t="s">
        <v>582</v>
      </c>
    </row>
    <row r="99" spans="4:130" x14ac:dyDescent="0.2">
      <c r="D99" s="3">
        <f t="shared" si="61"/>
        <v>0</v>
      </c>
      <c r="E99" s="3">
        <f t="shared" si="62"/>
        <v>0</v>
      </c>
      <c r="F99" s="3">
        <v>66</v>
      </c>
      <c r="G99" s="54"/>
      <c r="H99" s="54"/>
      <c r="I99" s="54"/>
      <c r="J99" s="54"/>
      <c r="AB99" s="65"/>
      <c r="AD99" s="65"/>
      <c r="AF99" s="65"/>
      <c r="AL99" s="4"/>
      <c r="AM99" s="4"/>
      <c r="AN99" s="4"/>
      <c r="AO99" s="4"/>
      <c r="AT99" s="65"/>
      <c r="AV99" s="3">
        <f t="shared" ref="AV99:AV105" si="65">IF(G98=G99,0,1)</f>
        <v>0</v>
      </c>
      <c r="AW99" s="3">
        <f t="shared" si="63"/>
        <v>0</v>
      </c>
      <c r="AX99" s="3">
        <f t="shared" si="64"/>
        <v>0</v>
      </c>
      <c r="AY99" s="65"/>
      <c r="BA99" s="221">
        <v>94</v>
      </c>
      <c r="BB99" s="222" t="s">
        <v>857</v>
      </c>
      <c r="BC99" s="223"/>
      <c r="BD99" s="223"/>
      <c r="BE99" s="224"/>
      <c r="BF99" s="223"/>
      <c r="BG99" s="223"/>
      <c r="BH99" s="223"/>
      <c r="BI99" s="223"/>
      <c r="BJ99" s="223"/>
      <c r="BK99" s="223"/>
      <c r="BL99" s="223"/>
      <c r="BM99" s="223"/>
      <c r="BN99" s="223"/>
      <c r="BO99" s="223"/>
      <c r="BP99" s="223"/>
      <c r="BQ99" s="223"/>
      <c r="BR99" s="223"/>
      <c r="BS99" s="223"/>
      <c r="BT99" s="223"/>
      <c r="BU99" s="223"/>
      <c r="BV99" s="223"/>
      <c r="BW99" s="223"/>
      <c r="BX99" s="223"/>
      <c r="BY99" s="223"/>
      <c r="BZ99" s="223"/>
      <c r="CA99" s="223"/>
      <c r="CB99" s="223"/>
      <c r="CC99" s="223"/>
      <c r="CD99" s="223"/>
      <c r="CE99" s="223"/>
      <c r="CF99" s="223"/>
      <c r="CG99" s="223"/>
      <c r="CH99" s="223"/>
      <c r="CI99" s="223"/>
      <c r="CJ99" s="223"/>
      <c r="CK99" s="223"/>
      <c r="CL99" s="223"/>
      <c r="CM99" s="223"/>
      <c r="CN99" s="223"/>
      <c r="CO99" s="223"/>
      <c r="CP99" s="223"/>
      <c r="CQ99" s="223"/>
      <c r="CR99" s="223"/>
      <c r="CS99" s="223"/>
      <c r="CT99" s="223"/>
      <c r="CU99" s="223"/>
      <c r="CV99" s="223"/>
      <c r="CW99" s="223"/>
      <c r="CX99" s="223"/>
      <c r="CY99" s="223"/>
      <c r="CZ99" s="223"/>
      <c r="DA99" s="223"/>
      <c r="DB99" s="223"/>
      <c r="DC99" s="223"/>
      <c r="DD99" s="223"/>
      <c r="DE99" s="223"/>
      <c r="DF99" s="223"/>
      <c r="DG99" s="223"/>
      <c r="DH99" s="223"/>
      <c r="DI99" s="223"/>
      <c r="DJ99" s="223"/>
      <c r="DK99" s="223"/>
      <c r="DL99" s="223"/>
      <c r="DM99" s="223"/>
      <c r="DN99" s="223"/>
      <c r="DO99" s="223"/>
      <c r="DP99" s="223"/>
      <c r="DQ99" s="223"/>
      <c r="DR99" s="223"/>
      <c r="DS99" s="223"/>
      <c r="DT99" s="223"/>
      <c r="DU99" s="223"/>
      <c r="DV99" s="223"/>
      <c r="DW99" s="223"/>
      <c r="DX99" s="223"/>
      <c r="DY99" s="223"/>
      <c r="DZ99" s="48" t="s">
        <v>582</v>
      </c>
    </row>
    <row r="100" spans="4:130" x14ac:dyDescent="0.2">
      <c r="D100" s="3">
        <f t="shared" si="61"/>
        <v>0</v>
      </c>
      <c r="E100" s="3">
        <f t="shared" si="62"/>
        <v>0</v>
      </c>
      <c r="F100" s="3">
        <v>67</v>
      </c>
      <c r="G100" s="54"/>
      <c r="H100" s="54"/>
      <c r="I100" s="54"/>
      <c r="J100" s="54"/>
      <c r="AB100" s="65"/>
      <c r="AD100" s="65"/>
      <c r="AF100" s="65"/>
      <c r="AL100" s="4"/>
      <c r="AM100" s="4"/>
      <c r="AN100" s="4"/>
      <c r="AO100" s="4"/>
      <c r="AT100" s="65"/>
      <c r="AV100" s="3">
        <f t="shared" si="65"/>
        <v>0</v>
      </c>
      <c r="AW100" s="3">
        <f t="shared" si="63"/>
        <v>0</v>
      </c>
      <c r="AX100" s="3">
        <f t="shared" si="64"/>
        <v>0</v>
      </c>
      <c r="AY100" s="65"/>
      <c r="BA100" s="221">
        <v>95</v>
      </c>
      <c r="BB100" s="222"/>
      <c r="BC100" s="223"/>
      <c r="BD100" s="223"/>
      <c r="BE100" s="224"/>
      <c r="BF100" s="223"/>
      <c r="BG100" s="223"/>
      <c r="BH100" s="223"/>
      <c r="BI100" s="223"/>
      <c r="BJ100" s="223"/>
      <c r="BK100" s="223"/>
      <c r="BL100" s="223"/>
      <c r="BM100" s="223"/>
      <c r="BN100" s="223"/>
      <c r="BO100" s="223"/>
      <c r="BP100" s="223"/>
      <c r="BQ100" s="223"/>
      <c r="BR100" s="223"/>
      <c r="BS100" s="223"/>
      <c r="BT100" s="223"/>
      <c r="BU100" s="223"/>
      <c r="BV100" s="223"/>
      <c r="BW100" s="223"/>
      <c r="BX100" s="223"/>
      <c r="BY100" s="223"/>
      <c r="BZ100" s="223"/>
      <c r="CA100" s="223"/>
      <c r="CB100" s="223"/>
      <c r="CC100" s="223"/>
      <c r="CD100" s="223"/>
      <c r="CE100" s="223"/>
      <c r="CF100" s="223"/>
      <c r="CG100" s="223"/>
      <c r="CH100" s="223"/>
      <c r="CI100" s="223"/>
      <c r="CJ100" s="223"/>
      <c r="CK100" s="223"/>
      <c r="CL100" s="223"/>
      <c r="CM100" s="223"/>
      <c r="CN100" s="223"/>
      <c r="CO100" s="223"/>
      <c r="CP100" s="223"/>
      <c r="CQ100" s="223"/>
      <c r="CR100" s="223"/>
      <c r="CS100" s="223"/>
      <c r="CT100" s="223"/>
      <c r="CU100" s="223"/>
      <c r="CV100" s="223"/>
      <c r="CW100" s="223"/>
      <c r="CX100" s="223"/>
      <c r="CY100" s="223"/>
      <c r="CZ100" s="223"/>
      <c r="DA100" s="223"/>
      <c r="DB100" s="223"/>
      <c r="DC100" s="223"/>
      <c r="DD100" s="223"/>
      <c r="DE100" s="223"/>
      <c r="DF100" s="223"/>
      <c r="DG100" s="223"/>
      <c r="DH100" s="223"/>
      <c r="DI100" s="223"/>
      <c r="DJ100" s="223"/>
      <c r="DK100" s="223"/>
      <c r="DL100" s="223"/>
      <c r="DM100" s="223"/>
      <c r="DN100" s="223"/>
      <c r="DO100" s="223"/>
      <c r="DP100" s="223"/>
      <c r="DQ100" s="223"/>
      <c r="DR100" s="223"/>
      <c r="DS100" s="223"/>
      <c r="DT100" s="223"/>
      <c r="DU100" s="223"/>
      <c r="DV100" s="223"/>
      <c r="DW100" s="223"/>
      <c r="DX100" s="223"/>
      <c r="DY100" s="223"/>
      <c r="DZ100" s="48" t="s">
        <v>582</v>
      </c>
    </row>
    <row r="101" spans="4:130" x14ac:dyDescent="0.2">
      <c r="D101" s="3">
        <f t="shared" si="61"/>
        <v>0</v>
      </c>
      <c r="E101" s="3">
        <f t="shared" si="62"/>
        <v>0</v>
      </c>
      <c r="F101" s="3">
        <v>68</v>
      </c>
      <c r="G101" s="54"/>
      <c r="H101" s="54"/>
      <c r="I101" s="54"/>
      <c r="J101" s="54"/>
      <c r="AB101" s="65"/>
      <c r="AD101" s="65"/>
      <c r="AF101" s="65"/>
      <c r="AL101" s="4"/>
      <c r="AM101" s="4"/>
      <c r="AN101" s="4"/>
      <c r="AO101" s="4"/>
      <c r="AT101" s="65"/>
      <c r="AV101" s="3">
        <f t="shared" si="65"/>
        <v>0</v>
      </c>
      <c r="AW101" s="3">
        <f t="shared" si="63"/>
        <v>0</v>
      </c>
      <c r="AX101" s="3">
        <f t="shared" si="64"/>
        <v>0</v>
      </c>
      <c r="AY101" s="65"/>
      <c r="BA101" s="226">
        <v>96</v>
      </c>
      <c r="BB101" s="227"/>
      <c r="BC101" s="228"/>
      <c r="BD101" s="228"/>
      <c r="BE101" s="229"/>
      <c r="BF101" s="223"/>
      <c r="BG101" s="223"/>
      <c r="BH101" s="223"/>
      <c r="BI101" s="223"/>
      <c r="BJ101" s="223"/>
      <c r="BK101" s="223"/>
      <c r="BL101" s="223"/>
      <c r="BM101" s="223"/>
      <c r="BN101" s="223"/>
      <c r="BO101" s="223"/>
      <c r="BP101" s="223"/>
      <c r="BQ101" s="223"/>
      <c r="BR101" s="223"/>
      <c r="BS101" s="223"/>
      <c r="BT101" s="223"/>
      <c r="BU101" s="223"/>
      <c r="BV101" s="223"/>
      <c r="BW101" s="223"/>
      <c r="BX101" s="223"/>
      <c r="BY101" s="223"/>
      <c r="BZ101" s="223"/>
      <c r="CA101" s="223"/>
      <c r="CB101" s="223"/>
      <c r="CC101" s="223"/>
      <c r="CD101" s="223"/>
      <c r="CE101" s="223"/>
      <c r="CF101" s="223"/>
      <c r="CG101" s="223"/>
      <c r="CH101" s="223"/>
      <c r="CI101" s="223"/>
      <c r="CJ101" s="223"/>
      <c r="CK101" s="223"/>
      <c r="CL101" s="223"/>
      <c r="CM101" s="223"/>
      <c r="CN101" s="223"/>
      <c r="CO101" s="223"/>
      <c r="CP101" s="223"/>
      <c r="CQ101" s="223"/>
      <c r="CR101" s="223"/>
      <c r="CS101" s="223"/>
      <c r="CT101" s="223"/>
      <c r="CU101" s="223"/>
      <c r="CV101" s="223"/>
      <c r="CW101" s="223"/>
      <c r="CX101" s="223"/>
      <c r="CY101" s="223"/>
      <c r="CZ101" s="223"/>
      <c r="DA101" s="223"/>
      <c r="DB101" s="223"/>
      <c r="DC101" s="223"/>
      <c r="DD101" s="223"/>
      <c r="DE101" s="223"/>
      <c r="DF101" s="223"/>
      <c r="DG101" s="223"/>
      <c r="DH101" s="223"/>
      <c r="DI101" s="223"/>
      <c r="DJ101" s="223"/>
      <c r="DK101" s="223"/>
      <c r="DL101" s="223"/>
      <c r="DM101" s="223"/>
      <c r="DN101" s="223"/>
      <c r="DO101" s="223"/>
      <c r="DP101" s="223"/>
      <c r="DQ101" s="223"/>
      <c r="DR101" s="223"/>
      <c r="DS101" s="223"/>
      <c r="DT101" s="223"/>
      <c r="DU101" s="223"/>
      <c r="DV101" s="223"/>
      <c r="DW101" s="223"/>
      <c r="DX101" s="223"/>
      <c r="DY101" s="223"/>
      <c r="DZ101" s="51" t="s">
        <v>582</v>
      </c>
    </row>
    <row r="102" spans="4:130" x14ac:dyDescent="0.2">
      <c r="D102" s="3">
        <f t="shared" si="61"/>
        <v>0</v>
      </c>
      <c r="E102" s="3">
        <f t="shared" si="62"/>
        <v>0</v>
      </c>
      <c r="F102" s="3">
        <v>69</v>
      </c>
      <c r="G102" s="54"/>
      <c r="H102" s="54"/>
      <c r="I102" s="54"/>
      <c r="J102" s="54"/>
      <c r="AB102" s="65"/>
      <c r="AD102" s="65"/>
      <c r="AF102" s="65"/>
      <c r="AL102" s="4"/>
      <c r="AM102" s="4"/>
      <c r="AN102" s="4"/>
      <c r="AO102" s="4"/>
      <c r="AT102" s="65"/>
      <c r="AV102" s="3">
        <f t="shared" si="65"/>
        <v>0</v>
      </c>
      <c r="AW102" s="3">
        <f t="shared" si="63"/>
        <v>0</v>
      </c>
      <c r="AX102" s="3">
        <f t="shared" si="64"/>
        <v>0</v>
      </c>
      <c r="AY102" s="65"/>
      <c r="BA102" s="217">
        <v>97</v>
      </c>
      <c r="BB102" s="218" t="s">
        <v>858</v>
      </c>
      <c r="BC102" s="219"/>
      <c r="BD102" s="219"/>
      <c r="BE102" s="220"/>
      <c r="BF102" s="219"/>
      <c r="BG102" s="219"/>
      <c r="BH102" s="219"/>
      <c r="BI102" s="219"/>
      <c r="BJ102" s="219"/>
      <c r="BK102" s="219"/>
      <c r="BL102" s="219"/>
      <c r="BM102" s="219"/>
      <c r="BN102" s="219"/>
      <c r="BO102" s="219"/>
      <c r="BP102" s="219"/>
      <c r="BQ102" s="219"/>
      <c r="BR102" s="219"/>
      <c r="BS102" s="219"/>
      <c r="BT102" s="219"/>
      <c r="BU102" s="219"/>
      <c r="BV102" s="219"/>
      <c r="BW102" s="219"/>
      <c r="BX102" s="219"/>
      <c r="BY102" s="219"/>
      <c r="BZ102" s="219"/>
      <c r="CA102" s="219"/>
      <c r="CB102" s="219"/>
      <c r="CC102" s="219"/>
      <c r="CD102" s="219"/>
      <c r="CE102" s="219"/>
      <c r="CF102" s="219"/>
      <c r="CG102" s="219"/>
      <c r="CH102" s="219"/>
      <c r="CI102" s="219"/>
      <c r="CJ102" s="219"/>
      <c r="CK102" s="219"/>
      <c r="CL102" s="219"/>
      <c r="CM102" s="219"/>
      <c r="CN102" s="219"/>
      <c r="CO102" s="219"/>
      <c r="CP102" s="219"/>
      <c r="CQ102" s="219"/>
      <c r="CR102" s="219"/>
      <c r="CS102" s="219"/>
      <c r="CT102" s="219"/>
      <c r="CU102" s="219"/>
      <c r="CV102" s="219"/>
      <c r="CW102" s="219"/>
      <c r="CX102" s="219"/>
      <c r="CY102" s="219"/>
      <c r="CZ102" s="219"/>
      <c r="DA102" s="219"/>
      <c r="DB102" s="219"/>
      <c r="DC102" s="219"/>
      <c r="DD102" s="219"/>
      <c r="DE102" s="219"/>
      <c r="DF102" s="219"/>
      <c r="DG102" s="219"/>
      <c r="DH102" s="219"/>
      <c r="DI102" s="219"/>
      <c r="DJ102" s="219"/>
      <c r="DK102" s="219"/>
      <c r="DL102" s="219"/>
      <c r="DM102" s="219"/>
      <c r="DN102" s="219"/>
      <c r="DO102" s="219"/>
      <c r="DP102" s="219"/>
      <c r="DQ102" s="219"/>
      <c r="DR102" s="219"/>
      <c r="DS102" s="219"/>
      <c r="DT102" s="219"/>
      <c r="DU102" s="219"/>
      <c r="DV102" s="219"/>
      <c r="DW102" s="219"/>
      <c r="DX102" s="219"/>
      <c r="DY102" s="219"/>
      <c r="DZ102" s="45" t="s">
        <v>582</v>
      </c>
    </row>
    <row r="103" spans="4:130" x14ac:dyDescent="0.2">
      <c r="D103" s="3">
        <f t="shared" si="61"/>
        <v>0</v>
      </c>
      <c r="E103" s="3">
        <f t="shared" si="62"/>
        <v>0</v>
      </c>
      <c r="F103" s="3">
        <v>70</v>
      </c>
      <c r="G103" s="54"/>
      <c r="H103" s="54"/>
      <c r="I103" s="54"/>
      <c r="J103" s="54"/>
      <c r="AB103" s="65"/>
      <c r="AD103" s="65"/>
      <c r="AF103" s="65"/>
      <c r="AL103" s="4"/>
      <c r="AM103" s="4"/>
      <c r="AN103" s="4"/>
      <c r="AO103" s="4"/>
      <c r="AT103" s="65"/>
      <c r="AV103" s="3">
        <f t="shared" si="65"/>
        <v>0</v>
      </c>
      <c r="AW103" s="3">
        <f t="shared" si="63"/>
        <v>0</v>
      </c>
      <c r="AX103" s="3">
        <f t="shared" si="64"/>
        <v>0</v>
      </c>
      <c r="AY103" s="65"/>
      <c r="BA103" s="221">
        <v>98</v>
      </c>
      <c r="BB103" s="222" t="s">
        <v>859</v>
      </c>
      <c r="BC103" s="223"/>
      <c r="BD103" s="223"/>
      <c r="BE103" s="224"/>
      <c r="BF103" s="223"/>
      <c r="BG103" s="223"/>
      <c r="BH103" s="223"/>
      <c r="BI103" s="223"/>
      <c r="BJ103" s="223"/>
      <c r="BK103" s="223"/>
      <c r="BL103" s="223"/>
      <c r="BM103" s="223"/>
      <c r="BN103" s="223"/>
      <c r="BO103" s="223"/>
      <c r="BP103" s="223"/>
      <c r="BQ103" s="223"/>
      <c r="BR103" s="223"/>
      <c r="BS103" s="223"/>
      <c r="BT103" s="223"/>
      <c r="BU103" s="223"/>
      <c r="BV103" s="223"/>
      <c r="BW103" s="223"/>
      <c r="BX103" s="223"/>
      <c r="BY103" s="223"/>
      <c r="BZ103" s="223"/>
      <c r="CA103" s="223"/>
      <c r="CB103" s="223"/>
      <c r="CC103" s="223"/>
      <c r="CD103" s="223"/>
      <c r="CE103" s="223"/>
      <c r="CF103" s="223"/>
      <c r="CG103" s="223"/>
      <c r="CH103" s="223"/>
      <c r="CI103" s="223"/>
      <c r="CJ103" s="223"/>
      <c r="CK103" s="223"/>
      <c r="CL103" s="223"/>
      <c r="CM103" s="223"/>
      <c r="CN103" s="223"/>
      <c r="CO103" s="223"/>
      <c r="CP103" s="223"/>
      <c r="CQ103" s="223"/>
      <c r="CR103" s="223"/>
      <c r="CS103" s="223"/>
      <c r="CT103" s="223"/>
      <c r="CU103" s="223"/>
      <c r="CV103" s="223"/>
      <c r="CW103" s="223"/>
      <c r="CX103" s="223"/>
      <c r="CY103" s="223"/>
      <c r="CZ103" s="223"/>
      <c r="DA103" s="223"/>
      <c r="DB103" s="223"/>
      <c r="DC103" s="223"/>
      <c r="DD103" s="223"/>
      <c r="DE103" s="223"/>
      <c r="DF103" s="223"/>
      <c r="DG103" s="223"/>
      <c r="DH103" s="223"/>
      <c r="DI103" s="223"/>
      <c r="DJ103" s="223"/>
      <c r="DK103" s="223"/>
      <c r="DL103" s="223"/>
      <c r="DM103" s="223"/>
      <c r="DN103" s="223"/>
      <c r="DO103" s="223"/>
      <c r="DP103" s="223"/>
      <c r="DQ103" s="223"/>
      <c r="DR103" s="223"/>
      <c r="DS103" s="223"/>
      <c r="DT103" s="223"/>
      <c r="DU103" s="223"/>
      <c r="DV103" s="223"/>
      <c r="DW103" s="223"/>
      <c r="DX103" s="223"/>
      <c r="DY103" s="223"/>
      <c r="DZ103" s="48" t="s">
        <v>582</v>
      </c>
    </row>
    <row r="104" spans="4:130" x14ac:dyDescent="0.2">
      <c r="D104" s="3">
        <f t="shared" si="61"/>
        <v>0</v>
      </c>
      <c r="E104" s="3">
        <f t="shared" si="62"/>
        <v>0</v>
      </c>
      <c r="F104" s="3">
        <v>71</v>
      </c>
      <c r="G104" s="54"/>
      <c r="H104" s="54"/>
      <c r="I104" s="54"/>
      <c r="J104" s="54"/>
      <c r="AB104" s="65"/>
      <c r="AD104" s="65"/>
      <c r="AF104" s="65"/>
      <c r="AL104" s="4"/>
      <c r="AM104" s="4"/>
      <c r="AN104" s="4"/>
      <c r="AO104" s="4"/>
      <c r="AT104" s="65"/>
      <c r="AV104" s="3">
        <f t="shared" si="65"/>
        <v>0</v>
      </c>
      <c r="AW104" s="3">
        <f t="shared" si="63"/>
        <v>0</v>
      </c>
      <c r="AX104" s="3">
        <f t="shared" si="64"/>
        <v>0</v>
      </c>
      <c r="AY104" s="65"/>
      <c r="BA104" s="221">
        <v>99</v>
      </c>
      <c r="BB104" s="222"/>
      <c r="BC104" s="223"/>
      <c r="BD104" s="223"/>
      <c r="BE104" s="224"/>
      <c r="BF104" s="223"/>
      <c r="BG104" s="223"/>
      <c r="BH104" s="223"/>
      <c r="BI104" s="223"/>
      <c r="BJ104" s="223"/>
      <c r="BK104" s="223"/>
      <c r="BL104" s="223"/>
      <c r="BM104" s="223"/>
      <c r="BN104" s="223"/>
      <c r="BO104" s="223"/>
      <c r="BP104" s="223"/>
      <c r="BQ104" s="223"/>
      <c r="BR104" s="223"/>
      <c r="BS104" s="223"/>
      <c r="BT104" s="223"/>
      <c r="BU104" s="223"/>
      <c r="BV104" s="223"/>
      <c r="BW104" s="223"/>
      <c r="BX104" s="223"/>
      <c r="BY104" s="223"/>
      <c r="BZ104" s="223"/>
      <c r="CA104" s="223"/>
      <c r="CB104" s="223"/>
      <c r="CC104" s="223"/>
      <c r="CD104" s="223"/>
      <c r="CE104" s="223"/>
      <c r="CF104" s="223"/>
      <c r="CG104" s="223"/>
      <c r="CH104" s="223"/>
      <c r="CI104" s="223"/>
      <c r="CJ104" s="223"/>
      <c r="CK104" s="223"/>
      <c r="CL104" s="223"/>
      <c r="CM104" s="223"/>
      <c r="CN104" s="223"/>
      <c r="CO104" s="223"/>
      <c r="CP104" s="223"/>
      <c r="CQ104" s="223"/>
      <c r="CR104" s="223"/>
      <c r="CS104" s="223"/>
      <c r="CT104" s="223"/>
      <c r="CU104" s="223"/>
      <c r="CV104" s="223"/>
      <c r="CW104" s="223"/>
      <c r="CX104" s="223"/>
      <c r="CY104" s="223"/>
      <c r="CZ104" s="223"/>
      <c r="DA104" s="223"/>
      <c r="DB104" s="223"/>
      <c r="DC104" s="223"/>
      <c r="DD104" s="223"/>
      <c r="DE104" s="223"/>
      <c r="DF104" s="223"/>
      <c r="DG104" s="223"/>
      <c r="DH104" s="223"/>
      <c r="DI104" s="223"/>
      <c r="DJ104" s="223"/>
      <c r="DK104" s="223"/>
      <c r="DL104" s="223"/>
      <c r="DM104" s="223"/>
      <c r="DN104" s="223"/>
      <c r="DO104" s="223"/>
      <c r="DP104" s="223"/>
      <c r="DQ104" s="223"/>
      <c r="DR104" s="223"/>
      <c r="DS104" s="223"/>
      <c r="DT104" s="223"/>
      <c r="DU104" s="223"/>
      <c r="DV104" s="223"/>
      <c r="DW104" s="223"/>
      <c r="DX104" s="223"/>
      <c r="DY104" s="223"/>
      <c r="DZ104" s="48" t="s">
        <v>582</v>
      </c>
    </row>
    <row r="105" spans="4:130" x14ac:dyDescent="0.2">
      <c r="D105" s="3">
        <f t="shared" si="61"/>
        <v>0</v>
      </c>
      <c r="E105" s="3">
        <f t="shared" si="62"/>
        <v>0</v>
      </c>
      <c r="F105" s="3">
        <v>72</v>
      </c>
      <c r="G105" s="54"/>
      <c r="H105" s="54"/>
      <c r="I105" s="54"/>
      <c r="J105" s="54"/>
      <c r="AB105" s="65"/>
      <c r="AD105" s="65"/>
      <c r="AF105" s="65"/>
      <c r="AL105" s="4"/>
      <c r="AM105" s="4"/>
      <c r="AN105" s="4"/>
      <c r="AO105" s="4"/>
      <c r="AT105" s="65"/>
      <c r="AV105" s="3">
        <f t="shared" si="65"/>
        <v>0</v>
      </c>
      <c r="AW105" s="3">
        <f t="shared" si="63"/>
        <v>0</v>
      </c>
      <c r="AX105" s="3">
        <f t="shared" si="64"/>
        <v>0</v>
      </c>
      <c r="AY105" s="65"/>
      <c r="BA105" s="226">
        <v>100</v>
      </c>
      <c r="BB105" s="227"/>
      <c r="BC105" s="228"/>
      <c r="BD105" s="228"/>
      <c r="BE105" s="229"/>
      <c r="BF105" s="223"/>
      <c r="BG105" s="223"/>
      <c r="BH105" s="223"/>
      <c r="BI105" s="223"/>
      <c r="BJ105" s="223"/>
      <c r="BK105" s="223"/>
      <c r="BL105" s="223"/>
      <c r="BM105" s="223"/>
      <c r="BN105" s="223"/>
      <c r="BO105" s="223"/>
      <c r="BP105" s="223"/>
      <c r="BQ105" s="223"/>
      <c r="BR105" s="223"/>
      <c r="BS105" s="223"/>
      <c r="BT105" s="223"/>
      <c r="BU105" s="223"/>
      <c r="BV105" s="223"/>
      <c r="BW105" s="223"/>
      <c r="BX105" s="223"/>
      <c r="BY105" s="223"/>
      <c r="BZ105" s="223"/>
      <c r="CA105" s="223"/>
      <c r="CB105" s="223"/>
      <c r="CC105" s="223"/>
      <c r="CD105" s="223"/>
      <c r="CE105" s="223"/>
      <c r="CF105" s="223"/>
      <c r="CG105" s="223"/>
      <c r="CH105" s="223"/>
      <c r="CI105" s="223"/>
      <c r="CJ105" s="223"/>
      <c r="CK105" s="223"/>
      <c r="CL105" s="223"/>
      <c r="CM105" s="223"/>
      <c r="CN105" s="223"/>
      <c r="CO105" s="223"/>
      <c r="CP105" s="223"/>
      <c r="CQ105" s="223"/>
      <c r="CR105" s="223"/>
      <c r="CS105" s="223"/>
      <c r="CT105" s="223"/>
      <c r="CU105" s="223"/>
      <c r="CV105" s="223"/>
      <c r="CW105" s="223"/>
      <c r="CX105" s="223"/>
      <c r="CY105" s="223"/>
      <c r="CZ105" s="223"/>
      <c r="DA105" s="223"/>
      <c r="DB105" s="223"/>
      <c r="DC105" s="223"/>
      <c r="DD105" s="223"/>
      <c r="DE105" s="223"/>
      <c r="DF105" s="223"/>
      <c r="DG105" s="223"/>
      <c r="DH105" s="223"/>
      <c r="DI105" s="223"/>
      <c r="DJ105" s="223"/>
      <c r="DK105" s="223"/>
      <c r="DL105" s="223"/>
      <c r="DM105" s="223"/>
      <c r="DN105" s="223"/>
      <c r="DO105" s="223"/>
      <c r="DP105" s="223"/>
      <c r="DQ105" s="223"/>
      <c r="DR105" s="223"/>
      <c r="DS105" s="223"/>
      <c r="DT105" s="223"/>
      <c r="DU105" s="223"/>
      <c r="DV105" s="223"/>
      <c r="DW105" s="223"/>
      <c r="DX105" s="223"/>
      <c r="DY105" s="223"/>
      <c r="DZ105" s="51" t="s">
        <v>582</v>
      </c>
    </row>
    <row r="106" spans="4:130" x14ac:dyDescent="0.2">
      <c r="BA106" s="217">
        <v>101</v>
      </c>
      <c r="BB106" s="218" t="s">
        <v>860</v>
      </c>
      <c r="BC106" s="219"/>
      <c r="BD106" s="219"/>
      <c r="BE106" s="220"/>
      <c r="BF106" s="219"/>
      <c r="BG106" s="219"/>
      <c r="BH106" s="219"/>
      <c r="BI106" s="219"/>
      <c r="BJ106" s="219"/>
      <c r="BK106" s="219"/>
      <c r="BL106" s="219"/>
      <c r="BM106" s="219"/>
      <c r="BN106" s="219"/>
      <c r="BO106" s="219"/>
      <c r="BP106" s="219"/>
      <c r="BQ106" s="219"/>
      <c r="BR106" s="219"/>
      <c r="BS106" s="219"/>
      <c r="BT106" s="219"/>
      <c r="BU106" s="219"/>
      <c r="BV106" s="219"/>
      <c r="BW106" s="219"/>
      <c r="BX106" s="219"/>
      <c r="BY106" s="219"/>
      <c r="BZ106" s="219"/>
      <c r="CA106" s="219"/>
      <c r="CB106" s="219"/>
      <c r="CC106" s="219"/>
      <c r="CD106" s="219"/>
      <c r="CE106" s="219"/>
      <c r="CF106" s="219"/>
      <c r="CG106" s="219"/>
      <c r="CH106" s="219"/>
      <c r="CI106" s="219"/>
      <c r="CJ106" s="219"/>
      <c r="CK106" s="219"/>
      <c r="CL106" s="219"/>
      <c r="CM106" s="219"/>
      <c r="CN106" s="219"/>
      <c r="CO106" s="219"/>
      <c r="CP106" s="219"/>
      <c r="CQ106" s="219"/>
      <c r="CR106" s="219"/>
      <c r="CS106" s="219"/>
      <c r="CT106" s="219"/>
      <c r="CU106" s="219"/>
      <c r="CV106" s="219"/>
      <c r="CW106" s="219"/>
      <c r="CX106" s="219"/>
      <c r="CY106" s="219"/>
      <c r="CZ106" s="219"/>
      <c r="DA106" s="219"/>
      <c r="DB106" s="219"/>
      <c r="DC106" s="219"/>
      <c r="DD106" s="219"/>
      <c r="DE106" s="219"/>
      <c r="DF106" s="219"/>
      <c r="DG106" s="219"/>
      <c r="DH106" s="219"/>
      <c r="DI106" s="219"/>
      <c r="DJ106" s="219"/>
      <c r="DK106" s="219"/>
      <c r="DL106" s="219"/>
      <c r="DM106" s="219"/>
      <c r="DN106" s="219"/>
      <c r="DO106" s="219"/>
      <c r="DP106" s="219"/>
      <c r="DQ106" s="219"/>
      <c r="DR106" s="219"/>
      <c r="DS106" s="219"/>
      <c r="DT106" s="219"/>
      <c r="DU106" s="219"/>
      <c r="DV106" s="219"/>
      <c r="DW106" s="219"/>
      <c r="DX106" s="219"/>
      <c r="DY106" s="219"/>
      <c r="DZ106" s="45" t="s">
        <v>582</v>
      </c>
    </row>
    <row r="107" spans="4:130" x14ac:dyDescent="0.2">
      <c r="BA107" s="221">
        <v>102</v>
      </c>
      <c r="BB107" s="222" t="s">
        <v>861</v>
      </c>
      <c r="BC107" s="223"/>
      <c r="BD107" s="223"/>
      <c r="BE107" s="224"/>
      <c r="BF107" s="223"/>
      <c r="BG107" s="223"/>
      <c r="BH107" s="223"/>
      <c r="BI107" s="223"/>
      <c r="BJ107" s="223"/>
      <c r="BK107" s="223"/>
      <c r="BL107" s="223"/>
      <c r="BM107" s="223"/>
      <c r="BN107" s="223"/>
      <c r="BO107" s="223"/>
      <c r="BP107" s="223"/>
      <c r="BQ107" s="223"/>
      <c r="BR107" s="223"/>
      <c r="BS107" s="223"/>
      <c r="BT107" s="223"/>
      <c r="BU107" s="223"/>
      <c r="BV107" s="223"/>
      <c r="BW107" s="223"/>
      <c r="BX107" s="223"/>
      <c r="BY107" s="223"/>
      <c r="BZ107" s="223"/>
      <c r="CA107" s="223"/>
      <c r="CB107" s="223"/>
      <c r="CC107" s="223"/>
      <c r="CD107" s="223"/>
      <c r="CE107" s="223"/>
      <c r="CF107" s="223"/>
      <c r="CG107" s="223"/>
      <c r="CH107" s="223"/>
      <c r="CI107" s="223"/>
      <c r="CJ107" s="223"/>
      <c r="CK107" s="223"/>
      <c r="CL107" s="223"/>
      <c r="CM107" s="223"/>
      <c r="CN107" s="223"/>
      <c r="CO107" s="223"/>
      <c r="CP107" s="223"/>
      <c r="CQ107" s="223"/>
      <c r="CR107" s="223"/>
      <c r="CS107" s="223"/>
      <c r="CT107" s="223"/>
      <c r="CU107" s="223"/>
      <c r="CV107" s="223"/>
      <c r="CW107" s="223"/>
      <c r="CX107" s="223"/>
      <c r="CY107" s="223"/>
      <c r="CZ107" s="223"/>
      <c r="DA107" s="223"/>
      <c r="DB107" s="223"/>
      <c r="DC107" s="223"/>
      <c r="DD107" s="223"/>
      <c r="DE107" s="223"/>
      <c r="DF107" s="223"/>
      <c r="DG107" s="223"/>
      <c r="DH107" s="223"/>
      <c r="DI107" s="223"/>
      <c r="DJ107" s="223"/>
      <c r="DK107" s="223"/>
      <c r="DL107" s="223"/>
      <c r="DM107" s="223"/>
      <c r="DN107" s="223"/>
      <c r="DO107" s="223"/>
      <c r="DP107" s="223"/>
      <c r="DQ107" s="223"/>
      <c r="DR107" s="223"/>
      <c r="DS107" s="223"/>
      <c r="DT107" s="223"/>
      <c r="DU107" s="223"/>
      <c r="DV107" s="223"/>
      <c r="DW107" s="223"/>
      <c r="DX107" s="223"/>
      <c r="DY107" s="223"/>
      <c r="DZ107" s="48" t="s">
        <v>582</v>
      </c>
    </row>
    <row r="108" spans="4:130" x14ac:dyDescent="0.2">
      <c r="BA108" s="221">
        <v>103</v>
      </c>
      <c r="BB108" s="222"/>
      <c r="BC108" s="223"/>
      <c r="BD108" s="223"/>
      <c r="BE108" s="224"/>
      <c r="BF108" s="223"/>
      <c r="BG108" s="223"/>
      <c r="BH108" s="223"/>
      <c r="BI108" s="223"/>
      <c r="BJ108" s="223"/>
      <c r="BK108" s="223"/>
      <c r="BL108" s="223"/>
      <c r="BM108" s="223"/>
      <c r="BN108" s="223"/>
      <c r="BO108" s="223"/>
      <c r="BP108" s="223"/>
      <c r="BQ108" s="223"/>
      <c r="BR108" s="223"/>
      <c r="BS108" s="223"/>
      <c r="BT108" s="223"/>
      <c r="BU108" s="223"/>
      <c r="BV108" s="223"/>
      <c r="BW108" s="223"/>
      <c r="BX108" s="223"/>
      <c r="BY108" s="223"/>
      <c r="BZ108" s="223"/>
      <c r="CA108" s="223"/>
      <c r="CB108" s="223"/>
      <c r="CC108" s="223"/>
      <c r="CD108" s="223"/>
      <c r="CE108" s="223"/>
      <c r="CF108" s="223"/>
      <c r="CG108" s="223"/>
      <c r="CH108" s="223"/>
      <c r="CI108" s="223"/>
      <c r="CJ108" s="223"/>
      <c r="CK108" s="223"/>
      <c r="CL108" s="223"/>
      <c r="CM108" s="223"/>
      <c r="CN108" s="223"/>
      <c r="CO108" s="223"/>
      <c r="CP108" s="223"/>
      <c r="CQ108" s="223"/>
      <c r="CR108" s="223"/>
      <c r="CS108" s="223"/>
      <c r="CT108" s="223"/>
      <c r="CU108" s="223"/>
      <c r="CV108" s="223"/>
      <c r="CW108" s="223"/>
      <c r="CX108" s="223"/>
      <c r="CY108" s="223"/>
      <c r="CZ108" s="223"/>
      <c r="DA108" s="223"/>
      <c r="DB108" s="223"/>
      <c r="DC108" s="223"/>
      <c r="DD108" s="223"/>
      <c r="DE108" s="223"/>
      <c r="DF108" s="223"/>
      <c r="DG108" s="223"/>
      <c r="DH108" s="223"/>
      <c r="DI108" s="223"/>
      <c r="DJ108" s="223"/>
      <c r="DK108" s="223"/>
      <c r="DL108" s="223"/>
      <c r="DM108" s="223"/>
      <c r="DN108" s="223"/>
      <c r="DO108" s="223"/>
      <c r="DP108" s="223"/>
      <c r="DQ108" s="223"/>
      <c r="DR108" s="223"/>
      <c r="DS108" s="223"/>
      <c r="DT108" s="223"/>
      <c r="DU108" s="223"/>
      <c r="DV108" s="223"/>
      <c r="DW108" s="223"/>
      <c r="DX108" s="223"/>
      <c r="DY108" s="223"/>
      <c r="DZ108" s="48" t="s">
        <v>582</v>
      </c>
    </row>
    <row r="109" spans="4:130" x14ac:dyDescent="0.2">
      <c r="BA109" s="226">
        <v>104</v>
      </c>
      <c r="BB109" s="227"/>
      <c r="BC109" s="228"/>
      <c r="BD109" s="228"/>
      <c r="BE109" s="229"/>
      <c r="BF109" s="223"/>
      <c r="BG109" s="223"/>
      <c r="BH109" s="223"/>
      <c r="BI109" s="223"/>
      <c r="BJ109" s="223"/>
      <c r="BK109" s="223"/>
      <c r="BL109" s="223"/>
      <c r="BM109" s="223"/>
      <c r="BN109" s="223"/>
      <c r="BO109" s="223"/>
      <c r="BP109" s="223"/>
      <c r="BQ109" s="223"/>
      <c r="BR109" s="223"/>
      <c r="BS109" s="223"/>
      <c r="BT109" s="223"/>
      <c r="BU109" s="223"/>
      <c r="BV109" s="223"/>
      <c r="BW109" s="223"/>
      <c r="BX109" s="223"/>
      <c r="BY109" s="223"/>
      <c r="BZ109" s="223"/>
      <c r="CA109" s="223"/>
      <c r="CB109" s="223"/>
      <c r="CC109" s="223"/>
      <c r="CD109" s="223"/>
      <c r="CE109" s="223"/>
      <c r="CF109" s="223"/>
      <c r="CG109" s="223"/>
      <c r="CH109" s="223"/>
      <c r="CI109" s="223"/>
      <c r="CJ109" s="223"/>
      <c r="CK109" s="223"/>
      <c r="CL109" s="223"/>
      <c r="CM109" s="223"/>
      <c r="CN109" s="223"/>
      <c r="CO109" s="223"/>
      <c r="CP109" s="223"/>
      <c r="CQ109" s="223"/>
      <c r="CR109" s="223"/>
      <c r="CS109" s="223"/>
      <c r="CT109" s="223"/>
      <c r="CU109" s="223"/>
      <c r="CV109" s="223"/>
      <c r="CW109" s="223"/>
      <c r="CX109" s="223"/>
      <c r="CY109" s="223"/>
      <c r="CZ109" s="223"/>
      <c r="DA109" s="223"/>
      <c r="DB109" s="223"/>
      <c r="DC109" s="223"/>
      <c r="DD109" s="223"/>
      <c r="DE109" s="223"/>
      <c r="DF109" s="223"/>
      <c r="DG109" s="223"/>
      <c r="DH109" s="223"/>
      <c r="DI109" s="223"/>
      <c r="DJ109" s="223"/>
      <c r="DK109" s="223"/>
      <c r="DL109" s="223"/>
      <c r="DM109" s="223"/>
      <c r="DN109" s="223"/>
      <c r="DO109" s="223"/>
      <c r="DP109" s="223"/>
      <c r="DQ109" s="223"/>
      <c r="DR109" s="223"/>
      <c r="DS109" s="223"/>
      <c r="DT109" s="223"/>
      <c r="DU109" s="223"/>
      <c r="DV109" s="223"/>
      <c r="DW109" s="223"/>
      <c r="DX109" s="223"/>
      <c r="DY109" s="223"/>
      <c r="DZ109" s="51" t="s">
        <v>582</v>
      </c>
    </row>
    <row r="110" spans="4:130" x14ac:dyDescent="0.2">
      <c r="BA110" s="217">
        <v>105</v>
      </c>
      <c r="BB110" s="218" t="s">
        <v>862</v>
      </c>
      <c r="BC110" s="219"/>
      <c r="BD110" s="219"/>
      <c r="BE110" s="220"/>
      <c r="BF110" s="219"/>
      <c r="BG110" s="219"/>
      <c r="BH110" s="219"/>
      <c r="BI110" s="219"/>
      <c r="BJ110" s="219"/>
      <c r="BK110" s="219"/>
      <c r="BL110" s="219"/>
      <c r="BM110" s="219"/>
      <c r="BN110" s="219"/>
      <c r="BO110" s="219"/>
      <c r="BP110" s="219"/>
      <c r="BQ110" s="219"/>
      <c r="BR110" s="219"/>
      <c r="BS110" s="219"/>
      <c r="BT110" s="219"/>
      <c r="BU110" s="219"/>
      <c r="BV110" s="219"/>
      <c r="BW110" s="219"/>
      <c r="BX110" s="219"/>
      <c r="BY110" s="219"/>
      <c r="BZ110" s="219"/>
      <c r="CA110" s="219"/>
      <c r="CB110" s="219"/>
      <c r="CC110" s="219"/>
      <c r="CD110" s="219"/>
      <c r="CE110" s="219"/>
      <c r="CF110" s="219"/>
      <c r="CG110" s="219"/>
      <c r="CH110" s="219"/>
      <c r="CI110" s="219"/>
      <c r="CJ110" s="219"/>
      <c r="CK110" s="219"/>
      <c r="CL110" s="219"/>
      <c r="CM110" s="219"/>
      <c r="CN110" s="219"/>
      <c r="CO110" s="219"/>
      <c r="CP110" s="219"/>
      <c r="CQ110" s="219"/>
      <c r="CR110" s="219"/>
      <c r="CS110" s="219"/>
      <c r="CT110" s="219"/>
      <c r="CU110" s="219"/>
      <c r="CV110" s="219"/>
      <c r="CW110" s="219"/>
      <c r="CX110" s="219"/>
      <c r="CY110" s="219"/>
      <c r="CZ110" s="219"/>
      <c r="DA110" s="219"/>
      <c r="DB110" s="219"/>
      <c r="DC110" s="219"/>
      <c r="DD110" s="219"/>
      <c r="DE110" s="219"/>
      <c r="DF110" s="219"/>
      <c r="DG110" s="219"/>
      <c r="DH110" s="219"/>
      <c r="DI110" s="219"/>
      <c r="DJ110" s="219"/>
      <c r="DK110" s="219"/>
      <c r="DL110" s="219"/>
      <c r="DM110" s="219"/>
      <c r="DN110" s="219"/>
      <c r="DO110" s="219"/>
      <c r="DP110" s="219"/>
      <c r="DQ110" s="219"/>
      <c r="DR110" s="219"/>
      <c r="DS110" s="219"/>
      <c r="DT110" s="219"/>
      <c r="DU110" s="219"/>
      <c r="DV110" s="219"/>
      <c r="DW110" s="219"/>
      <c r="DX110" s="219"/>
      <c r="DY110" s="219"/>
      <c r="DZ110" s="45" t="s">
        <v>582</v>
      </c>
    </row>
    <row r="111" spans="4:130" x14ac:dyDescent="0.2">
      <c r="BA111" s="221">
        <v>106</v>
      </c>
      <c r="BB111" s="222" t="s">
        <v>863</v>
      </c>
      <c r="BC111" s="223"/>
      <c r="BD111" s="223"/>
      <c r="BE111" s="224"/>
      <c r="BF111" s="223"/>
      <c r="BG111" s="223"/>
      <c r="BH111" s="223"/>
      <c r="BI111" s="223"/>
      <c r="BJ111" s="223"/>
      <c r="BK111" s="223"/>
      <c r="BL111" s="223"/>
      <c r="BM111" s="223"/>
      <c r="BN111" s="223"/>
      <c r="BO111" s="223"/>
      <c r="BP111" s="223"/>
      <c r="BQ111" s="223"/>
      <c r="BR111" s="223"/>
      <c r="BS111" s="223"/>
      <c r="BT111" s="223"/>
      <c r="BU111" s="223"/>
      <c r="BV111" s="223"/>
      <c r="BW111" s="223"/>
      <c r="BX111" s="223"/>
      <c r="BY111" s="223"/>
      <c r="BZ111" s="223"/>
      <c r="CA111" s="223"/>
      <c r="CB111" s="223"/>
      <c r="CC111" s="223"/>
      <c r="CD111" s="223"/>
      <c r="CE111" s="223"/>
      <c r="CF111" s="223"/>
      <c r="CG111" s="223"/>
      <c r="CH111" s="223"/>
      <c r="CI111" s="223"/>
      <c r="CJ111" s="223"/>
      <c r="CK111" s="223"/>
      <c r="CL111" s="223"/>
      <c r="CM111" s="223"/>
      <c r="CN111" s="223"/>
      <c r="CO111" s="223"/>
      <c r="CP111" s="223"/>
      <c r="CQ111" s="223"/>
      <c r="CR111" s="223"/>
      <c r="CS111" s="223"/>
      <c r="CT111" s="223"/>
      <c r="CU111" s="223"/>
      <c r="CV111" s="223"/>
      <c r="CW111" s="223"/>
      <c r="CX111" s="223"/>
      <c r="CY111" s="223"/>
      <c r="CZ111" s="223"/>
      <c r="DA111" s="223"/>
      <c r="DB111" s="223"/>
      <c r="DC111" s="223"/>
      <c r="DD111" s="223"/>
      <c r="DE111" s="223"/>
      <c r="DF111" s="223"/>
      <c r="DG111" s="223"/>
      <c r="DH111" s="223"/>
      <c r="DI111" s="223"/>
      <c r="DJ111" s="223"/>
      <c r="DK111" s="223"/>
      <c r="DL111" s="223"/>
      <c r="DM111" s="223"/>
      <c r="DN111" s="223"/>
      <c r="DO111" s="223"/>
      <c r="DP111" s="223"/>
      <c r="DQ111" s="223"/>
      <c r="DR111" s="223"/>
      <c r="DS111" s="223"/>
      <c r="DT111" s="223"/>
      <c r="DU111" s="223"/>
      <c r="DV111" s="223"/>
      <c r="DW111" s="223"/>
      <c r="DX111" s="223"/>
      <c r="DY111" s="223"/>
      <c r="DZ111" s="48" t="s">
        <v>582</v>
      </c>
    </row>
    <row r="112" spans="4:130" x14ac:dyDescent="0.2">
      <c r="BA112" s="221">
        <v>107</v>
      </c>
      <c r="BB112" s="222"/>
      <c r="BC112" s="223"/>
      <c r="BD112" s="223"/>
      <c r="BE112" s="224"/>
      <c r="BF112" s="223"/>
      <c r="BG112" s="223"/>
      <c r="BH112" s="223"/>
      <c r="BI112" s="223"/>
      <c r="BJ112" s="223"/>
      <c r="BK112" s="223"/>
      <c r="BL112" s="223"/>
      <c r="BM112" s="223"/>
      <c r="BN112" s="223"/>
      <c r="BO112" s="223"/>
      <c r="BP112" s="223"/>
      <c r="BQ112" s="223"/>
      <c r="BR112" s="223"/>
      <c r="BS112" s="223"/>
      <c r="BT112" s="223"/>
      <c r="BU112" s="223"/>
      <c r="BV112" s="223"/>
      <c r="BW112" s="223"/>
      <c r="BX112" s="223"/>
      <c r="BY112" s="223"/>
      <c r="BZ112" s="223"/>
      <c r="CA112" s="223"/>
      <c r="CB112" s="223"/>
      <c r="CC112" s="223"/>
      <c r="CD112" s="223"/>
      <c r="CE112" s="223"/>
      <c r="CF112" s="223"/>
      <c r="CG112" s="223"/>
      <c r="CH112" s="223"/>
      <c r="CI112" s="223"/>
      <c r="CJ112" s="223"/>
      <c r="CK112" s="223"/>
      <c r="CL112" s="223"/>
      <c r="CM112" s="223"/>
      <c r="CN112" s="223"/>
      <c r="CO112" s="223"/>
      <c r="CP112" s="223"/>
      <c r="CQ112" s="223"/>
      <c r="CR112" s="223"/>
      <c r="CS112" s="223"/>
      <c r="CT112" s="223"/>
      <c r="CU112" s="223"/>
      <c r="CV112" s="223"/>
      <c r="CW112" s="223"/>
      <c r="CX112" s="223"/>
      <c r="CY112" s="223"/>
      <c r="CZ112" s="223"/>
      <c r="DA112" s="223"/>
      <c r="DB112" s="223"/>
      <c r="DC112" s="223"/>
      <c r="DD112" s="223"/>
      <c r="DE112" s="223"/>
      <c r="DF112" s="223"/>
      <c r="DG112" s="223"/>
      <c r="DH112" s="223"/>
      <c r="DI112" s="223"/>
      <c r="DJ112" s="223"/>
      <c r="DK112" s="223"/>
      <c r="DL112" s="223"/>
      <c r="DM112" s="223"/>
      <c r="DN112" s="223"/>
      <c r="DO112" s="223"/>
      <c r="DP112" s="223"/>
      <c r="DQ112" s="223"/>
      <c r="DR112" s="223"/>
      <c r="DS112" s="223"/>
      <c r="DT112" s="223"/>
      <c r="DU112" s="223"/>
      <c r="DV112" s="223"/>
      <c r="DW112" s="223"/>
      <c r="DX112" s="223"/>
      <c r="DY112" s="223"/>
      <c r="DZ112" s="48" t="s">
        <v>582</v>
      </c>
    </row>
    <row r="113" spans="53:130" x14ac:dyDescent="0.2">
      <c r="BA113" s="226">
        <v>108</v>
      </c>
      <c r="BB113" s="227"/>
      <c r="BC113" s="228"/>
      <c r="BD113" s="228"/>
      <c r="BE113" s="229"/>
      <c r="BF113" s="223"/>
      <c r="BG113" s="223"/>
      <c r="BH113" s="223"/>
      <c r="BI113" s="223"/>
      <c r="BJ113" s="223"/>
      <c r="BK113" s="223"/>
      <c r="BL113" s="223"/>
      <c r="BM113" s="223"/>
      <c r="BN113" s="223"/>
      <c r="BO113" s="223"/>
      <c r="BP113" s="223"/>
      <c r="BQ113" s="223"/>
      <c r="BR113" s="223"/>
      <c r="BS113" s="223"/>
      <c r="BT113" s="223"/>
      <c r="BU113" s="223"/>
      <c r="BV113" s="223"/>
      <c r="BW113" s="223"/>
      <c r="BX113" s="223"/>
      <c r="BY113" s="223"/>
      <c r="BZ113" s="223"/>
      <c r="CA113" s="223"/>
      <c r="CB113" s="223"/>
      <c r="CC113" s="223"/>
      <c r="CD113" s="223"/>
      <c r="CE113" s="223"/>
      <c r="CF113" s="223"/>
      <c r="CG113" s="223"/>
      <c r="CH113" s="223"/>
      <c r="CI113" s="223"/>
      <c r="CJ113" s="223"/>
      <c r="CK113" s="223"/>
      <c r="CL113" s="223"/>
      <c r="CM113" s="223"/>
      <c r="CN113" s="223"/>
      <c r="CO113" s="223"/>
      <c r="CP113" s="223"/>
      <c r="CQ113" s="223"/>
      <c r="CR113" s="223"/>
      <c r="CS113" s="223"/>
      <c r="CT113" s="223"/>
      <c r="CU113" s="223"/>
      <c r="CV113" s="223"/>
      <c r="CW113" s="223"/>
      <c r="CX113" s="223"/>
      <c r="CY113" s="223"/>
      <c r="CZ113" s="223"/>
      <c r="DA113" s="223"/>
      <c r="DB113" s="223"/>
      <c r="DC113" s="223"/>
      <c r="DD113" s="223"/>
      <c r="DE113" s="223"/>
      <c r="DF113" s="223"/>
      <c r="DG113" s="223"/>
      <c r="DH113" s="223"/>
      <c r="DI113" s="223"/>
      <c r="DJ113" s="223"/>
      <c r="DK113" s="223"/>
      <c r="DL113" s="223"/>
      <c r="DM113" s="223"/>
      <c r="DN113" s="223"/>
      <c r="DO113" s="223"/>
      <c r="DP113" s="223"/>
      <c r="DQ113" s="223"/>
      <c r="DR113" s="223"/>
      <c r="DS113" s="223"/>
      <c r="DT113" s="223"/>
      <c r="DU113" s="223"/>
      <c r="DV113" s="223"/>
      <c r="DW113" s="223"/>
      <c r="DX113" s="223"/>
      <c r="DY113" s="223"/>
      <c r="DZ113" s="51" t="s">
        <v>582</v>
      </c>
    </row>
    <row r="114" spans="53:130" x14ac:dyDescent="0.2">
      <c r="BA114" s="217">
        <v>109</v>
      </c>
      <c r="BB114" s="218" t="s">
        <v>864</v>
      </c>
      <c r="BC114" s="219"/>
      <c r="BD114" s="219"/>
      <c r="BE114" s="220"/>
      <c r="BF114" s="219"/>
      <c r="BG114" s="219"/>
      <c r="BH114" s="219"/>
      <c r="BI114" s="219"/>
      <c r="BJ114" s="219"/>
      <c r="BK114" s="219"/>
      <c r="BL114" s="219"/>
      <c r="BM114" s="219"/>
      <c r="BN114" s="219"/>
      <c r="BO114" s="219"/>
      <c r="BP114" s="219"/>
      <c r="BQ114" s="219"/>
      <c r="BR114" s="219"/>
      <c r="BS114" s="219"/>
      <c r="BT114" s="219"/>
      <c r="BU114" s="219"/>
      <c r="BV114" s="219"/>
      <c r="BW114" s="219"/>
      <c r="BX114" s="219"/>
      <c r="BY114" s="219"/>
      <c r="BZ114" s="219"/>
      <c r="CA114" s="219"/>
      <c r="CB114" s="219"/>
      <c r="CC114" s="219"/>
      <c r="CD114" s="219"/>
      <c r="CE114" s="219"/>
      <c r="CF114" s="219"/>
      <c r="CG114" s="219"/>
      <c r="CH114" s="219"/>
      <c r="CI114" s="219"/>
      <c r="CJ114" s="219"/>
      <c r="CK114" s="219"/>
      <c r="CL114" s="219"/>
      <c r="CM114" s="219"/>
      <c r="CN114" s="219"/>
      <c r="CO114" s="219"/>
      <c r="CP114" s="219"/>
      <c r="CQ114" s="219"/>
      <c r="CR114" s="219"/>
      <c r="CS114" s="219"/>
      <c r="CT114" s="219"/>
      <c r="CU114" s="219"/>
      <c r="CV114" s="219"/>
      <c r="CW114" s="219"/>
      <c r="CX114" s="219"/>
      <c r="CY114" s="219"/>
      <c r="CZ114" s="219"/>
      <c r="DA114" s="219"/>
      <c r="DB114" s="219"/>
      <c r="DC114" s="219"/>
      <c r="DD114" s="219"/>
      <c r="DE114" s="219"/>
      <c r="DF114" s="219"/>
      <c r="DG114" s="219"/>
      <c r="DH114" s="219"/>
      <c r="DI114" s="219"/>
      <c r="DJ114" s="219"/>
      <c r="DK114" s="219"/>
      <c r="DL114" s="219"/>
      <c r="DM114" s="219"/>
      <c r="DN114" s="219"/>
      <c r="DO114" s="219"/>
      <c r="DP114" s="219"/>
      <c r="DQ114" s="219"/>
      <c r="DR114" s="219"/>
      <c r="DS114" s="219"/>
      <c r="DT114" s="219"/>
      <c r="DU114" s="219"/>
      <c r="DV114" s="219"/>
      <c r="DW114" s="219"/>
      <c r="DX114" s="219"/>
      <c r="DY114" s="219"/>
      <c r="DZ114" s="45" t="s">
        <v>582</v>
      </c>
    </row>
    <row r="115" spans="53:130" x14ac:dyDescent="0.2">
      <c r="BA115" s="221">
        <v>110</v>
      </c>
      <c r="BB115" s="222" t="s">
        <v>865</v>
      </c>
      <c r="BC115" s="223"/>
      <c r="BD115" s="223"/>
      <c r="BE115" s="224"/>
      <c r="BF115" s="223"/>
      <c r="BG115" s="223"/>
      <c r="BH115" s="223"/>
      <c r="BI115" s="223"/>
      <c r="BJ115" s="223"/>
      <c r="BK115" s="223"/>
      <c r="BL115" s="223"/>
      <c r="BM115" s="223"/>
      <c r="BN115" s="223"/>
      <c r="BO115" s="223"/>
      <c r="BP115" s="223"/>
      <c r="BQ115" s="223"/>
      <c r="BR115" s="223"/>
      <c r="BS115" s="223"/>
      <c r="BT115" s="223"/>
      <c r="BU115" s="223"/>
      <c r="BV115" s="223"/>
      <c r="BW115" s="223"/>
      <c r="BX115" s="223"/>
      <c r="BY115" s="223"/>
      <c r="BZ115" s="223"/>
      <c r="CA115" s="223"/>
      <c r="CB115" s="223"/>
      <c r="CC115" s="223"/>
      <c r="CD115" s="223"/>
      <c r="CE115" s="223"/>
      <c r="CF115" s="223"/>
      <c r="CG115" s="223"/>
      <c r="CH115" s="223"/>
      <c r="CI115" s="223"/>
      <c r="CJ115" s="223"/>
      <c r="CK115" s="223"/>
      <c r="CL115" s="223"/>
      <c r="CM115" s="223"/>
      <c r="CN115" s="223"/>
      <c r="CO115" s="223"/>
      <c r="CP115" s="223"/>
      <c r="CQ115" s="223"/>
      <c r="CR115" s="223"/>
      <c r="CS115" s="223"/>
      <c r="CT115" s="223"/>
      <c r="CU115" s="223"/>
      <c r="CV115" s="223"/>
      <c r="CW115" s="223"/>
      <c r="CX115" s="223"/>
      <c r="CY115" s="223"/>
      <c r="CZ115" s="223"/>
      <c r="DA115" s="223"/>
      <c r="DB115" s="223"/>
      <c r="DC115" s="223"/>
      <c r="DD115" s="223"/>
      <c r="DE115" s="223"/>
      <c r="DF115" s="223"/>
      <c r="DG115" s="223"/>
      <c r="DH115" s="223"/>
      <c r="DI115" s="223"/>
      <c r="DJ115" s="223"/>
      <c r="DK115" s="223"/>
      <c r="DL115" s="223"/>
      <c r="DM115" s="223"/>
      <c r="DN115" s="223"/>
      <c r="DO115" s="223"/>
      <c r="DP115" s="223"/>
      <c r="DQ115" s="223"/>
      <c r="DR115" s="223"/>
      <c r="DS115" s="223"/>
      <c r="DT115" s="223"/>
      <c r="DU115" s="223"/>
      <c r="DV115" s="223"/>
      <c r="DW115" s="223"/>
      <c r="DX115" s="223"/>
      <c r="DY115" s="223"/>
      <c r="DZ115" s="48" t="s">
        <v>582</v>
      </c>
    </row>
    <row r="116" spans="53:130" x14ac:dyDescent="0.2">
      <c r="BA116" s="221">
        <v>111</v>
      </c>
      <c r="BB116" s="222"/>
      <c r="BC116" s="223"/>
      <c r="BD116" s="223"/>
      <c r="BE116" s="224"/>
      <c r="BF116" s="223"/>
      <c r="BG116" s="223"/>
      <c r="BH116" s="223"/>
      <c r="BI116" s="223"/>
      <c r="BJ116" s="223"/>
      <c r="BK116" s="223"/>
      <c r="BL116" s="223"/>
      <c r="BM116" s="223"/>
      <c r="BN116" s="223"/>
      <c r="BO116" s="223"/>
      <c r="BP116" s="223"/>
      <c r="BQ116" s="223"/>
      <c r="BR116" s="223"/>
      <c r="BS116" s="223"/>
      <c r="BT116" s="223"/>
      <c r="BU116" s="223"/>
      <c r="BV116" s="223"/>
      <c r="BW116" s="223"/>
      <c r="BX116" s="223"/>
      <c r="BY116" s="223"/>
      <c r="BZ116" s="223"/>
      <c r="CA116" s="223"/>
      <c r="CB116" s="223"/>
      <c r="CC116" s="223"/>
      <c r="CD116" s="223"/>
      <c r="CE116" s="223"/>
      <c r="CF116" s="223"/>
      <c r="CG116" s="223"/>
      <c r="CH116" s="223"/>
      <c r="CI116" s="223"/>
      <c r="CJ116" s="223"/>
      <c r="CK116" s="223"/>
      <c r="CL116" s="223"/>
      <c r="CM116" s="223"/>
      <c r="CN116" s="223"/>
      <c r="CO116" s="223"/>
      <c r="CP116" s="223"/>
      <c r="CQ116" s="223"/>
      <c r="CR116" s="223"/>
      <c r="CS116" s="223"/>
      <c r="CT116" s="223"/>
      <c r="CU116" s="223"/>
      <c r="CV116" s="223"/>
      <c r="CW116" s="223"/>
      <c r="CX116" s="223"/>
      <c r="CY116" s="223"/>
      <c r="CZ116" s="223"/>
      <c r="DA116" s="223"/>
      <c r="DB116" s="223"/>
      <c r="DC116" s="223"/>
      <c r="DD116" s="223"/>
      <c r="DE116" s="223"/>
      <c r="DF116" s="223"/>
      <c r="DG116" s="223"/>
      <c r="DH116" s="223"/>
      <c r="DI116" s="223"/>
      <c r="DJ116" s="223"/>
      <c r="DK116" s="223"/>
      <c r="DL116" s="223"/>
      <c r="DM116" s="223"/>
      <c r="DN116" s="223"/>
      <c r="DO116" s="223"/>
      <c r="DP116" s="223"/>
      <c r="DQ116" s="223"/>
      <c r="DR116" s="223"/>
      <c r="DS116" s="223"/>
      <c r="DT116" s="223"/>
      <c r="DU116" s="223"/>
      <c r="DV116" s="223"/>
      <c r="DW116" s="223"/>
      <c r="DX116" s="223"/>
      <c r="DY116" s="223"/>
      <c r="DZ116" s="48" t="s">
        <v>582</v>
      </c>
    </row>
    <row r="117" spans="53:130" x14ac:dyDescent="0.2">
      <c r="BA117" s="226">
        <v>112</v>
      </c>
      <c r="BB117" s="227"/>
      <c r="BC117" s="228"/>
      <c r="BD117" s="228"/>
      <c r="BE117" s="229"/>
      <c r="BF117" s="223"/>
      <c r="BG117" s="223"/>
      <c r="BH117" s="223"/>
      <c r="BI117" s="223"/>
      <c r="BJ117" s="223"/>
      <c r="BK117" s="223"/>
      <c r="BL117" s="223"/>
      <c r="BM117" s="223"/>
      <c r="BN117" s="223"/>
      <c r="BO117" s="223"/>
      <c r="BP117" s="223"/>
      <c r="BQ117" s="223"/>
      <c r="BR117" s="223"/>
      <c r="BS117" s="223"/>
      <c r="BT117" s="223"/>
      <c r="BU117" s="223"/>
      <c r="BV117" s="223"/>
      <c r="BW117" s="223"/>
      <c r="BX117" s="223"/>
      <c r="BY117" s="223"/>
      <c r="BZ117" s="223"/>
      <c r="CA117" s="223"/>
      <c r="CB117" s="223"/>
      <c r="CC117" s="223"/>
      <c r="CD117" s="223"/>
      <c r="CE117" s="223"/>
      <c r="CF117" s="223"/>
      <c r="CG117" s="223"/>
      <c r="CH117" s="223"/>
      <c r="CI117" s="223"/>
      <c r="CJ117" s="223"/>
      <c r="CK117" s="223"/>
      <c r="CL117" s="223"/>
      <c r="CM117" s="223"/>
      <c r="CN117" s="223"/>
      <c r="CO117" s="223"/>
      <c r="CP117" s="223"/>
      <c r="CQ117" s="223"/>
      <c r="CR117" s="223"/>
      <c r="CS117" s="223"/>
      <c r="CT117" s="223"/>
      <c r="CU117" s="223"/>
      <c r="CV117" s="223"/>
      <c r="CW117" s="223"/>
      <c r="CX117" s="223"/>
      <c r="CY117" s="223"/>
      <c r="CZ117" s="223"/>
      <c r="DA117" s="223"/>
      <c r="DB117" s="223"/>
      <c r="DC117" s="223"/>
      <c r="DD117" s="223"/>
      <c r="DE117" s="223"/>
      <c r="DF117" s="223"/>
      <c r="DG117" s="223"/>
      <c r="DH117" s="223"/>
      <c r="DI117" s="223"/>
      <c r="DJ117" s="223"/>
      <c r="DK117" s="223"/>
      <c r="DL117" s="223"/>
      <c r="DM117" s="223"/>
      <c r="DN117" s="223"/>
      <c r="DO117" s="223"/>
      <c r="DP117" s="223"/>
      <c r="DQ117" s="223"/>
      <c r="DR117" s="223"/>
      <c r="DS117" s="223"/>
      <c r="DT117" s="223"/>
      <c r="DU117" s="223"/>
      <c r="DV117" s="223"/>
      <c r="DW117" s="223"/>
      <c r="DX117" s="223"/>
      <c r="DY117" s="223"/>
      <c r="DZ117" s="51" t="s">
        <v>582</v>
      </c>
    </row>
    <row r="118" spans="53:130" x14ac:dyDescent="0.2">
      <c r="BA118" s="217">
        <v>113</v>
      </c>
      <c r="BB118" s="218" t="s">
        <v>649</v>
      </c>
      <c r="BC118" s="219"/>
      <c r="BD118" s="219"/>
      <c r="BE118" s="220"/>
      <c r="BF118" s="219"/>
      <c r="BG118" s="219"/>
      <c r="BH118" s="219"/>
      <c r="BI118" s="219"/>
      <c r="BJ118" s="219"/>
      <c r="BK118" s="219"/>
      <c r="BL118" s="219"/>
      <c r="BM118" s="219"/>
      <c r="BN118" s="219"/>
      <c r="BO118" s="219"/>
      <c r="BP118" s="219"/>
      <c r="BQ118" s="219"/>
      <c r="BR118" s="219"/>
      <c r="BS118" s="219"/>
      <c r="BT118" s="219"/>
      <c r="BU118" s="219"/>
      <c r="BV118" s="219"/>
      <c r="BW118" s="219"/>
      <c r="BX118" s="219"/>
      <c r="BY118" s="219"/>
      <c r="BZ118" s="219"/>
      <c r="CA118" s="219"/>
      <c r="CB118" s="219"/>
      <c r="CC118" s="219"/>
      <c r="CD118" s="219"/>
      <c r="CE118" s="219"/>
      <c r="CF118" s="219"/>
      <c r="CG118" s="219"/>
      <c r="CH118" s="219"/>
      <c r="CI118" s="219"/>
      <c r="CJ118" s="219"/>
      <c r="CK118" s="219"/>
      <c r="CL118" s="219"/>
      <c r="CM118" s="219"/>
      <c r="CN118" s="219"/>
      <c r="CO118" s="219"/>
      <c r="CP118" s="219"/>
      <c r="CQ118" s="219"/>
      <c r="CR118" s="219"/>
      <c r="CS118" s="219"/>
      <c r="CT118" s="219"/>
      <c r="CU118" s="219"/>
      <c r="CV118" s="219"/>
      <c r="CW118" s="219"/>
      <c r="CX118" s="219"/>
      <c r="CY118" s="219"/>
      <c r="CZ118" s="219"/>
      <c r="DA118" s="219"/>
      <c r="DB118" s="219"/>
      <c r="DC118" s="219"/>
      <c r="DD118" s="219"/>
      <c r="DE118" s="219"/>
      <c r="DF118" s="219"/>
      <c r="DG118" s="219"/>
      <c r="DH118" s="219"/>
      <c r="DI118" s="219"/>
      <c r="DJ118" s="219"/>
      <c r="DK118" s="219"/>
      <c r="DL118" s="219"/>
      <c r="DM118" s="219"/>
      <c r="DN118" s="219"/>
      <c r="DO118" s="219"/>
      <c r="DP118" s="219"/>
      <c r="DQ118" s="219"/>
      <c r="DR118" s="219"/>
      <c r="DS118" s="219"/>
      <c r="DT118" s="219"/>
      <c r="DU118" s="219"/>
      <c r="DV118" s="219"/>
      <c r="DW118" s="219"/>
      <c r="DX118" s="219"/>
      <c r="DY118" s="219"/>
      <c r="DZ118" s="45" t="s">
        <v>582</v>
      </c>
    </row>
    <row r="119" spans="53:130" x14ac:dyDescent="0.2">
      <c r="BA119" s="221">
        <v>114</v>
      </c>
      <c r="BB119" s="222" t="s">
        <v>866</v>
      </c>
      <c r="BC119" s="223"/>
      <c r="BD119" s="223"/>
      <c r="BE119" s="224"/>
      <c r="BF119" s="223"/>
      <c r="BG119" s="223"/>
      <c r="BH119" s="223"/>
      <c r="BI119" s="223"/>
      <c r="BJ119" s="223"/>
      <c r="BK119" s="223"/>
      <c r="BL119" s="223"/>
      <c r="BM119" s="223"/>
      <c r="BN119" s="223"/>
      <c r="BO119" s="223"/>
      <c r="BP119" s="223"/>
      <c r="BQ119" s="223"/>
      <c r="BR119" s="223"/>
      <c r="BS119" s="223"/>
      <c r="BT119" s="223"/>
      <c r="BU119" s="223"/>
      <c r="BV119" s="223"/>
      <c r="BW119" s="223"/>
      <c r="BX119" s="223"/>
      <c r="BY119" s="223"/>
      <c r="BZ119" s="223"/>
      <c r="CA119" s="223"/>
      <c r="CB119" s="223"/>
      <c r="CC119" s="223"/>
      <c r="CD119" s="223"/>
      <c r="CE119" s="223"/>
      <c r="CF119" s="223"/>
      <c r="CG119" s="223"/>
      <c r="CH119" s="223"/>
      <c r="CI119" s="223"/>
      <c r="CJ119" s="223"/>
      <c r="CK119" s="223"/>
      <c r="CL119" s="223"/>
      <c r="CM119" s="223"/>
      <c r="CN119" s="223"/>
      <c r="CO119" s="223"/>
      <c r="CP119" s="223"/>
      <c r="CQ119" s="223"/>
      <c r="CR119" s="223"/>
      <c r="CS119" s="223"/>
      <c r="CT119" s="223"/>
      <c r="CU119" s="223"/>
      <c r="CV119" s="223"/>
      <c r="CW119" s="223"/>
      <c r="CX119" s="223"/>
      <c r="CY119" s="223"/>
      <c r="CZ119" s="223"/>
      <c r="DA119" s="223"/>
      <c r="DB119" s="223"/>
      <c r="DC119" s="223"/>
      <c r="DD119" s="223"/>
      <c r="DE119" s="223"/>
      <c r="DF119" s="223"/>
      <c r="DG119" s="223"/>
      <c r="DH119" s="223"/>
      <c r="DI119" s="223"/>
      <c r="DJ119" s="223"/>
      <c r="DK119" s="223"/>
      <c r="DL119" s="223"/>
      <c r="DM119" s="223"/>
      <c r="DN119" s="223"/>
      <c r="DO119" s="223"/>
      <c r="DP119" s="223"/>
      <c r="DQ119" s="223"/>
      <c r="DR119" s="223"/>
      <c r="DS119" s="223"/>
      <c r="DT119" s="223"/>
      <c r="DU119" s="223"/>
      <c r="DV119" s="223"/>
      <c r="DW119" s="223"/>
      <c r="DX119" s="223"/>
      <c r="DY119" s="223"/>
      <c r="DZ119" s="48" t="s">
        <v>582</v>
      </c>
    </row>
    <row r="120" spans="53:130" x14ac:dyDescent="0.2">
      <c r="BA120" s="221">
        <v>115</v>
      </c>
      <c r="BB120" s="222"/>
      <c r="BC120" s="223"/>
      <c r="BD120" s="223"/>
      <c r="BE120" s="224"/>
      <c r="BF120" s="223"/>
      <c r="BG120" s="223"/>
      <c r="BH120" s="223"/>
      <c r="BI120" s="223"/>
      <c r="BJ120" s="223"/>
      <c r="BK120" s="223"/>
      <c r="BL120" s="223"/>
      <c r="BM120" s="223"/>
      <c r="BN120" s="223"/>
      <c r="BO120" s="223"/>
      <c r="BP120" s="223"/>
      <c r="BQ120" s="223"/>
      <c r="BR120" s="223"/>
      <c r="BS120" s="223"/>
      <c r="BT120" s="223"/>
      <c r="BU120" s="223"/>
      <c r="BV120" s="223"/>
      <c r="BW120" s="223"/>
      <c r="BX120" s="223"/>
      <c r="BY120" s="223"/>
      <c r="BZ120" s="223"/>
      <c r="CA120" s="223"/>
      <c r="CB120" s="223"/>
      <c r="CC120" s="223"/>
      <c r="CD120" s="223"/>
      <c r="CE120" s="223"/>
      <c r="CF120" s="223"/>
      <c r="CG120" s="223"/>
      <c r="CH120" s="223"/>
      <c r="CI120" s="223"/>
      <c r="CJ120" s="223"/>
      <c r="CK120" s="223"/>
      <c r="CL120" s="223"/>
      <c r="CM120" s="223"/>
      <c r="CN120" s="223"/>
      <c r="CO120" s="223"/>
      <c r="CP120" s="223"/>
      <c r="CQ120" s="223"/>
      <c r="CR120" s="223"/>
      <c r="CS120" s="223"/>
      <c r="CT120" s="223"/>
      <c r="CU120" s="223"/>
      <c r="CV120" s="223"/>
      <c r="CW120" s="223"/>
      <c r="CX120" s="223"/>
      <c r="CY120" s="223"/>
      <c r="CZ120" s="223"/>
      <c r="DA120" s="223"/>
      <c r="DB120" s="223"/>
      <c r="DC120" s="223"/>
      <c r="DD120" s="223"/>
      <c r="DE120" s="223"/>
      <c r="DF120" s="223"/>
      <c r="DG120" s="223"/>
      <c r="DH120" s="223"/>
      <c r="DI120" s="223"/>
      <c r="DJ120" s="223"/>
      <c r="DK120" s="223"/>
      <c r="DL120" s="223"/>
      <c r="DM120" s="223"/>
      <c r="DN120" s="223"/>
      <c r="DO120" s="223"/>
      <c r="DP120" s="223"/>
      <c r="DQ120" s="223"/>
      <c r="DR120" s="223"/>
      <c r="DS120" s="223"/>
      <c r="DT120" s="223"/>
      <c r="DU120" s="223"/>
      <c r="DV120" s="223"/>
      <c r="DW120" s="223"/>
      <c r="DX120" s="223"/>
      <c r="DY120" s="223"/>
      <c r="DZ120" s="48" t="s">
        <v>582</v>
      </c>
    </row>
    <row r="121" spans="53:130" x14ac:dyDescent="0.2">
      <c r="BA121" s="226">
        <v>116</v>
      </c>
      <c r="BB121" s="227"/>
      <c r="BC121" s="228"/>
      <c r="BD121" s="228"/>
      <c r="BE121" s="229"/>
      <c r="BF121" s="223"/>
      <c r="BG121" s="223"/>
      <c r="BH121" s="223"/>
      <c r="BI121" s="223"/>
      <c r="BJ121" s="223"/>
      <c r="BK121" s="223"/>
      <c r="BL121" s="223"/>
      <c r="BM121" s="223"/>
      <c r="BN121" s="223"/>
      <c r="BO121" s="223"/>
      <c r="BP121" s="223"/>
      <c r="BQ121" s="223"/>
      <c r="BR121" s="223"/>
      <c r="BS121" s="223"/>
      <c r="BT121" s="223"/>
      <c r="BU121" s="223"/>
      <c r="BV121" s="223"/>
      <c r="BW121" s="223"/>
      <c r="BX121" s="223"/>
      <c r="BY121" s="223"/>
      <c r="BZ121" s="223"/>
      <c r="CA121" s="223"/>
      <c r="CB121" s="223"/>
      <c r="CC121" s="223"/>
      <c r="CD121" s="223"/>
      <c r="CE121" s="223"/>
      <c r="CF121" s="223"/>
      <c r="CG121" s="223"/>
      <c r="CH121" s="223"/>
      <c r="CI121" s="223"/>
      <c r="CJ121" s="223"/>
      <c r="CK121" s="223"/>
      <c r="CL121" s="223"/>
      <c r="CM121" s="223"/>
      <c r="CN121" s="223"/>
      <c r="CO121" s="223"/>
      <c r="CP121" s="223"/>
      <c r="CQ121" s="223"/>
      <c r="CR121" s="223"/>
      <c r="CS121" s="223"/>
      <c r="CT121" s="223"/>
      <c r="CU121" s="223"/>
      <c r="CV121" s="223"/>
      <c r="CW121" s="223"/>
      <c r="CX121" s="223"/>
      <c r="CY121" s="223"/>
      <c r="CZ121" s="223"/>
      <c r="DA121" s="223"/>
      <c r="DB121" s="223"/>
      <c r="DC121" s="223"/>
      <c r="DD121" s="223"/>
      <c r="DE121" s="223"/>
      <c r="DF121" s="223"/>
      <c r="DG121" s="223"/>
      <c r="DH121" s="223"/>
      <c r="DI121" s="223"/>
      <c r="DJ121" s="223"/>
      <c r="DK121" s="223"/>
      <c r="DL121" s="223"/>
      <c r="DM121" s="223"/>
      <c r="DN121" s="223"/>
      <c r="DO121" s="223"/>
      <c r="DP121" s="223"/>
      <c r="DQ121" s="223"/>
      <c r="DR121" s="223"/>
      <c r="DS121" s="223"/>
      <c r="DT121" s="223"/>
      <c r="DU121" s="223"/>
      <c r="DV121" s="223"/>
      <c r="DW121" s="223"/>
      <c r="DX121" s="223"/>
      <c r="DY121" s="223"/>
      <c r="DZ121" s="51" t="s">
        <v>582</v>
      </c>
    </row>
    <row r="122" spans="53:130" x14ac:dyDescent="0.2">
      <c r="BA122" s="217">
        <v>117</v>
      </c>
      <c r="BB122" s="218" t="s">
        <v>650</v>
      </c>
      <c r="BC122" s="219"/>
      <c r="BD122" s="219"/>
      <c r="BE122" s="220"/>
      <c r="BF122" s="219"/>
      <c r="BG122" s="219"/>
      <c r="BH122" s="219"/>
      <c r="BI122" s="219"/>
      <c r="BJ122" s="219"/>
      <c r="BK122" s="219"/>
      <c r="BL122" s="219"/>
      <c r="BM122" s="219"/>
      <c r="BN122" s="219"/>
      <c r="BO122" s="219"/>
      <c r="BP122" s="219"/>
      <c r="BQ122" s="219"/>
      <c r="BR122" s="219"/>
      <c r="BS122" s="219"/>
      <c r="BT122" s="219"/>
      <c r="BU122" s="219"/>
      <c r="BV122" s="219"/>
      <c r="BW122" s="219"/>
      <c r="BX122" s="219"/>
      <c r="BY122" s="219"/>
      <c r="BZ122" s="219"/>
      <c r="CA122" s="219"/>
      <c r="CB122" s="219"/>
      <c r="CC122" s="219"/>
      <c r="CD122" s="219"/>
      <c r="CE122" s="219"/>
      <c r="CF122" s="219"/>
      <c r="CG122" s="219"/>
      <c r="CH122" s="219"/>
      <c r="CI122" s="219"/>
      <c r="CJ122" s="219"/>
      <c r="CK122" s="219"/>
      <c r="CL122" s="219"/>
      <c r="CM122" s="219"/>
      <c r="CN122" s="219"/>
      <c r="CO122" s="219"/>
      <c r="CP122" s="219"/>
      <c r="CQ122" s="219"/>
      <c r="CR122" s="219"/>
      <c r="CS122" s="219"/>
      <c r="CT122" s="219"/>
      <c r="CU122" s="219"/>
      <c r="CV122" s="219"/>
      <c r="CW122" s="219"/>
      <c r="CX122" s="219"/>
      <c r="CY122" s="219"/>
      <c r="CZ122" s="219"/>
      <c r="DA122" s="219"/>
      <c r="DB122" s="219"/>
      <c r="DC122" s="219"/>
      <c r="DD122" s="219"/>
      <c r="DE122" s="219"/>
      <c r="DF122" s="219"/>
      <c r="DG122" s="219"/>
      <c r="DH122" s="219"/>
      <c r="DI122" s="219"/>
      <c r="DJ122" s="219"/>
      <c r="DK122" s="219"/>
      <c r="DL122" s="219"/>
      <c r="DM122" s="219"/>
      <c r="DN122" s="219"/>
      <c r="DO122" s="219"/>
      <c r="DP122" s="219"/>
      <c r="DQ122" s="219"/>
      <c r="DR122" s="219"/>
      <c r="DS122" s="219"/>
      <c r="DT122" s="219"/>
      <c r="DU122" s="219"/>
      <c r="DV122" s="219"/>
      <c r="DW122" s="219"/>
      <c r="DX122" s="219"/>
      <c r="DY122" s="219"/>
      <c r="DZ122" s="45" t="s">
        <v>582</v>
      </c>
    </row>
    <row r="123" spans="53:130" x14ac:dyDescent="0.2">
      <c r="BA123" s="221">
        <v>118</v>
      </c>
      <c r="BB123" s="222" t="s">
        <v>867</v>
      </c>
      <c r="BC123" s="223"/>
      <c r="BD123" s="223"/>
      <c r="BE123" s="224"/>
      <c r="BF123" s="223"/>
      <c r="BG123" s="223"/>
      <c r="BH123" s="223"/>
      <c r="BI123" s="223"/>
      <c r="BJ123" s="223"/>
      <c r="BK123" s="223"/>
      <c r="BL123" s="223"/>
      <c r="BM123" s="223"/>
      <c r="BN123" s="223"/>
      <c r="BO123" s="223"/>
      <c r="BP123" s="223"/>
      <c r="BQ123" s="223"/>
      <c r="BR123" s="223"/>
      <c r="BS123" s="223"/>
      <c r="BT123" s="223"/>
      <c r="BU123" s="223"/>
      <c r="BV123" s="223"/>
      <c r="BW123" s="223"/>
      <c r="BX123" s="223"/>
      <c r="BY123" s="223"/>
      <c r="BZ123" s="223"/>
      <c r="CA123" s="223"/>
      <c r="CB123" s="223"/>
      <c r="CC123" s="223"/>
      <c r="CD123" s="223"/>
      <c r="CE123" s="223"/>
      <c r="CF123" s="223"/>
      <c r="CG123" s="223"/>
      <c r="CH123" s="223"/>
      <c r="CI123" s="223"/>
      <c r="CJ123" s="223"/>
      <c r="CK123" s="223"/>
      <c r="CL123" s="223"/>
      <c r="CM123" s="223"/>
      <c r="CN123" s="223"/>
      <c r="CO123" s="223"/>
      <c r="CP123" s="223"/>
      <c r="CQ123" s="223"/>
      <c r="CR123" s="223"/>
      <c r="CS123" s="223"/>
      <c r="CT123" s="223"/>
      <c r="CU123" s="223"/>
      <c r="CV123" s="223"/>
      <c r="CW123" s="223"/>
      <c r="CX123" s="223"/>
      <c r="CY123" s="223"/>
      <c r="CZ123" s="223"/>
      <c r="DA123" s="223"/>
      <c r="DB123" s="223"/>
      <c r="DC123" s="223"/>
      <c r="DD123" s="223"/>
      <c r="DE123" s="223"/>
      <c r="DF123" s="223"/>
      <c r="DG123" s="223"/>
      <c r="DH123" s="223"/>
      <c r="DI123" s="223"/>
      <c r="DJ123" s="223"/>
      <c r="DK123" s="223"/>
      <c r="DL123" s="223"/>
      <c r="DM123" s="223"/>
      <c r="DN123" s="223"/>
      <c r="DO123" s="223"/>
      <c r="DP123" s="223"/>
      <c r="DQ123" s="223"/>
      <c r="DR123" s="223"/>
      <c r="DS123" s="223"/>
      <c r="DT123" s="223"/>
      <c r="DU123" s="223"/>
      <c r="DV123" s="223"/>
      <c r="DW123" s="223"/>
      <c r="DX123" s="223"/>
      <c r="DY123" s="223"/>
      <c r="DZ123" s="48" t="s">
        <v>582</v>
      </c>
    </row>
    <row r="124" spans="53:130" x14ac:dyDescent="0.2">
      <c r="BA124" s="221">
        <v>119</v>
      </c>
      <c r="BB124" s="222"/>
      <c r="BC124" s="223"/>
      <c r="BD124" s="223"/>
      <c r="BE124" s="224"/>
      <c r="BF124" s="223"/>
      <c r="BG124" s="223"/>
      <c r="BH124" s="223"/>
      <c r="BI124" s="223"/>
      <c r="BJ124" s="223"/>
      <c r="BK124" s="223"/>
      <c r="BL124" s="223"/>
      <c r="BM124" s="223"/>
      <c r="BN124" s="223"/>
      <c r="BO124" s="223"/>
      <c r="BP124" s="223"/>
      <c r="BQ124" s="223"/>
      <c r="BR124" s="223"/>
      <c r="BS124" s="223"/>
      <c r="BT124" s="223"/>
      <c r="BU124" s="223"/>
      <c r="BV124" s="223"/>
      <c r="BW124" s="223"/>
      <c r="BX124" s="223"/>
      <c r="BY124" s="223"/>
      <c r="BZ124" s="223"/>
      <c r="CA124" s="223"/>
      <c r="CB124" s="223"/>
      <c r="CC124" s="223"/>
      <c r="CD124" s="223"/>
      <c r="CE124" s="223"/>
      <c r="CF124" s="223"/>
      <c r="CG124" s="223"/>
      <c r="CH124" s="223"/>
      <c r="CI124" s="223"/>
      <c r="CJ124" s="223"/>
      <c r="CK124" s="223"/>
      <c r="CL124" s="223"/>
      <c r="CM124" s="223"/>
      <c r="CN124" s="223"/>
      <c r="CO124" s="223"/>
      <c r="CP124" s="223"/>
      <c r="CQ124" s="223"/>
      <c r="CR124" s="223"/>
      <c r="CS124" s="223"/>
      <c r="CT124" s="223"/>
      <c r="CU124" s="223"/>
      <c r="CV124" s="223"/>
      <c r="CW124" s="223"/>
      <c r="CX124" s="223"/>
      <c r="CY124" s="223"/>
      <c r="CZ124" s="223"/>
      <c r="DA124" s="223"/>
      <c r="DB124" s="223"/>
      <c r="DC124" s="223"/>
      <c r="DD124" s="223"/>
      <c r="DE124" s="223"/>
      <c r="DF124" s="223"/>
      <c r="DG124" s="223"/>
      <c r="DH124" s="223"/>
      <c r="DI124" s="223"/>
      <c r="DJ124" s="223"/>
      <c r="DK124" s="223"/>
      <c r="DL124" s="223"/>
      <c r="DM124" s="223"/>
      <c r="DN124" s="223"/>
      <c r="DO124" s="223"/>
      <c r="DP124" s="223"/>
      <c r="DQ124" s="223"/>
      <c r="DR124" s="223"/>
      <c r="DS124" s="223"/>
      <c r="DT124" s="223"/>
      <c r="DU124" s="223"/>
      <c r="DV124" s="223"/>
      <c r="DW124" s="223"/>
      <c r="DX124" s="223"/>
      <c r="DY124" s="223"/>
      <c r="DZ124" s="48" t="s">
        <v>582</v>
      </c>
    </row>
    <row r="125" spans="53:130" x14ac:dyDescent="0.2">
      <c r="BA125" s="226">
        <v>120</v>
      </c>
      <c r="BB125" s="227"/>
      <c r="BC125" s="228"/>
      <c r="BD125" s="228"/>
      <c r="BE125" s="229"/>
      <c r="BF125" s="223"/>
      <c r="BG125" s="223"/>
      <c r="BH125" s="223"/>
      <c r="BI125" s="223"/>
      <c r="BJ125" s="223"/>
      <c r="BK125" s="223"/>
      <c r="BL125" s="223"/>
      <c r="BM125" s="223"/>
      <c r="BN125" s="223"/>
      <c r="BO125" s="223"/>
      <c r="BP125" s="223"/>
      <c r="BQ125" s="223"/>
      <c r="BR125" s="223"/>
      <c r="BS125" s="223"/>
      <c r="BT125" s="223"/>
      <c r="BU125" s="223"/>
      <c r="BV125" s="223"/>
      <c r="BW125" s="223"/>
      <c r="BX125" s="223"/>
      <c r="BY125" s="223"/>
      <c r="BZ125" s="223"/>
      <c r="CA125" s="223"/>
      <c r="CB125" s="223"/>
      <c r="CC125" s="223"/>
      <c r="CD125" s="223"/>
      <c r="CE125" s="223"/>
      <c r="CF125" s="223"/>
      <c r="CG125" s="223"/>
      <c r="CH125" s="223"/>
      <c r="CI125" s="223"/>
      <c r="CJ125" s="223"/>
      <c r="CK125" s="223"/>
      <c r="CL125" s="223"/>
      <c r="CM125" s="223"/>
      <c r="CN125" s="223"/>
      <c r="CO125" s="223"/>
      <c r="CP125" s="223"/>
      <c r="CQ125" s="223"/>
      <c r="CR125" s="223"/>
      <c r="CS125" s="223"/>
      <c r="CT125" s="223"/>
      <c r="CU125" s="223"/>
      <c r="CV125" s="223"/>
      <c r="CW125" s="223"/>
      <c r="CX125" s="223"/>
      <c r="CY125" s="223"/>
      <c r="CZ125" s="223"/>
      <c r="DA125" s="223"/>
      <c r="DB125" s="223"/>
      <c r="DC125" s="223"/>
      <c r="DD125" s="223"/>
      <c r="DE125" s="223"/>
      <c r="DF125" s="223"/>
      <c r="DG125" s="223"/>
      <c r="DH125" s="223"/>
      <c r="DI125" s="223"/>
      <c r="DJ125" s="223"/>
      <c r="DK125" s="223"/>
      <c r="DL125" s="223"/>
      <c r="DM125" s="223"/>
      <c r="DN125" s="223"/>
      <c r="DO125" s="223"/>
      <c r="DP125" s="223"/>
      <c r="DQ125" s="223"/>
      <c r="DR125" s="223"/>
      <c r="DS125" s="223"/>
      <c r="DT125" s="223"/>
      <c r="DU125" s="223"/>
      <c r="DV125" s="223"/>
      <c r="DW125" s="223"/>
      <c r="DX125" s="223"/>
      <c r="DY125" s="223"/>
      <c r="DZ125" s="51" t="s">
        <v>582</v>
      </c>
    </row>
    <row r="126" spans="53:130" x14ac:dyDescent="0.2">
      <c r="BA126" s="217">
        <v>121</v>
      </c>
      <c r="BB126" s="218" t="s">
        <v>651</v>
      </c>
      <c r="BC126" s="219"/>
      <c r="BD126" s="219"/>
      <c r="BE126" s="220"/>
      <c r="BF126" s="219"/>
      <c r="BG126" s="219"/>
      <c r="BH126" s="219"/>
      <c r="BI126" s="219"/>
      <c r="BJ126" s="219"/>
      <c r="BK126" s="219"/>
      <c r="BL126" s="219"/>
      <c r="BM126" s="219"/>
      <c r="BN126" s="219"/>
      <c r="BO126" s="219"/>
      <c r="BP126" s="219"/>
      <c r="BQ126" s="219"/>
      <c r="BR126" s="219"/>
      <c r="BS126" s="219"/>
      <c r="BT126" s="219"/>
      <c r="BU126" s="219"/>
      <c r="BV126" s="219"/>
      <c r="BW126" s="219"/>
      <c r="BX126" s="219"/>
      <c r="BY126" s="219"/>
      <c r="BZ126" s="219"/>
      <c r="CA126" s="219"/>
      <c r="CB126" s="219"/>
      <c r="CC126" s="219"/>
      <c r="CD126" s="219"/>
      <c r="CE126" s="219"/>
      <c r="CF126" s="219"/>
      <c r="CG126" s="219"/>
      <c r="CH126" s="219"/>
      <c r="CI126" s="219"/>
      <c r="CJ126" s="219"/>
      <c r="CK126" s="219"/>
      <c r="CL126" s="219"/>
      <c r="CM126" s="219"/>
      <c r="CN126" s="219"/>
      <c r="CO126" s="219"/>
      <c r="CP126" s="219"/>
      <c r="CQ126" s="219"/>
      <c r="CR126" s="219"/>
      <c r="CS126" s="219"/>
      <c r="CT126" s="219"/>
      <c r="CU126" s="219"/>
      <c r="CV126" s="219"/>
      <c r="CW126" s="219"/>
      <c r="CX126" s="219"/>
      <c r="CY126" s="219"/>
      <c r="CZ126" s="219"/>
      <c r="DA126" s="219"/>
      <c r="DB126" s="219"/>
      <c r="DC126" s="219"/>
      <c r="DD126" s="219"/>
      <c r="DE126" s="219"/>
      <c r="DF126" s="219"/>
      <c r="DG126" s="219"/>
      <c r="DH126" s="219"/>
      <c r="DI126" s="219"/>
      <c r="DJ126" s="219"/>
      <c r="DK126" s="219"/>
      <c r="DL126" s="219"/>
      <c r="DM126" s="219"/>
      <c r="DN126" s="219"/>
      <c r="DO126" s="219"/>
      <c r="DP126" s="219"/>
      <c r="DQ126" s="219"/>
      <c r="DR126" s="219"/>
      <c r="DS126" s="219"/>
      <c r="DT126" s="219"/>
      <c r="DU126" s="219"/>
      <c r="DV126" s="219"/>
      <c r="DW126" s="219"/>
      <c r="DX126" s="219"/>
      <c r="DY126" s="219"/>
      <c r="DZ126" s="45" t="s">
        <v>582</v>
      </c>
    </row>
    <row r="127" spans="53:130" x14ac:dyDescent="0.2">
      <c r="BA127" s="221">
        <v>122</v>
      </c>
      <c r="BB127" s="222" t="s">
        <v>868</v>
      </c>
      <c r="BC127" s="223"/>
      <c r="BD127" s="223"/>
      <c r="BE127" s="224"/>
      <c r="BF127" s="223"/>
      <c r="BG127" s="223"/>
      <c r="BH127" s="223"/>
      <c r="BI127" s="223"/>
      <c r="BJ127" s="223"/>
      <c r="BK127" s="223"/>
      <c r="BL127" s="223"/>
      <c r="BM127" s="223"/>
      <c r="BN127" s="223"/>
      <c r="BO127" s="223"/>
      <c r="BP127" s="223"/>
      <c r="BQ127" s="223"/>
      <c r="BR127" s="223"/>
      <c r="BS127" s="223"/>
      <c r="BT127" s="223"/>
      <c r="BU127" s="223"/>
      <c r="BV127" s="223"/>
      <c r="BW127" s="223"/>
      <c r="BX127" s="223"/>
      <c r="BY127" s="223"/>
      <c r="BZ127" s="223"/>
      <c r="CA127" s="223"/>
      <c r="CB127" s="223"/>
      <c r="CC127" s="223"/>
      <c r="CD127" s="223"/>
      <c r="CE127" s="223"/>
      <c r="CF127" s="223"/>
      <c r="CG127" s="223"/>
      <c r="CH127" s="223"/>
      <c r="CI127" s="223"/>
      <c r="CJ127" s="223"/>
      <c r="CK127" s="223"/>
      <c r="CL127" s="223"/>
      <c r="CM127" s="223"/>
      <c r="CN127" s="223"/>
      <c r="CO127" s="223"/>
      <c r="CP127" s="223"/>
      <c r="CQ127" s="223"/>
      <c r="CR127" s="223"/>
      <c r="CS127" s="223"/>
      <c r="CT127" s="223"/>
      <c r="CU127" s="223"/>
      <c r="CV127" s="223"/>
      <c r="CW127" s="223"/>
      <c r="CX127" s="223"/>
      <c r="CY127" s="223"/>
      <c r="CZ127" s="223"/>
      <c r="DA127" s="223"/>
      <c r="DB127" s="223"/>
      <c r="DC127" s="223"/>
      <c r="DD127" s="223"/>
      <c r="DE127" s="223"/>
      <c r="DF127" s="223"/>
      <c r="DG127" s="223"/>
      <c r="DH127" s="223"/>
      <c r="DI127" s="223"/>
      <c r="DJ127" s="223"/>
      <c r="DK127" s="223"/>
      <c r="DL127" s="223"/>
      <c r="DM127" s="223"/>
      <c r="DN127" s="223"/>
      <c r="DO127" s="223"/>
      <c r="DP127" s="223"/>
      <c r="DQ127" s="223"/>
      <c r="DR127" s="223"/>
      <c r="DS127" s="223"/>
      <c r="DT127" s="223"/>
      <c r="DU127" s="223"/>
      <c r="DV127" s="223"/>
      <c r="DW127" s="223"/>
      <c r="DX127" s="223"/>
      <c r="DY127" s="223"/>
      <c r="DZ127" s="48" t="s">
        <v>582</v>
      </c>
    </row>
    <row r="128" spans="53:130" x14ac:dyDescent="0.2">
      <c r="BA128" s="221">
        <v>123</v>
      </c>
      <c r="BB128" s="222"/>
      <c r="BC128" s="223"/>
      <c r="BD128" s="223"/>
      <c r="BE128" s="224"/>
      <c r="BF128" s="223"/>
      <c r="BG128" s="223"/>
      <c r="BH128" s="223"/>
      <c r="BI128" s="223"/>
      <c r="BJ128" s="223"/>
      <c r="BK128" s="223"/>
      <c r="BL128" s="223"/>
      <c r="BM128" s="223"/>
      <c r="BN128" s="223"/>
      <c r="BO128" s="223"/>
      <c r="BP128" s="223"/>
      <c r="BQ128" s="223"/>
      <c r="BR128" s="223"/>
      <c r="BS128" s="223"/>
      <c r="BT128" s="223"/>
      <c r="BU128" s="223"/>
      <c r="BV128" s="223"/>
      <c r="BW128" s="223"/>
      <c r="BX128" s="223"/>
      <c r="BY128" s="223"/>
      <c r="BZ128" s="223"/>
      <c r="CA128" s="223"/>
      <c r="CB128" s="223"/>
      <c r="CC128" s="223"/>
      <c r="CD128" s="223"/>
      <c r="CE128" s="223"/>
      <c r="CF128" s="223"/>
      <c r="CG128" s="223"/>
      <c r="CH128" s="223"/>
      <c r="CI128" s="223"/>
      <c r="CJ128" s="223"/>
      <c r="CK128" s="223"/>
      <c r="CL128" s="223"/>
      <c r="CM128" s="223"/>
      <c r="CN128" s="223"/>
      <c r="CO128" s="223"/>
      <c r="CP128" s="223"/>
      <c r="CQ128" s="223"/>
      <c r="CR128" s="223"/>
      <c r="CS128" s="223"/>
      <c r="CT128" s="223"/>
      <c r="CU128" s="223"/>
      <c r="CV128" s="223"/>
      <c r="CW128" s="223"/>
      <c r="CX128" s="223"/>
      <c r="CY128" s="223"/>
      <c r="CZ128" s="223"/>
      <c r="DA128" s="223"/>
      <c r="DB128" s="223"/>
      <c r="DC128" s="223"/>
      <c r="DD128" s="223"/>
      <c r="DE128" s="223"/>
      <c r="DF128" s="223"/>
      <c r="DG128" s="223"/>
      <c r="DH128" s="223"/>
      <c r="DI128" s="223"/>
      <c r="DJ128" s="223"/>
      <c r="DK128" s="223"/>
      <c r="DL128" s="223"/>
      <c r="DM128" s="223"/>
      <c r="DN128" s="223"/>
      <c r="DO128" s="223"/>
      <c r="DP128" s="223"/>
      <c r="DQ128" s="223"/>
      <c r="DR128" s="223"/>
      <c r="DS128" s="223"/>
      <c r="DT128" s="223"/>
      <c r="DU128" s="223"/>
      <c r="DV128" s="223"/>
      <c r="DW128" s="223"/>
      <c r="DX128" s="223"/>
      <c r="DY128" s="223"/>
      <c r="DZ128" s="48" t="s">
        <v>582</v>
      </c>
    </row>
    <row r="129" spans="53:130" x14ac:dyDescent="0.2">
      <c r="BA129" s="226">
        <v>124</v>
      </c>
      <c r="BB129" s="227"/>
      <c r="BC129" s="228"/>
      <c r="BD129" s="228"/>
      <c r="BE129" s="229"/>
      <c r="BF129" s="223"/>
      <c r="BG129" s="223"/>
      <c r="BH129" s="223"/>
      <c r="BI129" s="223"/>
      <c r="BJ129" s="223"/>
      <c r="BK129" s="223"/>
      <c r="BL129" s="223"/>
      <c r="BM129" s="223"/>
      <c r="BN129" s="223"/>
      <c r="BO129" s="223"/>
      <c r="BP129" s="223"/>
      <c r="BQ129" s="223"/>
      <c r="BR129" s="223"/>
      <c r="BS129" s="223"/>
      <c r="BT129" s="223"/>
      <c r="BU129" s="223"/>
      <c r="BV129" s="223"/>
      <c r="BW129" s="223"/>
      <c r="BX129" s="223"/>
      <c r="BY129" s="223"/>
      <c r="BZ129" s="223"/>
      <c r="CA129" s="223"/>
      <c r="CB129" s="223"/>
      <c r="CC129" s="223"/>
      <c r="CD129" s="223"/>
      <c r="CE129" s="223"/>
      <c r="CF129" s="223"/>
      <c r="CG129" s="223"/>
      <c r="CH129" s="223"/>
      <c r="CI129" s="223"/>
      <c r="CJ129" s="223"/>
      <c r="CK129" s="223"/>
      <c r="CL129" s="223"/>
      <c r="CM129" s="223"/>
      <c r="CN129" s="223"/>
      <c r="CO129" s="223"/>
      <c r="CP129" s="223"/>
      <c r="CQ129" s="223"/>
      <c r="CR129" s="223"/>
      <c r="CS129" s="223"/>
      <c r="CT129" s="223"/>
      <c r="CU129" s="223"/>
      <c r="CV129" s="223"/>
      <c r="CW129" s="223"/>
      <c r="CX129" s="223"/>
      <c r="CY129" s="223"/>
      <c r="CZ129" s="223"/>
      <c r="DA129" s="223"/>
      <c r="DB129" s="223"/>
      <c r="DC129" s="223"/>
      <c r="DD129" s="223"/>
      <c r="DE129" s="223"/>
      <c r="DF129" s="223"/>
      <c r="DG129" s="223"/>
      <c r="DH129" s="223"/>
      <c r="DI129" s="223"/>
      <c r="DJ129" s="223"/>
      <c r="DK129" s="223"/>
      <c r="DL129" s="223"/>
      <c r="DM129" s="223"/>
      <c r="DN129" s="223"/>
      <c r="DO129" s="223"/>
      <c r="DP129" s="223"/>
      <c r="DQ129" s="223"/>
      <c r="DR129" s="223"/>
      <c r="DS129" s="223"/>
      <c r="DT129" s="223"/>
      <c r="DU129" s="223"/>
      <c r="DV129" s="223"/>
      <c r="DW129" s="223"/>
      <c r="DX129" s="223"/>
      <c r="DY129" s="223"/>
      <c r="DZ129" s="51" t="s">
        <v>582</v>
      </c>
    </row>
    <row r="130" spans="53:130" x14ac:dyDescent="0.2">
      <c r="BA130" s="217">
        <v>125</v>
      </c>
      <c r="BB130" s="218" t="s">
        <v>652</v>
      </c>
      <c r="BC130" s="219"/>
      <c r="BD130" s="219"/>
      <c r="BE130" s="220"/>
      <c r="BF130" s="219"/>
      <c r="BG130" s="219"/>
      <c r="BH130" s="219"/>
      <c r="BI130" s="219"/>
      <c r="BJ130" s="219"/>
      <c r="BK130" s="219"/>
      <c r="BL130" s="219"/>
      <c r="BM130" s="219"/>
      <c r="BN130" s="219"/>
      <c r="BO130" s="219"/>
      <c r="BP130" s="219"/>
      <c r="BQ130" s="219"/>
      <c r="BR130" s="219"/>
      <c r="BS130" s="219"/>
      <c r="BT130" s="219"/>
      <c r="BU130" s="219"/>
      <c r="BV130" s="219"/>
      <c r="BW130" s="219"/>
      <c r="BX130" s="219"/>
      <c r="BY130" s="219"/>
      <c r="BZ130" s="219"/>
      <c r="CA130" s="219"/>
      <c r="CB130" s="219"/>
      <c r="CC130" s="219"/>
      <c r="CD130" s="219"/>
      <c r="CE130" s="219"/>
      <c r="CF130" s="219"/>
      <c r="CG130" s="219"/>
      <c r="CH130" s="219"/>
      <c r="CI130" s="219"/>
      <c r="CJ130" s="219"/>
      <c r="CK130" s="219"/>
      <c r="CL130" s="219"/>
      <c r="CM130" s="219"/>
      <c r="CN130" s="219"/>
      <c r="CO130" s="219"/>
      <c r="CP130" s="219"/>
      <c r="CQ130" s="219"/>
      <c r="CR130" s="219"/>
      <c r="CS130" s="219"/>
      <c r="CT130" s="219"/>
      <c r="CU130" s="219"/>
      <c r="CV130" s="219"/>
      <c r="CW130" s="219"/>
      <c r="CX130" s="219"/>
      <c r="CY130" s="219"/>
      <c r="CZ130" s="219"/>
      <c r="DA130" s="219"/>
      <c r="DB130" s="219"/>
      <c r="DC130" s="219"/>
      <c r="DD130" s="219"/>
      <c r="DE130" s="219"/>
      <c r="DF130" s="219"/>
      <c r="DG130" s="219"/>
      <c r="DH130" s="219"/>
      <c r="DI130" s="219"/>
      <c r="DJ130" s="219"/>
      <c r="DK130" s="219"/>
      <c r="DL130" s="219"/>
      <c r="DM130" s="219"/>
      <c r="DN130" s="219"/>
      <c r="DO130" s="219"/>
      <c r="DP130" s="219"/>
      <c r="DQ130" s="219"/>
      <c r="DR130" s="219"/>
      <c r="DS130" s="219"/>
      <c r="DT130" s="219"/>
      <c r="DU130" s="219"/>
      <c r="DV130" s="219"/>
      <c r="DW130" s="219"/>
      <c r="DX130" s="219"/>
      <c r="DY130" s="219"/>
      <c r="DZ130" s="45" t="s">
        <v>582</v>
      </c>
    </row>
    <row r="131" spans="53:130" x14ac:dyDescent="0.2">
      <c r="BA131" s="221">
        <v>126</v>
      </c>
      <c r="BB131" s="222" t="s">
        <v>869</v>
      </c>
      <c r="BC131" s="223"/>
      <c r="BD131" s="223"/>
      <c r="BE131" s="224"/>
      <c r="BF131" s="223"/>
      <c r="BG131" s="223"/>
      <c r="BH131" s="223"/>
      <c r="BI131" s="223"/>
      <c r="BJ131" s="223"/>
      <c r="BK131" s="223"/>
      <c r="BL131" s="223"/>
      <c r="BM131" s="223"/>
      <c r="BN131" s="223"/>
      <c r="BO131" s="223"/>
      <c r="BP131" s="223"/>
      <c r="BQ131" s="223"/>
      <c r="BR131" s="223"/>
      <c r="BS131" s="223"/>
      <c r="BT131" s="223"/>
      <c r="BU131" s="223"/>
      <c r="BV131" s="223"/>
      <c r="BW131" s="223"/>
      <c r="BX131" s="223"/>
      <c r="BY131" s="223"/>
      <c r="BZ131" s="223"/>
      <c r="CA131" s="223"/>
      <c r="CB131" s="223"/>
      <c r="CC131" s="223"/>
      <c r="CD131" s="223"/>
      <c r="CE131" s="223"/>
      <c r="CF131" s="223"/>
      <c r="CG131" s="223"/>
      <c r="CH131" s="223"/>
      <c r="CI131" s="223"/>
      <c r="CJ131" s="223"/>
      <c r="CK131" s="223"/>
      <c r="CL131" s="223"/>
      <c r="CM131" s="223"/>
      <c r="CN131" s="223"/>
      <c r="CO131" s="223"/>
      <c r="CP131" s="223"/>
      <c r="CQ131" s="223"/>
      <c r="CR131" s="223"/>
      <c r="CS131" s="223"/>
      <c r="CT131" s="223"/>
      <c r="CU131" s="223"/>
      <c r="CV131" s="223"/>
      <c r="CW131" s="223"/>
      <c r="CX131" s="223"/>
      <c r="CY131" s="223"/>
      <c r="CZ131" s="223"/>
      <c r="DA131" s="223"/>
      <c r="DB131" s="223"/>
      <c r="DC131" s="223"/>
      <c r="DD131" s="223"/>
      <c r="DE131" s="223"/>
      <c r="DF131" s="223"/>
      <c r="DG131" s="223"/>
      <c r="DH131" s="223"/>
      <c r="DI131" s="223"/>
      <c r="DJ131" s="223"/>
      <c r="DK131" s="223"/>
      <c r="DL131" s="223"/>
      <c r="DM131" s="223"/>
      <c r="DN131" s="223"/>
      <c r="DO131" s="223"/>
      <c r="DP131" s="223"/>
      <c r="DQ131" s="223"/>
      <c r="DR131" s="223"/>
      <c r="DS131" s="223"/>
      <c r="DT131" s="223"/>
      <c r="DU131" s="223"/>
      <c r="DV131" s="223"/>
      <c r="DW131" s="223"/>
      <c r="DX131" s="223"/>
      <c r="DY131" s="223"/>
      <c r="DZ131" s="48" t="s">
        <v>582</v>
      </c>
    </row>
    <row r="132" spans="53:130" x14ac:dyDescent="0.2">
      <c r="BA132" s="221">
        <v>127</v>
      </c>
      <c r="BB132" s="222"/>
      <c r="BC132" s="223"/>
      <c r="BD132" s="223"/>
      <c r="BE132" s="224"/>
      <c r="BF132" s="223"/>
      <c r="BG132" s="223"/>
      <c r="BH132" s="223"/>
      <c r="BI132" s="223"/>
      <c r="BJ132" s="223"/>
      <c r="BK132" s="223"/>
      <c r="BL132" s="223"/>
      <c r="BM132" s="223"/>
      <c r="BN132" s="223"/>
      <c r="BO132" s="223"/>
      <c r="BP132" s="223"/>
      <c r="BQ132" s="223"/>
      <c r="BR132" s="223"/>
      <c r="BS132" s="223"/>
      <c r="BT132" s="223"/>
      <c r="BU132" s="223"/>
      <c r="BV132" s="223"/>
      <c r="BW132" s="223"/>
      <c r="BX132" s="223"/>
      <c r="BY132" s="223"/>
      <c r="BZ132" s="223"/>
      <c r="CA132" s="223"/>
      <c r="CB132" s="223"/>
      <c r="CC132" s="223"/>
      <c r="CD132" s="223"/>
      <c r="CE132" s="223"/>
      <c r="CF132" s="223"/>
      <c r="CG132" s="223"/>
      <c r="CH132" s="223"/>
      <c r="CI132" s="223"/>
      <c r="CJ132" s="223"/>
      <c r="CK132" s="223"/>
      <c r="CL132" s="223"/>
      <c r="CM132" s="223"/>
      <c r="CN132" s="223"/>
      <c r="CO132" s="223"/>
      <c r="CP132" s="223"/>
      <c r="CQ132" s="223"/>
      <c r="CR132" s="223"/>
      <c r="CS132" s="223"/>
      <c r="CT132" s="223"/>
      <c r="CU132" s="223"/>
      <c r="CV132" s="223"/>
      <c r="CW132" s="223"/>
      <c r="CX132" s="223"/>
      <c r="CY132" s="223"/>
      <c r="CZ132" s="223"/>
      <c r="DA132" s="223"/>
      <c r="DB132" s="223"/>
      <c r="DC132" s="223"/>
      <c r="DD132" s="223"/>
      <c r="DE132" s="223"/>
      <c r="DF132" s="223"/>
      <c r="DG132" s="223"/>
      <c r="DH132" s="223"/>
      <c r="DI132" s="223"/>
      <c r="DJ132" s="223"/>
      <c r="DK132" s="223"/>
      <c r="DL132" s="223"/>
      <c r="DM132" s="223"/>
      <c r="DN132" s="223"/>
      <c r="DO132" s="223"/>
      <c r="DP132" s="223"/>
      <c r="DQ132" s="223"/>
      <c r="DR132" s="223"/>
      <c r="DS132" s="223"/>
      <c r="DT132" s="223"/>
      <c r="DU132" s="223"/>
      <c r="DV132" s="223"/>
      <c r="DW132" s="223"/>
      <c r="DX132" s="223"/>
      <c r="DY132" s="223"/>
      <c r="DZ132" s="48" t="s">
        <v>582</v>
      </c>
    </row>
    <row r="133" spans="53:130" x14ac:dyDescent="0.2">
      <c r="BA133" s="226">
        <v>128</v>
      </c>
      <c r="BB133" s="227"/>
      <c r="BC133" s="228"/>
      <c r="BD133" s="228"/>
      <c r="BE133" s="229"/>
      <c r="BF133" s="223"/>
      <c r="BG133" s="223"/>
      <c r="BH133" s="223"/>
      <c r="BI133" s="223"/>
      <c r="BJ133" s="223"/>
      <c r="BK133" s="223"/>
      <c r="BL133" s="223"/>
      <c r="BM133" s="223"/>
      <c r="BN133" s="223"/>
      <c r="BO133" s="223"/>
      <c r="BP133" s="223"/>
      <c r="BQ133" s="223"/>
      <c r="BR133" s="223"/>
      <c r="BS133" s="223"/>
      <c r="BT133" s="223"/>
      <c r="BU133" s="223"/>
      <c r="BV133" s="223"/>
      <c r="BW133" s="223"/>
      <c r="BX133" s="223"/>
      <c r="BY133" s="223"/>
      <c r="BZ133" s="223"/>
      <c r="CA133" s="223"/>
      <c r="CB133" s="223"/>
      <c r="CC133" s="223"/>
      <c r="CD133" s="223"/>
      <c r="CE133" s="223"/>
      <c r="CF133" s="223"/>
      <c r="CG133" s="223"/>
      <c r="CH133" s="223"/>
      <c r="CI133" s="223"/>
      <c r="CJ133" s="223"/>
      <c r="CK133" s="223"/>
      <c r="CL133" s="223"/>
      <c r="CM133" s="223"/>
      <c r="CN133" s="223"/>
      <c r="CO133" s="223"/>
      <c r="CP133" s="223"/>
      <c r="CQ133" s="223"/>
      <c r="CR133" s="223"/>
      <c r="CS133" s="223"/>
      <c r="CT133" s="223"/>
      <c r="CU133" s="223"/>
      <c r="CV133" s="223"/>
      <c r="CW133" s="223"/>
      <c r="CX133" s="223"/>
      <c r="CY133" s="223"/>
      <c r="CZ133" s="223"/>
      <c r="DA133" s="223"/>
      <c r="DB133" s="223"/>
      <c r="DC133" s="223"/>
      <c r="DD133" s="223"/>
      <c r="DE133" s="223"/>
      <c r="DF133" s="223"/>
      <c r="DG133" s="223"/>
      <c r="DH133" s="223"/>
      <c r="DI133" s="223"/>
      <c r="DJ133" s="223"/>
      <c r="DK133" s="223"/>
      <c r="DL133" s="223"/>
      <c r="DM133" s="223"/>
      <c r="DN133" s="223"/>
      <c r="DO133" s="223"/>
      <c r="DP133" s="223"/>
      <c r="DQ133" s="223"/>
      <c r="DR133" s="223"/>
      <c r="DS133" s="223"/>
      <c r="DT133" s="223"/>
      <c r="DU133" s="223"/>
      <c r="DV133" s="223"/>
      <c r="DW133" s="223"/>
      <c r="DX133" s="223"/>
      <c r="DY133" s="223"/>
      <c r="DZ133" s="51" t="s">
        <v>582</v>
      </c>
    </row>
    <row r="134" spans="53:130" x14ac:dyDescent="0.2">
      <c r="BA134" s="217">
        <v>129</v>
      </c>
      <c r="BB134" s="218" t="s">
        <v>653</v>
      </c>
      <c r="BC134" s="219"/>
      <c r="BD134" s="219"/>
      <c r="BE134" s="220"/>
      <c r="BF134" s="219"/>
      <c r="BG134" s="219"/>
      <c r="BH134" s="219"/>
      <c r="BI134" s="219"/>
      <c r="BJ134" s="219"/>
      <c r="BK134" s="219"/>
      <c r="BL134" s="219"/>
      <c r="BM134" s="219"/>
      <c r="BN134" s="219"/>
      <c r="BO134" s="219"/>
      <c r="BP134" s="219"/>
      <c r="BQ134" s="219"/>
      <c r="BR134" s="219"/>
      <c r="BS134" s="219"/>
      <c r="BT134" s="219"/>
      <c r="BU134" s="219"/>
      <c r="BV134" s="219"/>
      <c r="BW134" s="219"/>
      <c r="BX134" s="219"/>
      <c r="BY134" s="219"/>
      <c r="BZ134" s="219"/>
      <c r="CA134" s="219"/>
      <c r="CB134" s="219"/>
      <c r="CC134" s="219"/>
      <c r="CD134" s="219"/>
      <c r="CE134" s="219"/>
      <c r="CF134" s="219"/>
      <c r="CG134" s="219"/>
      <c r="CH134" s="219"/>
      <c r="CI134" s="219"/>
      <c r="CJ134" s="219"/>
      <c r="CK134" s="219"/>
      <c r="CL134" s="219"/>
      <c r="CM134" s="219"/>
      <c r="CN134" s="219"/>
      <c r="CO134" s="219"/>
      <c r="CP134" s="219"/>
      <c r="CQ134" s="219"/>
      <c r="CR134" s="219"/>
      <c r="CS134" s="219"/>
      <c r="CT134" s="219"/>
      <c r="CU134" s="219"/>
      <c r="CV134" s="219"/>
      <c r="CW134" s="219"/>
      <c r="CX134" s="219"/>
      <c r="CY134" s="219"/>
      <c r="CZ134" s="219"/>
      <c r="DA134" s="219"/>
      <c r="DB134" s="219"/>
      <c r="DC134" s="219"/>
      <c r="DD134" s="219"/>
      <c r="DE134" s="219"/>
      <c r="DF134" s="219"/>
      <c r="DG134" s="219"/>
      <c r="DH134" s="219"/>
      <c r="DI134" s="219"/>
      <c r="DJ134" s="219"/>
      <c r="DK134" s="219"/>
      <c r="DL134" s="219"/>
      <c r="DM134" s="219"/>
      <c r="DN134" s="219"/>
      <c r="DO134" s="219"/>
      <c r="DP134" s="219"/>
      <c r="DQ134" s="219"/>
      <c r="DR134" s="219"/>
      <c r="DS134" s="219"/>
      <c r="DT134" s="219"/>
      <c r="DU134" s="219"/>
      <c r="DV134" s="219"/>
      <c r="DW134" s="219"/>
      <c r="DX134" s="219"/>
      <c r="DY134" s="219"/>
      <c r="DZ134" s="45" t="s">
        <v>582</v>
      </c>
    </row>
    <row r="135" spans="53:130" x14ac:dyDescent="0.2">
      <c r="BA135" s="221">
        <v>130</v>
      </c>
      <c r="BB135" s="222" t="s">
        <v>870</v>
      </c>
      <c r="BC135" s="223"/>
      <c r="BD135" s="223"/>
      <c r="BE135" s="224"/>
      <c r="BF135" s="223"/>
      <c r="BG135" s="223"/>
      <c r="BH135" s="223"/>
      <c r="BI135" s="223"/>
      <c r="BJ135" s="223"/>
      <c r="BK135" s="223"/>
      <c r="BL135" s="223"/>
      <c r="BM135" s="223"/>
      <c r="BN135" s="223"/>
      <c r="BO135" s="223"/>
      <c r="BP135" s="223"/>
      <c r="BQ135" s="223"/>
      <c r="BR135" s="223"/>
      <c r="BS135" s="223"/>
      <c r="BT135" s="223"/>
      <c r="BU135" s="223"/>
      <c r="BV135" s="223"/>
      <c r="BW135" s="223"/>
      <c r="BX135" s="223"/>
      <c r="BY135" s="223"/>
      <c r="BZ135" s="223"/>
      <c r="CA135" s="223"/>
      <c r="CB135" s="223"/>
      <c r="CC135" s="223"/>
      <c r="CD135" s="223"/>
      <c r="CE135" s="223"/>
      <c r="CF135" s="223"/>
      <c r="CG135" s="223"/>
      <c r="CH135" s="223"/>
      <c r="CI135" s="223"/>
      <c r="CJ135" s="223"/>
      <c r="CK135" s="223"/>
      <c r="CL135" s="223"/>
      <c r="CM135" s="223"/>
      <c r="CN135" s="223"/>
      <c r="CO135" s="223"/>
      <c r="CP135" s="223"/>
      <c r="CQ135" s="223"/>
      <c r="CR135" s="223"/>
      <c r="CS135" s="223"/>
      <c r="CT135" s="223"/>
      <c r="CU135" s="223"/>
      <c r="CV135" s="223"/>
      <c r="CW135" s="223"/>
      <c r="CX135" s="223"/>
      <c r="CY135" s="223"/>
      <c r="CZ135" s="223"/>
      <c r="DA135" s="223"/>
      <c r="DB135" s="223"/>
      <c r="DC135" s="223"/>
      <c r="DD135" s="223"/>
      <c r="DE135" s="223"/>
      <c r="DF135" s="223"/>
      <c r="DG135" s="223"/>
      <c r="DH135" s="223"/>
      <c r="DI135" s="223"/>
      <c r="DJ135" s="223"/>
      <c r="DK135" s="223"/>
      <c r="DL135" s="223"/>
      <c r="DM135" s="223"/>
      <c r="DN135" s="223"/>
      <c r="DO135" s="223"/>
      <c r="DP135" s="223"/>
      <c r="DQ135" s="223"/>
      <c r="DR135" s="223"/>
      <c r="DS135" s="223"/>
      <c r="DT135" s="223"/>
      <c r="DU135" s="223"/>
      <c r="DV135" s="223"/>
      <c r="DW135" s="223"/>
      <c r="DX135" s="223"/>
      <c r="DY135" s="223"/>
      <c r="DZ135" s="48" t="s">
        <v>582</v>
      </c>
    </row>
    <row r="136" spans="53:130" x14ac:dyDescent="0.2">
      <c r="BA136" s="221">
        <v>131</v>
      </c>
      <c r="BB136" s="222"/>
      <c r="BC136" s="223"/>
      <c r="BD136" s="223"/>
      <c r="BE136" s="224"/>
      <c r="BF136" s="223"/>
      <c r="BG136" s="223"/>
      <c r="BH136" s="223"/>
      <c r="BI136" s="223"/>
      <c r="BJ136" s="223"/>
      <c r="BK136" s="223"/>
      <c r="BL136" s="223"/>
      <c r="BM136" s="223"/>
      <c r="BN136" s="223"/>
      <c r="BO136" s="223"/>
      <c r="BP136" s="223"/>
      <c r="BQ136" s="223"/>
      <c r="BR136" s="223"/>
      <c r="BS136" s="223"/>
      <c r="BT136" s="223"/>
      <c r="BU136" s="223"/>
      <c r="BV136" s="223"/>
      <c r="BW136" s="223"/>
      <c r="BX136" s="223"/>
      <c r="BY136" s="223"/>
      <c r="BZ136" s="223"/>
      <c r="CA136" s="223"/>
      <c r="CB136" s="223"/>
      <c r="CC136" s="223"/>
      <c r="CD136" s="223"/>
      <c r="CE136" s="223"/>
      <c r="CF136" s="223"/>
      <c r="CG136" s="223"/>
      <c r="CH136" s="223"/>
      <c r="CI136" s="223"/>
      <c r="CJ136" s="223"/>
      <c r="CK136" s="223"/>
      <c r="CL136" s="223"/>
      <c r="CM136" s="223"/>
      <c r="CN136" s="223"/>
      <c r="CO136" s="223"/>
      <c r="CP136" s="223"/>
      <c r="CQ136" s="223"/>
      <c r="CR136" s="223"/>
      <c r="CS136" s="223"/>
      <c r="CT136" s="223"/>
      <c r="CU136" s="223"/>
      <c r="CV136" s="223"/>
      <c r="CW136" s="223"/>
      <c r="CX136" s="223"/>
      <c r="CY136" s="223"/>
      <c r="CZ136" s="223"/>
      <c r="DA136" s="223"/>
      <c r="DB136" s="223"/>
      <c r="DC136" s="223"/>
      <c r="DD136" s="223"/>
      <c r="DE136" s="223"/>
      <c r="DF136" s="223"/>
      <c r="DG136" s="223"/>
      <c r="DH136" s="223"/>
      <c r="DI136" s="223"/>
      <c r="DJ136" s="223"/>
      <c r="DK136" s="223"/>
      <c r="DL136" s="223"/>
      <c r="DM136" s="223"/>
      <c r="DN136" s="223"/>
      <c r="DO136" s="223"/>
      <c r="DP136" s="223"/>
      <c r="DQ136" s="223"/>
      <c r="DR136" s="223"/>
      <c r="DS136" s="223"/>
      <c r="DT136" s="223"/>
      <c r="DU136" s="223"/>
      <c r="DV136" s="223"/>
      <c r="DW136" s="223"/>
      <c r="DX136" s="223"/>
      <c r="DY136" s="223"/>
      <c r="DZ136" s="48" t="s">
        <v>582</v>
      </c>
    </row>
    <row r="137" spans="53:130" x14ac:dyDescent="0.2">
      <c r="BA137" s="226">
        <v>132</v>
      </c>
      <c r="BB137" s="227"/>
      <c r="BC137" s="228"/>
      <c r="BD137" s="228"/>
      <c r="BE137" s="229"/>
      <c r="BF137" s="223"/>
      <c r="BG137" s="223"/>
      <c r="BH137" s="223"/>
      <c r="BI137" s="223"/>
      <c r="BJ137" s="223"/>
      <c r="BK137" s="223"/>
      <c r="BL137" s="223"/>
      <c r="BM137" s="223"/>
      <c r="BN137" s="223"/>
      <c r="BO137" s="223"/>
      <c r="BP137" s="223"/>
      <c r="BQ137" s="223"/>
      <c r="BR137" s="223"/>
      <c r="BS137" s="223"/>
      <c r="BT137" s="223"/>
      <c r="BU137" s="223"/>
      <c r="BV137" s="223"/>
      <c r="BW137" s="223"/>
      <c r="BX137" s="223"/>
      <c r="BY137" s="223"/>
      <c r="BZ137" s="223"/>
      <c r="CA137" s="223"/>
      <c r="CB137" s="223"/>
      <c r="CC137" s="223"/>
      <c r="CD137" s="223"/>
      <c r="CE137" s="223"/>
      <c r="CF137" s="223"/>
      <c r="CG137" s="223"/>
      <c r="CH137" s="223"/>
      <c r="CI137" s="223"/>
      <c r="CJ137" s="223"/>
      <c r="CK137" s="223"/>
      <c r="CL137" s="223"/>
      <c r="CM137" s="223"/>
      <c r="CN137" s="223"/>
      <c r="CO137" s="223"/>
      <c r="CP137" s="223"/>
      <c r="CQ137" s="223"/>
      <c r="CR137" s="223"/>
      <c r="CS137" s="223"/>
      <c r="CT137" s="223"/>
      <c r="CU137" s="223"/>
      <c r="CV137" s="223"/>
      <c r="CW137" s="223"/>
      <c r="CX137" s="223"/>
      <c r="CY137" s="223"/>
      <c r="CZ137" s="223"/>
      <c r="DA137" s="223"/>
      <c r="DB137" s="223"/>
      <c r="DC137" s="223"/>
      <c r="DD137" s="223"/>
      <c r="DE137" s="223"/>
      <c r="DF137" s="223"/>
      <c r="DG137" s="223"/>
      <c r="DH137" s="223"/>
      <c r="DI137" s="223"/>
      <c r="DJ137" s="223"/>
      <c r="DK137" s="223"/>
      <c r="DL137" s="223"/>
      <c r="DM137" s="223"/>
      <c r="DN137" s="223"/>
      <c r="DO137" s="223"/>
      <c r="DP137" s="223"/>
      <c r="DQ137" s="223"/>
      <c r="DR137" s="223"/>
      <c r="DS137" s="223"/>
      <c r="DT137" s="223"/>
      <c r="DU137" s="223"/>
      <c r="DV137" s="223"/>
      <c r="DW137" s="223"/>
      <c r="DX137" s="223"/>
      <c r="DY137" s="223"/>
      <c r="DZ137" s="51" t="s">
        <v>582</v>
      </c>
    </row>
    <row r="138" spans="53:130" x14ac:dyDescent="0.2">
      <c r="BA138" s="217">
        <v>133</v>
      </c>
      <c r="BB138" s="218" t="s">
        <v>654</v>
      </c>
      <c r="BC138" s="219"/>
      <c r="BD138" s="219"/>
      <c r="BE138" s="220"/>
      <c r="BF138" s="219"/>
      <c r="BG138" s="219"/>
      <c r="BH138" s="219"/>
      <c r="BI138" s="219"/>
      <c r="BJ138" s="219"/>
      <c r="BK138" s="219"/>
      <c r="BL138" s="219"/>
      <c r="BM138" s="219"/>
      <c r="BN138" s="219"/>
      <c r="BO138" s="219"/>
      <c r="BP138" s="219"/>
      <c r="BQ138" s="219"/>
      <c r="BR138" s="219"/>
      <c r="BS138" s="219"/>
      <c r="BT138" s="219"/>
      <c r="BU138" s="219"/>
      <c r="BV138" s="219"/>
      <c r="BW138" s="219"/>
      <c r="BX138" s="219"/>
      <c r="BY138" s="219"/>
      <c r="BZ138" s="219"/>
      <c r="CA138" s="219"/>
      <c r="CB138" s="219"/>
      <c r="CC138" s="219"/>
      <c r="CD138" s="219"/>
      <c r="CE138" s="219"/>
      <c r="CF138" s="219"/>
      <c r="CG138" s="219"/>
      <c r="CH138" s="219"/>
      <c r="CI138" s="219"/>
      <c r="CJ138" s="219"/>
      <c r="CK138" s="219"/>
      <c r="CL138" s="219"/>
      <c r="CM138" s="219"/>
      <c r="CN138" s="219"/>
      <c r="CO138" s="219"/>
      <c r="CP138" s="219"/>
      <c r="CQ138" s="219"/>
      <c r="CR138" s="219"/>
      <c r="CS138" s="219"/>
      <c r="CT138" s="219"/>
      <c r="CU138" s="219"/>
      <c r="CV138" s="219"/>
      <c r="CW138" s="219"/>
      <c r="CX138" s="219"/>
      <c r="CY138" s="219"/>
      <c r="CZ138" s="219"/>
      <c r="DA138" s="219"/>
      <c r="DB138" s="219"/>
      <c r="DC138" s="219"/>
      <c r="DD138" s="219"/>
      <c r="DE138" s="219"/>
      <c r="DF138" s="219"/>
      <c r="DG138" s="219"/>
      <c r="DH138" s="219"/>
      <c r="DI138" s="219"/>
      <c r="DJ138" s="219"/>
      <c r="DK138" s="219"/>
      <c r="DL138" s="219"/>
      <c r="DM138" s="219"/>
      <c r="DN138" s="219"/>
      <c r="DO138" s="219"/>
      <c r="DP138" s="219"/>
      <c r="DQ138" s="219"/>
      <c r="DR138" s="219"/>
      <c r="DS138" s="219"/>
      <c r="DT138" s="219"/>
      <c r="DU138" s="219"/>
      <c r="DV138" s="219"/>
      <c r="DW138" s="219"/>
      <c r="DX138" s="219"/>
      <c r="DY138" s="219"/>
      <c r="DZ138" s="45" t="s">
        <v>582</v>
      </c>
    </row>
    <row r="139" spans="53:130" x14ac:dyDescent="0.2">
      <c r="BA139" s="221">
        <v>134</v>
      </c>
      <c r="BB139" s="222" t="s">
        <v>871</v>
      </c>
      <c r="BC139" s="223"/>
      <c r="BD139" s="223"/>
      <c r="BE139" s="224"/>
      <c r="BF139" s="223"/>
      <c r="BG139" s="223"/>
      <c r="BH139" s="223"/>
      <c r="BI139" s="223"/>
      <c r="BJ139" s="223"/>
      <c r="BK139" s="223"/>
      <c r="BL139" s="223"/>
      <c r="BM139" s="223"/>
      <c r="BN139" s="223"/>
      <c r="BO139" s="223"/>
      <c r="BP139" s="223"/>
      <c r="BQ139" s="223"/>
      <c r="BR139" s="223"/>
      <c r="BS139" s="223"/>
      <c r="BT139" s="223"/>
      <c r="BU139" s="223"/>
      <c r="BV139" s="223"/>
      <c r="BW139" s="223"/>
      <c r="BX139" s="223"/>
      <c r="BY139" s="223"/>
      <c r="BZ139" s="223"/>
      <c r="CA139" s="223"/>
      <c r="CB139" s="223"/>
      <c r="CC139" s="223"/>
      <c r="CD139" s="223"/>
      <c r="CE139" s="223"/>
      <c r="CF139" s="223"/>
      <c r="CG139" s="223"/>
      <c r="CH139" s="223"/>
      <c r="CI139" s="223"/>
      <c r="CJ139" s="223"/>
      <c r="CK139" s="223"/>
      <c r="CL139" s="223"/>
      <c r="CM139" s="223"/>
      <c r="CN139" s="223"/>
      <c r="CO139" s="223"/>
      <c r="CP139" s="223"/>
      <c r="CQ139" s="223"/>
      <c r="CR139" s="223"/>
      <c r="CS139" s="223"/>
      <c r="CT139" s="223"/>
      <c r="CU139" s="223"/>
      <c r="CV139" s="223"/>
      <c r="CW139" s="223"/>
      <c r="CX139" s="223"/>
      <c r="CY139" s="223"/>
      <c r="CZ139" s="223"/>
      <c r="DA139" s="223"/>
      <c r="DB139" s="223"/>
      <c r="DC139" s="223"/>
      <c r="DD139" s="223"/>
      <c r="DE139" s="223"/>
      <c r="DF139" s="223"/>
      <c r="DG139" s="223"/>
      <c r="DH139" s="223"/>
      <c r="DI139" s="223"/>
      <c r="DJ139" s="223"/>
      <c r="DK139" s="223"/>
      <c r="DL139" s="223"/>
      <c r="DM139" s="223"/>
      <c r="DN139" s="223"/>
      <c r="DO139" s="223"/>
      <c r="DP139" s="223"/>
      <c r="DQ139" s="223"/>
      <c r="DR139" s="223"/>
      <c r="DS139" s="223"/>
      <c r="DT139" s="223"/>
      <c r="DU139" s="223"/>
      <c r="DV139" s="223"/>
      <c r="DW139" s="223"/>
      <c r="DX139" s="223"/>
      <c r="DY139" s="223"/>
      <c r="DZ139" s="48" t="s">
        <v>582</v>
      </c>
    </row>
    <row r="140" spans="53:130" x14ac:dyDescent="0.2">
      <c r="BA140" s="221">
        <v>135</v>
      </c>
      <c r="BB140" s="222"/>
      <c r="BC140" s="223"/>
      <c r="BD140" s="223"/>
      <c r="BE140" s="224"/>
      <c r="BF140" s="223"/>
      <c r="BG140" s="223"/>
      <c r="BH140" s="223"/>
      <c r="BI140" s="223"/>
      <c r="BJ140" s="223"/>
      <c r="BK140" s="223"/>
      <c r="BL140" s="223"/>
      <c r="BM140" s="223"/>
      <c r="BN140" s="223"/>
      <c r="BO140" s="223"/>
      <c r="BP140" s="223"/>
      <c r="BQ140" s="223"/>
      <c r="BR140" s="223"/>
      <c r="BS140" s="223"/>
      <c r="BT140" s="223"/>
      <c r="BU140" s="223"/>
      <c r="BV140" s="223"/>
      <c r="BW140" s="223"/>
      <c r="BX140" s="223"/>
      <c r="BY140" s="223"/>
      <c r="BZ140" s="223"/>
      <c r="CA140" s="223"/>
      <c r="CB140" s="223"/>
      <c r="CC140" s="223"/>
      <c r="CD140" s="223"/>
      <c r="CE140" s="223"/>
      <c r="CF140" s="223"/>
      <c r="CG140" s="223"/>
      <c r="CH140" s="223"/>
      <c r="CI140" s="223"/>
      <c r="CJ140" s="223"/>
      <c r="CK140" s="223"/>
      <c r="CL140" s="223"/>
      <c r="CM140" s="223"/>
      <c r="CN140" s="223"/>
      <c r="CO140" s="223"/>
      <c r="CP140" s="223"/>
      <c r="CQ140" s="223"/>
      <c r="CR140" s="223"/>
      <c r="CS140" s="223"/>
      <c r="CT140" s="223"/>
      <c r="CU140" s="223"/>
      <c r="CV140" s="223"/>
      <c r="CW140" s="223"/>
      <c r="CX140" s="223"/>
      <c r="CY140" s="223"/>
      <c r="CZ140" s="223"/>
      <c r="DA140" s="223"/>
      <c r="DB140" s="223"/>
      <c r="DC140" s="223"/>
      <c r="DD140" s="223"/>
      <c r="DE140" s="223"/>
      <c r="DF140" s="223"/>
      <c r="DG140" s="223"/>
      <c r="DH140" s="223"/>
      <c r="DI140" s="223"/>
      <c r="DJ140" s="223"/>
      <c r="DK140" s="223"/>
      <c r="DL140" s="223"/>
      <c r="DM140" s="223"/>
      <c r="DN140" s="223"/>
      <c r="DO140" s="223"/>
      <c r="DP140" s="223"/>
      <c r="DQ140" s="223"/>
      <c r="DR140" s="223"/>
      <c r="DS140" s="223"/>
      <c r="DT140" s="223"/>
      <c r="DU140" s="223"/>
      <c r="DV140" s="223"/>
      <c r="DW140" s="223"/>
      <c r="DX140" s="223"/>
      <c r="DY140" s="223"/>
      <c r="DZ140" s="48" t="s">
        <v>582</v>
      </c>
    </row>
    <row r="141" spans="53:130" x14ac:dyDescent="0.2">
      <c r="BA141" s="226">
        <v>136</v>
      </c>
      <c r="BB141" s="227"/>
      <c r="BC141" s="228"/>
      <c r="BD141" s="228"/>
      <c r="BE141" s="229"/>
      <c r="BF141" s="223"/>
      <c r="BG141" s="223"/>
      <c r="BH141" s="223"/>
      <c r="BI141" s="223"/>
      <c r="BJ141" s="223"/>
      <c r="BK141" s="223"/>
      <c r="BL141" s="223"/>
      <c r="BM141" s="223"/>
      <c r="BN141" s="223"/>
      <c r="BO141" s="223"/>
      <c r="BP141" s="223"/>
      <c r="BQ141" s="223"/>
      <c r="BR141" s="223"/>
      <c r="BS141" s="223"/>
      <c r="BT141" s="223"/>
      <c r="BU141" s="223"/>
      <c r="BV141" s="223"/>
      <c r="BW141" s="223"/>
      <c r="BX141" s="223"/>
      <c r="BY141" s="223"/>
      <c r="BZ141" s="223"/>
      <c r="CA141" s="223"/>
      <c r="CB141" s="223"/>
      <c r="CC141" s="223"/>
      <c r="CD141" s="223"/>
      <c r="CE141" s="223"/>
      <c r="CF141" s="223"/>
      <c r="CG141" s="223"/>
      <c r="CH141" s="223"/>
      <c r="CI141" s="223"/>
      <c r="CJ141" s="223"/>
      <c r="CK141" s="223"/>
      <c r="CL141" s="223"/>
      <c r="CM141" s="223"/>
      <c r="CN141" s="223"/>
      <c r="CO141" s="223"/>
      <c r="CP141" s="223"/>
      <c r="CQ141" s="223"/>
      <c r="CR141" s="223"/>
      <c r="CS141" s="223"/>
      <c r="CT141" s="223"/>
      <c r="CU141" s="223"/>
      <c r="CV141" s="223"/>
      <c r="CW141" s="223"/>
      <c r="CX141" s="223"/>
      <c r="CY141" s="223"/>
      <c r="CZ141" s="223"/>
      <c r="DA141" s="223"/>
      <c r="DB141" s="223"/>
      <c r="DC141" s="223"/>
      <c r="DD141" s="223"/>
      <c r="DE141" s="223"/>
      <c r="DF141" s="223"/>
      <c r="DG141" s="223"/>
      <c r="DH141" s="223"/>
      <c r="DI141" s="223"/>
      <c r="DJ141" s="223"/>
      <c r="DK141" s="223"/>
      <c r="DL141" s="223"/>
      <c r="DM141" s="223"/>
      <c r="DN141" s="223"/>
      <c r="DO141" s="223"/>
      <c r="DP141" s="223"/>
      <c r="DQ141" s="223"/>
      <c r="DR141" s="223"/>
      <c r="DS141" s="223"/>
      <c r="DT141" s="223"/>
      <c r="DU141" s="223"/>
      <c r="DV141" s="223"/>
      <c r="DW141" s="223"/>
      <c r="DX141" s="223"/>
      <c r="DY141" s="223"/>
      <c r="DZ141" s="51" t="s">
        <v>582</v>
      </c>
    </row>
    <row r="142" spans="53:130" x14ac:dyDescent="0.2">
      <c r="BA142" s="217">
        <v>137</v>
      </c>
      <c r="BB142" s="218" t="s">
        <v>655</v>
      </c>
      <c r="BC142" s="219"/>
      <c r="BD142" s="219"/>
      <c r="BE142" s="220"/>
      <c r="BF142" s="219"/>
      <c r="BG142" s="219"/>
      <c r="BH142" s="219"/>
      <c r="BI142" s="219"/>
      <c r="BJ142" s="219"/>
      <c r="BK142" s="219"/>
      <c r="BL142" s="219"/>
      <c r="BM142" s="219"/>
      <c r="BN142" s="219"/>
      <c r="BO142" s="219"/>
      <c r="BP142" s="219"/>
      <c r="BQ142" s="219"/>
      <c r="BR142" s="219"/>
      <c r="BS142" s="219"/>
      <c r="BT142" s="219"/>
      <c r="BU142" s="219"/>
      <c r="BV142" s="219"/>
      <c r="BW142" s="219"/>
      <c r="BX142" s="219"/>
      <c r="BY142" s="219"/>
      <c r="BZ142" s="219"/>
      <c r="CA142" s="219"/>
      <c r="CB142" s="219"/>
      <c r="CC142" s="219"/>
      <c r="CD142" s="219"/>
      <c r="CE142" s="219"/>
      <c r="CF142" s="219"/>
      <c r="CG142" s="219"/>
      <c r="CH142" s="219"/>
      <c r="CI142" s="219"/>
      <c r="CJ142" s="219"/>
      <c r="CK142" s="219"/>
      <c r="CL142" s="219"/>
      <c r="CM142" s="219"/>
      <c r="CN142" s="219"/>
      <c r="CO142" s="219"/>
      <c r="CP142" s="219"/>
      <c r="CQ142" s="219"/>
      <c r="CR142" s="219"/>
      <c r="CS142" s="219"/>
      <c r="CT142" s="219"/>
      <c r="CU142" s="219"/>
      <c r="CV142" s="219"/>
      <c r="CW142" s="219"/>
      <c r="CX142" s="219"/>
      <c r="CY142" s="219"/>
      <c r="CZ142" s="219"/>
      <c r="DA142" s="219"/>
      <c r="DB142" s="219"/>
      <c r="DC142" s="219"/>
      <c r="DD142" s="219"/>
      <c r="DE142" s="219"/>
      <c r="DF142" s="219"/>
      <c r="DG142" s="219"/>
      <c r="DH142" s="219"/>
      <c r="DI142" s="219"/>
      <c r="DJ142" s="219"/>
      <c r="DK142" s="219"/>
      <c r="DL142" s="219"/>
      <c r="DM142" s="219"/>
      <c r="DN142" s="219"/>
      <c r="DO142" s="219"/>
      <c r="DP142" s="219"/>
      <c r="DQ142" s="219"/>
      <c r="DR142" s="219"/>
      <c r="DS142" s="219"/>
      <c r="DT142" s="219"/>
      <c r="DU142" s="219"/>
      <c r="DV142" s="219"/>
      <c r="DW142" s="219"/>
      <c r="DX142" s="219"/>
      <c r="DY142" s="219"/>
      <c r="DZ142" s="45" t="s">
        <v>582</v>
      </c>
    </row>
    <row r="143" spans="53:130" x14ac:dyDescent="0.2">
      <c r="BA143" s="221">
        <v>138</v>
      </c>
      <c r="BB143" s="222" t="s">
        <v>872</v>
      </c>
      <c r="BC143" s="223"/>
      <c r="BD143" s="223"/>
      <c r="BE143" s="224"/>
      <c r="BF143" s="223"/>
      <c r="BG143" s="223"/>
      <c r="BH143" s="223"/>
      <c r="BI143" s="223"/>
      <c r="BJ143" s="223"/>
      <c r="BK143" s="223"/>
      <c r="BL143" s="223"/>
      <c r="BM143" s="223"/>
      <c r="BN143" s="223"/>
      <c r="BO143" s="223"/>
      <c r="BP143" s="223"/>
      <c r="BQ143" s="223"/>
      <c r="BR143" s="223"/>
      <c r="BS143" s="223"/>
      <c r="BT143" s="223"/>
      <c r="BU143" s="223"/>
      <c r="BV143" s="223"/>
      <c r="BW143" s="223"/>
      <c r="BX143" s="223"/>
      <c r="BY143" s="223"/>
      <c r="BZ143" s="223"/>
      <c r="CA143" s="223"/>
      <c r="CB143" s="223"/>
      <c r="CC143" s="223"/>
      <c r="CD143" s="223"/>
      <c r="CE143" s="223"/>
      <c r="CF143" s="223"/>
      <c r="CG143" s="223"/>
      <c r="CH143" s="223"/>
      <c r="CI143" s="223"/>
      <c r="CJ143" s="223"/>
      <c r="CK143" s="223"/>
      <c r="CL143" s="223"/>
      <c r="CM143" s="223"/>
      <c r="CN143" s="223"/>
      <c r="CO143" s="223"/>
      <c r="CP143" s="223"/>
      <c r="CQ143" s="223"/>
      <c r="CR143" s="223"/>
      <c r="CS143" s="223"/>
      <c r="CT143" s="223"/>
      <c r="CU143" s="223"/>
      <c r="CV143" s="223"/>
      <c r="CW143" s="223"/>
      <c r="CX143" s="223"/>
      <c r="CY143" s="223"/>
      <c r="CZ143" s="223"/>
      <c r="DA143" s="223"/>
      <c r="DB143" s="223"/>
      <c r="DC143" s="223"/>
      <c r="DD143" s="223"/>
      <c r="DE143" s="223"/>
      <c r="DF143" s="223"/>
      <c r="DG143" s="223"/>
      <c r="DH143" s="223"/>
      <c r="DI143" s="223"/>
      <c r="DJ143" s="223"/>
      <c r="DK143" s="223"/>
      <c r="DL143" s="223"/>
      <c r="DM143" s="223"/>
      <c r="DN143" s="223"/>
      <c r="DO143" s="223"/>
      <c r="DP143" s="223"/>
      <c r="DQ143" s="223"/>
      <c r="DR143" s="223"/>
      <c r="DS143" s="223"/>
      <c r="DT143" s="223"/>
      <c r="DU143" s="223"/>
      <c r="DV143" s="223"/>
      <c r="DW143" s="223"/>
      <c r="DX143" s="223"/>
      <c r="DY143" s="223"/>
      <c r="DZ143" s="48" t="s">
        <v>582</v>
      </c>
    </row>
    <row r="144" spans="53:130" x14ac:dyDescent="0.2">
      <c r="BA144" s="221">
        <v>139</v>
      </c>
      <c r="BB144" s="222"/>
      <c r="BC144" s="223"/>
      <c r="BD144" s="223"/>
      <c r="BE144" s="224"/>
      <c r="BF144" s="223"/>
      <c r="BG144" s="223"/>
      <c r="BH144" s="223"/>
      <c r="BI144" s="223"/>
      <c r="BJ144" s="223"/>
      <c r="BK144" s="223"/>
      <c r="BL144" s="223"/>
      <c r="BM144" s="223"/>
      <c r="BN144" s="223"/>
      <c r="BO144" s="223"/>
      <c r="BP144" s="223"/>
      <c r="BQ144" s="223"/>
      <c r="BR144" s="223"/>
      <c r="BS144" s="223"/>
      <c r="BT144" s="223"/>
      <c r="BU144" s="223"/>
      <c r="BV144" s="223"/>
      <c r="BW144" s="223"/>
      <c r="BX144" s="223"/>
      <c r="BY144" s="223"/>
      <c r="BZ144" s="223"/>
      <c r="CA144" s="223"/>
      <c r="CB144" s="223"/>
      <c r="CC144" s="223"/>
      <c r="CD144" s="223"/>
      <c r="CE144" s="223"/>
      <c r="CF144" s="223"/>
      <c r="CG144" s="223"/>
      <c r="CH144" s="223"/>
      <c r="CI144" s="223"/>
      <c r="CJ144" s="223"/>
      <c r="CK144" s="223"/>
      <c r="CL144" s="223"/>
      <c r="CM144" s="223"/>
      <c r="CN144" s="223"/>
      <c r="CO144" s="223"/>
      <c r="CP144" s="223"/>
      <c r="CQ144" s="223"/>
      <c r="CR144" s="223"/>
      <c r="CS144" s="223"/>
      <c r="CT144" s="223"/>
      <c r="CU144" s="223"/>
      <c r="CV144" s="223"/>
      <c r="CW144" s="223"/>
      <c r="CX144" s="223"/>
      <c r="CY144" s="223"/>
      <c r="CZ144" s="223"/>
      <c r="DA144" s="223"/>
      <c r="DB144" s="223"/>
      <c r="DC144" s="223"/>
      <c r="DD144" s="223"/>
      <c r="DE144" s="223"/>
      <c r="DF144" s="223"/>
      <c r="DG144" s="223"/>
      <c r="DH144" s="223"/>
      <c r="DI144" s="223"/>
      <c r="DJ144" s="223"/>
      <c r="DK144" s="223"/>
      <c r="DL144" s="223"/>
      <c r="DM144" s="223"/>
      <c r="DN144" s="223"/>
      <c r="DO144" s="223"/>
      <c r="DP144" s="223"/>
      <c r="DQ144" s="223"/>
      <c r="DR144" s="223"/>
      <c r="DS144" s="223"/>
      <c r="DT144" s="223"/>
      <c r="DU144" s="223"/>
      <c r="DV144" s="223"/>
      <c r="DW144" s="223"/>
      <c r="DX144" s="223"/>
      <c r="DY144" s="223"/>
      <c r="DZ144" s="48" t="s">
        <v>582</v>
      </c>
    </row>
    <row r="145" spans="2:130" x14ac:dyDescent="0.2">
      <c r="BA145" s="226">
        <v>140</v>
      </c>
      <c r="BB145" s="227"/>
      <c r="BC145" s="228"/>
      <c r="BD145" s="228"/>
      <c r="BE145" s="229"/>
      <c r="BF145" s="223"/>
      <c r="BG145" s="223"/>
      <c r="BH145" s="223"/>
      <c r="BI145" s="223"/>
      <c r="BJ145" s="223"/>
      <c r="BK145" s="223"/>
      <c r="BL145" s="223"/>
      <c r="BM145" s="223"/>
      <c r="BN145" s="223"/>
      <c r="BO145" s="223"/>
      <c r="BP145" s="223"/>
      <c r="BQ145" s="223"/>
      <c r="BR145" s="223"/>
      <c r="BS145" s="223"/>
      <c r="BT145" s="223"/>
      <c r="BU145" s="223"/>
      <c r="BV145" s="223"/>
      <c r="BW145" s="223"/>
      <c r="BX145" s="223"/>
      <c r="BY145" s="223"/>
      <c r="BZ145" s="223"/>
      <c r="CA145" s="223"/>
      <c r="CB145" s="223"/>
      <c r="CC145" s="223"/>
      <c r="CD145" s="223"/>
      <c r="CE145" s="223"/>
      <c r="CF145" s="223"/>
      <c r="CG145" s="223"/>
      <c r="CH145" s="223"/>
      <c r="CI145" s="223"/>
      <c r="CJ145" s="223"/>
      <c r="CK145" s="223"/>
      <c r="CL145" s="223"/>
      <c r="CM145" s="223"/>
      <c r="CN145" s="223"/>
      <c r="CO145" s="223"/>
      <c r="CP145" s="223"/>
      <c r="CQ145" s="223"/>
      <c r="CR145" s="223"/>
      <c r="CS145" s="223"/>
      <c r="CT145" s="223"/>
      <c r="CU145" s="223"/>
      <c r="CV145" s="223"/>
      <c r="CW145" s="223"/>
      <c r="CX145" s="223"/>
      <c r="CY145" s="223"/>
      <c r="CZ145" s="223"/>
      <c r="DA145" s="223"/>
      <c r="DB145" s="223"/>
      <c r="DC145" s="223"/>
      <c r="DD145" s="223"/>
      <c r="DE145" s="223"/>
      <c r="DF145" s="223"/>
      <c r="DG145" s="223"/>
      <c r="DH145" s="223"/>
      <c r="DI145" s="223"/>
      <c r="DJ145" s="223"/>
      <c r="DK145" s="223"/>
      <c r="DL145" s="223"/>
      <c r="DM145" s="223"/>
      <c r="DN145" s="223"/>
      <c r="DO145" s="223"/>
      <c r="DP145" s="223"/>
      <c r="DQ145" s="223"/>
      <c r="DR145" s="223"/>
      <c r="DS145" s="223"/>
      <c r="DT145" s="223"/>
      <c r="DU145" s="223"/>
      <c r="DV145" s="223"/>
      <c r="DW145" s="223"/>
      <c r="DX145" s="223"/>
      <c r="DY145" s="223"/>
      <c r="DZ145" s="51" t="s">
        <v>582</v>
      </c>
    </row>
    <row r="146" spans="2:130" x14ac:dyDescent="0.2">
      <c r="B146" s="3" t="s">
        <v>582</v>
      </c>
      <c r="C146" s="3" t="s">
        <v>582</v>
      </c>
      <c r="D146" s="3" t="s">
        <v>582</v>
      </c>
      <c r="E146" s="3" t="s">
        <v>582</v>
      </c>
      <c r="F146" s="3" t="s">
        <v>582</v>
      </c>
      <c r="G146" s="3" t="s">
        <v>582</v>
      </c>
      <c r="H146" s="3" t="s">
        <v>582</v>
      </c>
      <c r="I146" s="3" t="s">
        <v>582</v>
      </c>
      <c r="BA146" s="217">
        <v>141</v>
      </c>
      <c r="BB146" s="218" t="s">
        <v>656</v>
      </c>
      <c r="BC146" s="219"/>
      <c r="BD146" s="219"/>
      <c r="BE146" s="220"/>
      <c r="BF146" s="219"/>
      <c r="BG146" s="219"/>
      <c r="BH146" s="219"/>
      <c r="BI146" s="219"/>
      <c r="BJ146" s="219"/>
      <c r="BK146" s="219"/>
      <c r="BL146" s="219"/>
      <c r="BM146" s="219"/>
      <c r="BN146" s="219"/>
      <c r="BO146" s="219"/>
      <c r="BP146" s="219"/>
      <c r="BQ146" s="219"/>
      <c r="BR146" s="219"/>
      <c r="BS146" s="219"/>
      <c r="BT146" s="219"/>
      <c r="BU146" s="219"/>
      <c r="BV146" s="219"/>
      <c r="BW146" s="219"/>
      <c r="BX146" s="219"/>
      <c r="BY146" s="219"/>
      <c r="BZ146" s="219"/>
      <c r="CA146" s="219"/>
      <c r="CB146" s="219"/>
      <c r="CC146" s="219"/>
      <c r="CD146" s="219"/>
      <c r="CE146" s="219"/>
      <c r="CF146" s="219"/>
      <c r="CG146" s="219"/>
      <c r="CH146" s="219"/>
      <c r="CI146" s="219"/>
      <c r="CJ146" s="219"/>
      <c r="CK146" s="219"/>
      <c r="CL146" s="219"/>
      <c r="CM146" s="219"/>
      <c r="CN146" s="219"/>
      <c r="CO146" s="219"/>
      <c r="CP146" s="219"/>
      <c r="CQ146" s="219"/>
      <c r="CR146" s="219"/>
      <c r="CS146" s="219"/>
      <c r="CT146" s="219"/>
      <c r="CU146" s="219"/>
      <c r="CV146" s="219"/>
      <c r="CW146" s="219"/>
      <c r="CX146" s="219"/>
      <c r="CY146" s="219"/>
      <c r="CZ146" s="219"/>
      <c r="DA146" s="219"/>
      <c r="DB146" s="219"/>
      <c r="DC146" s="219"/>
      <c r="DD146" s="219"/>
      <c r="DE146" s="219"/>
      <c r="DF146" s="219"/>
      <c r="DG146" s="219"/>
      <c r="DH146" s="219"/>
      <c r="DI146" s="219"/>
      <c r="DJ146" s="219"/>
      <c r="DK146" s="219"/>
      <c r="DL146" s="219"/>
      <c r="DM146" s="219"/>
      <c r="DN146" s="219"/>
      <c r="DO146" s="219"/>
      <c r="DP146" s="219"/>
      <c r="DQ146" s="219"/>
      <c r="DR146" s="219"/>
      <c r="DS146" s="219"/>
      <c r="DT146" s="219"/>
      <c r="DU146" s="219"/>
      <c r="DV146" s="219"/>
      <c r="DW146" s="219"/>
      <c r="DX146" s="219"/>
      <c r="DY146" s="219"/>
      <c r="DZ146" s="45" t="s">
        <v>582</v>
      </c>
    </row>
    <row r="147" spans="2:130" x14ac:dyDescent="0.2">
      <c r="BA147" s="221">
        <v>142</v>
      </c>
      <c r="BB147" s="222" t="s">
        <v>887</v>
      </c>
      <c r="BC147" s="223"/>
      <c r="BD147" s="223"/>
      <c r="BE147" s="224"/>
      <c r="BF147" s="223"/>
      <c r="BG147" s="223"/>
      <c r="BH147" s="223"/>
      <c r="BI147" s="223"/>
      <c r="BJ147" s="223"/>
      <c r="BK147" s="223"/>
      <c r="BL147" s="223"/>
      <c r="BM147" s="223"/>
      <c r="BN147" s="223"/>
      <c r="BO147" s="223"/>
      <c r="BP147" s="223"/>
      <c r="BQ147" s="223"/>
      <c r="BR147" s="223"/>
      <c r="BS147" s="223"/>
      <c r="BT147" s="223"/>
      <c r="BU147" s="223"/>
      <c r="BV147" s="223"/>
      <c r="BW147" s="223"/>
      <c r="BX147" s="223"/>
      <c r="BY147" s="223"/>
      <c r="BZ147" s="223"/>
      <c r="CA147" s="223"/>
      <c r="CB147" s="223"/>
      <c r="CC147" s="223"/>
      <c r="CD147" s="223"/>
      <c r="CE147" s="223"/>
      <c r="CF147" s="223"/>
      <c r="CG147" s="223"/>
      <c r="CH147" s="223"/>
      <c r="CI147" s="223"/>
      <c r="CJ147" s="223"/>
      <c r="CK147" s="223"/>
      <c r="CL147" s="223"/>
      <c r="CM147" s="223"/>
      <c r="CN147" s="223"/>
      <c r="CO147" s="223"/>
      <c r="CP147" s="223"/>
      <c r="CQ147" s="223"/>
      <c r="CR147" s="223"/>
      <c r="CS147" s="223"/>
      <c r="CT147" s="223"/>
      <c r="CU147" s="223"/>
      <c r="CV147" s="223"/>
      <c r="CW147" s="223"/>
      <c r="CX147" s="223"/>
      <c r="CY147" s="223"/>
      <c r="CZ147" s="223"/>
      <c r="DA147" s="223"/>
      <c r="DB147" s="223"/>
      <c r="DC147" s="223"/>
      <c r="DD147" s="223"/>
      <c r="DE147" s="223"/>
      <c r="DF147" s="223"/>
      <c r="DG147" s="223"/>
      <c r="DH147" s="223"/>
      <c r="DI147" s="223"/>
      <c r="DJ147" s="223"/>
      <c r="DK147" s="223"/>
      <c r="DL147" s="223"/>
      <c r="DM147" s="223"/>
      <c r="DN147" s="223"/>
      <c r="DO147" s="223"/>
      <c r="DP147" s="223"/>
      <c r="DQ147" s="223"/>
      <c r="DR147" s="223"/>
      <c r="DS147" s="223"/>
      <c r="DT147" s="223"/>
      <c r="DU147" s="223"/>
      <c r="DV147" s="223"/>
      <c r="DW147" s="223"/>
      <c r="DX147" s="223"/>
      <c r="DY147" s="223"/>
      <c r="DZ147" s="48" t="s">
        <v>582</v>
      </c>
    </row>
    <row r="148" spans="2:130" x14ac:dyDescent="0.2">
      <c r="BA148" s="221">
        <v>143</v>
      </c>
      <c r="BB148" s="222"/>
      <c r="BC148" s="223"/>
      <c r="BD148" s="223"/>
      <c r="BE148" s="224"/>
      <c r="BF148" s="223"/>
      <c r="BG148" s="223"/>
      <c r="BH148" s="223"/>
      <c r="BI148" s="223"/>
      <c r="BJ148" s="223"/>
      <c r="BK148" s="223"/>
      <c r="BL148" s="223"/>
      <c r="BM148" s="223"/>
      <c r="BN148" s="223"/>
      <c r="BO148" s="223"/>
      <c r="BP148" s="223"/>
      <c r="BQ148" s="223"/>
      <c r="BR148" s="223"/>
      <c r="BS148" s="223"/>
      <c r="BT148" s="223"/>
      <c r="BU148" s="223"/>
      <c r="BV148" s="223"/>
      <c r="BW148" s="223"/>
      <c r="BX148" s="223"/>
      <c r="BY148" s="223"/>
      <c r="BZ148" s="223"/>
      <c r="CA148" s="223"/>
      <c r="CB148" s="223"/>
      <c r="CC148" s="223"/>
      <c r="CD148" s="223"/>
      <c r="CE148" s="223"/>
      <c r="CF148" s="223"/>
      <c r="CG148" s="223"/>
      <c r="CH148" s="223"/>
      <c r="CI148" s="223"/>
      <c r="CJ148" s="223"/>
      <c r="CK148" s="223"/>
      <c r="CL148" s="223"/>
      <c r="CM148" s="223"/>
      <c r="CN148" s="223"/>
      <c r="CO148" s="223"/>
      <c r="CP148" s="223"/>
      <c r="CQ148" s="223"/>
      <c r="CR148" s="223"/>
      <c r="CS148" s="223"/>
      <c r="CT148" s="223"/>
      <c r="CU148" s="223"/>
      <c r="CV148" s="223"/>
      <c r="CW148" s="223"/>
      <c r="CX148" s="223"/>
      <c r="CY148" s="223"/>
      <c r="CZ148" s="223"/>
      <c r="DA148" s="223"/>
      <c r="DB148" s="223"/>
      <c r="DC148" s="223"/>
      <c r="DD148" s="223"/>
      <c r="DE148" s="223"/>
      <c r="DF148" s="223"/>
      <c r="DG148" s="223"/>
      <c r="DH148" s="223"/>
      <c r="DI148" s="223"/>
      <c r="DJ148" s="223"/>
      <c r="DK148" s="223"/>
      <c r="DL148" s="223"/>
      <c r="DM148" s="223"/>
      <c r="DN148" s="223"/>
      <c r="DO148" s="223"/>
      <c r="DP148" s="223"/>
      <c r="DQ148" s="223"/>
      <c r="DR148" s="223"/>
      <c r="DS148" s="223"/>
      <c r="DT148" s="223"/>
      <c r="DU148" s="223"/>
      <c r="DV148" s="223"/>
      <c r="DW148" s="223"/>
      <c r="DX148" s="223"/>
      <c r="DY148" s="223"/>
      <c r="DZ148" s="48" t="s">
        <v>582</v>
      </c>
    </row>
    <row r="149" spans="2:130" x14ac:dyDescent="0.2">
      <c r="BA149" s="226">
        <v>144</v>
      </c>
      <c r="BB149" s="227"/>
      <c r="BC149" s="228"/>
      <c r="BD149" s="228"/>
      <c r="BE149" s="229"/>
      <c r="BF149" s="223"/>
      <c r="BG149" s="223"/>
      <c r="BH149" s="223"/>
      <c r="BI149" s="223"/>
      <c r="BJ149" s="223"/>
      <c r="BK149" s="223"/>
      <c r="BL149" s="223"/>
      <c r="BM149" s="223"/>
      <c r="BN149" s="223"/>
      <c r="BO149" s="223"/>
      <c r="BP149" s="223"/>
      <c r="BQ149" s="223"/>
      <c r="BR149" s="223"/>
      <c r="BS149" s="223"/>
      <c r="BT149" s="223"/>
      <c r="BU149" s="223"/>
      <c r="BV149" s="223"/>
      <c r="BW149" s="223"/>
      <c r="BX149" s="223"/>
      <c r="BY149" s="223"/>
      <c r="BZ149" s="223"/>
      <c r="CA149" s="223"/>
      <c r="CB149" s="223"/>
      <c r="CC149" s="223"/>
      <c r="CD149" s="223"/>
      <c r="CE149" s="223"/>
      <c r="CF149" s="223"/>
      <c r="CG149" s="223"/>
      <c r="CH149" s="223"/>
      <c r="CI149" s="223"/>
      <c r="CJ149" s="223"/>
      <c r="CK149" s="223"/>
      <c r="CL149" s="223"/>
      <c r="CM149" s="223"/>
      <c r="CN149" s="223"/>
      <c r="CO149" s="223"/>
      <c r="CP149" s="223"/>
      <c r="CQ149" s="223"/>
      <c r="CR149" s="223"/>
      <c r="CS149" s="223"/>
      <c r="CT149" s="223"/>
      <c r="CU149" s="223"/>
      <c r="CV149" s="223"/>
      <c r="CW149" s="223"/>
      <c r="CX149" s="223"/>
      <c r="CY149" s="223"/>
      <c r="CZ149" s="223"/>
      <c r="DA149" s="223"/>
      <c r="DB149" s="223"/>
      <c r="DC149" s="223"/>
      <c r="DD149" s="223"/>
      <c r="DE149" s="223"/>
      <c r="DF149" s="223"/>
      <c r="DG149" s="223"/>
      <c r="DH149" s="223"/>
      <c r="DI149" s="223"/>
      <c r="DJ149" s="223"/>
      <c r="DK149" s="223"/>
      <c r="DL149" s="223"/>
      <c r="DM149" s="223"/>
      <c r="DN149" s="223"/>
      <c r="DO149" s="223"/>
      <c r="DP149" s="223"/>
      <c r="DQ149" s="223"/>
      <c r="DR149" s="223"/>
      <c r="DS149" s="223"/>
      <c r="DT149" s="223"/>
      <c r="DU149" s="223"/>
      <c r="DV149" s="223"/>
      <c r="DW149" s="223"/>
      <c r="DX149" s="223"/>
      <c r="DY149" s="223"/>
      <c r="DZ149" s="51" t="s">
        <v>582</v>
      </c>
    </row>
    <row r="150" spans="2:130" x14ac:dyDescent="0.2">
      <c r="BA150" s="217">
        <v>145</v>
      </c>
      <c r="BB150" s="218" t="s">
        <v>657</v>
      </c>
      <c r="BC150" s="219"/>
      <c r="BD150" s="219"/>
      <c r="BE150" s="220"/>
      <c r="BF150" s="219"/>
      <c r="BG150" s="219"/>
      <c r="BH150" s="219"/>
      <c r="BI150" s="219"/>
      <c r="BJ150" s="219"/>
      <c r="BK150" s="219"/>
      <c r="BL150" s="219"/>
      <c r="BM150" s="219"/>
      <c r="BN150" s="219"/>
      <c r="BO150" s="219"/>
      <c r="BP150" s="219"/>
      <c r="BQ150" s="219"/>
      <c r="BR150" s="219"/>
      <c r="BS150" s="219"/>
      <c r="BT150" s="219"/>
      <c r="BU150" s="219"/>
      <c r="BV150" s="219"/>
      <c r="BW150" s="219"/>
      <c r="BX150" s="219"/>
      <c r="BY150" s="219"/>
      <c r="BZ150" s="219"/>
      <c r="CA150" s="219"/>
      <c r="CB150" s="219"/>
      <c r="CC150" s="219"/>
      <c r="CD150" s="219"/>
      <c r="CE150" s="219"/>
      <c r="CF150" s="219"/>
      <c r="CG150" s="219"/>
      <c r="CH150" s="219"/>
      <c r="CI150" s="219"/>
      <c r="CJ150" s="219"/>
      <c r="CK150" s="219"/>
      <c r="CL150" s="219"/>
      <c r="CM150" s="219"/>
      <c r="CN150" s="219"/>
      <c r="CO150" s="219"/>
      <c r="CP150" s="219"/>
      <c r="CQ150" s="219"/>
      <c r="CR150" s="219"/>
      <c r="CS150" s="219"/>
      <c r="CT150" s="219"/>
      <c r="CU150" s="219"/>
      <c r="CV150" s="219"/>
      <c r="CW150" s="219"/>
      <c r="CX150" s="219"/>
      <c r="CY150" s="219"/>
      <c r="CZ150" s="219"/>
      <c r="DA150" s="219"/>
      <c r="DB150" s="219"/>
      <c r="DC150" s="219"/>
      <c r="DD150" s="219"/>
      <c r="DE150" s="219"/>
      <c r="DF150" s="219"/>
      <c r="DG150" s="219"/>
      <c r="DH150" s="219"/>
      <c r="DI150" s="219"/>
      <c r="DJ150" s="219"/>
      <c r="DK150" s="219"/>
      <c r="DL150" s="219"/>
      <c r="DM150" s="219"/>
      <c r="DN150" s="219"/>
      <c r="DO150" s="219"/>
      <c r="DP150" s="219"/>
      <c r="DQ150" s="219"/>
      <c r="DR150" s="219"/>
      <c r="DS150" s="219"/>
      <c r="DT150" s="219"/>
      <c r="DU150" s="219"/>
      <c r="DV150" s="219"/>
      <c r="DW150" s="219"/>
      <c r="DX150" s="219"/>
      <c r="DY150" s="219"/>
      <c r="DZ150" s="45" t="s">
        <v>582</v>
      </c>
    </row>
    <row r="151" spans="2:130" x14ac:dyDescent="0.2">
      <c r="BA151" s="221">
        <v>146</v>
      </c>
      <c r="BB151" s="222" t="s">
        <v>873</v>
      </c>
      <c r="BC151" s="223"/>
      <c r="BD151" s="223"/>
      <c r="BE151" s="224"/>
      <c r="BF151" s="223"/>
      <c r="BG151" s="223"/>
      <c r="BH151" s="223"/>
      <c r="BI151" s="223"/>
      <c r="BJ151" s="223"/>
      <c r="BK151" s="223"/>
      <c r="BL151" s="223"/>
      <c r="BM151" s="223"/>
      <c r="BN151" s="223"/>
      <c r="BO151" s="223"/>
      <c r="BP151" s="223"/>
      <c r="BQ151" s="223"/>
      <c r="BR151" s="223"/>
      <c r="BS151" s="223"/>
      <c r="BT151" s="223"/>
      <c r="BU151" s="223"/>
      <c r="BV151" s="223"/>
      <c r="BW151" s="223"/>
      <c r="BX151" s="223"/>
      <c r="BY151" s="223"/>
      <c r="BZ151" s="223"/>
      <c r="CA151" s="223"/>
      <c r="CB151" s="223"/>
      <c r="CC151" s="223"/>
      <c r="CD151" s="223"/>
      <c r="CE151" s="223"/>
      <c r="CF151" s="223"/>
      <c r="CG151" s="223"/>
      <c r="CH151" s="223"/>
      <c r="CI151" s="223"/>
      <c r="CJ151" s="223"/>
      <c r="CK151" s="223"/>
      <c r="CL151" s="223"/>
      <c r="CM151" s="223"/>
      <c r="CN151" s="223"/>
      <c r="CO151" s="223"/>
      <c r="CP151" s="223"/>
      <c r="CQ151" s="223"/>
      <c r="CR151" s="223"/>
      <c r="CS151" s="223"/>
      <c r="CT151" s="223"/>
      <c r="CU151" s="223"/>
      <c r="CV151" s="223"/>
      <c r="CW151" s="223"/>
      <c r="CX151" s="223"/>
      <c r="CY151" s="223"/>
      <c r="CZ151" s="223"/>
      <c r="DA151" s="223"/>
      <c r="DB151" s="223"/>
      <c r="DC151" s="223"/>
      <c r="DD151" s="223"/>
      <c r="DE151" s="223"/>
      <c r="DF151" s="223"/>
      <c r="DG151" s="223"/>
      <c r="DH151" s="223"/>
      <c r="DI151" s="223"/>
      <c r="DJ151" s="223"/>
      <c r="DK151" s="223"/>
      <c r="DL151" s="223"/>
      <c r="DM151" s="223"/>
      <c r="DN151" s="223"/>
      <c r="DO151" s="223"/>
      <c r="DP151" s="223"/>
      <c r="DQ151" s="223"/>
      <c r="DR151" s="223"/>
      <c r="DS151" s="223"/>
      <c r="DT151" s="223"/>
      <c r="DU151" s="223"/>
      <c r="DV151" s="223"/>
      <c r="DW151" s="223"/>
      <c r="DX151" s="223"/>
      <c r="DY151" s="223"/>
      <c r="DZ151" s="48" t="s">
        <v>582</v>
      </c>
    </row>
    <row r="152" spans="2:130" x14ac:dyDescent="0.2">
      <c r="BA152" s="221">
        <v>147</v>
      </c>
      <c r="BB152" s="222"/>
      <c r="BC152" s="223"/>
      <c r="BD152" s="223"/>
      <c r="BE152" s="224"/>
      <c r="BF152" s="223"/>
      <c r="BG152" s="223"/>
      <c r="BH152" s="223"/>
      <c r="BI152" s="223"/>
      <c r="BJ152" s="223"/>
      <c r="BK152" s="223"/>
      <c r="BL152" s="223"/>
      <c r="BM152" s="223"/>
      <c r="BN152" s="223"/>
      <c r="BO152" s="223"/>
      <c r="BP152" s="223"/>
      <c r="BQ152" s="223"/>
      <c r="BR152" s="223"/>
      <c r="BS152" s="223"/>
      <c r="BT152" s="223"/>
      <c r="BU152" s="223"/>
      <c r="BV152" s="223"/>
      <c r="BW152" s="223"/>
      <c r="BX152" s="223"/>
      <c r="BY152" s="223"/>
      <c r="BZ152" s="223"/>
      <c r="CA152" s="223"/>
      <c r="CB152" s="223"/>
      <c r="CC152" s="223"/>
      <c r="CD152" s="223"/>
      <c r="CE152" s="223"/>
      <c r="CF152" s="223"/>
      <c r="CG152" s="223"/>
      <c r="CH152" s="223"/>
      <c r="CI152" s="223"/>
      <c r="CJ152" s="223"/>
      <c r="CK152" s="223"/>
      <c r="CL152" s="223"/>
      <c r="CM152" s="223"/>
      <c r="CN152" s="223"/>
      <c r="CO152" s="223"/>
      <c r="CP152" s="223"/>
      <c r="CQ152" s="223"/>
      <c r="CR152" s="223"/>
      <c r="CS152" s="223"/>
      <c r="CT152" s="223"/>
      <c r="CU152" s="223"/>
      <c r="CV152" s="223"/>
      <c r="CW152" s="223"/>
      <c r="CX152" s="223"/>
      <c r="CY152" s="223"/>
      <c r="CZ152" s="223"/>
      <c r="DA152" s="223"/>
      <c r="DB152" s="223"/>
      <c r="DC152" s="223"/>
      <c r="DD152" s="223"/>
      <c r="DE152" s="223"/>
      <c r="DF152" s="223"/>
      <c r="DG152" s="223"/>
      <c r="DH152" s="223"/>
      <c r="DI152" s="223"/>
      <c r="DJ152" s="223"/>
      <c r="DK152" s="223"/>
      <c r="DL152" s="223"/>
      <c r="DM152" s="223"/>
      <c r="DN152" s="223"/>
      <c r="DO152" s="223"/>
      <c r="DP152" s="223"/>
      <c r="DQ152" s="223"/>
      <c r="DR152" s="223"/>
      <c r="DS152" s="223"/>
      <c r="DT152" s="223"/>
      <c r="DU152" s="223"/>
      <c r="DV152" s="223"/>
      <c r="DW152" s="223"/>
      <c r="DX152" s="223"/>
      <c r="DY152" s="223"/>
      <c r="DZ152" s="48" t="s">
        <v>582</v>
      </c>
    </row>
    <row r="153" spans="2:130" x14ac:dyDescent="0.2">
      <c r="BA153" s="226">
        <v>148</v>
      </c>
      <c r="BB153" s="227"/>
      <c r="BC153" s="228"/>
      <c r="BD153" s="228"/>
      <c r="BE153" s="229"/>
      <c r="BF153" s="223"/>
      <c r="BG153" s="223"/>
      <c r="BH153" s="223"/>
      <c r="BI153" s="223"/>
      <c r="BJ153" s="223"/>
      <c r="BK153" s="223"/>
      <c r="BL153" s="223"/>
      <c r="BM153" s="223"/>
      <c r="BN153" s="223"/>
      <c r="BO153" s="223"/>
      <c r="BP153" s="223"/>
      <c r="BQ153" s="223"/>
      <c r="BR153" s="223"/>
      <c r="BS153" s="223"/>
      <c r="BT153" s="223"/>
      <c r="BU153" s="223"/>
      <c r="BV153" s="223"/>
      <c r="BW153" s="223"/>
      <c r="BX153" s="223"/>
      <c r="BY153" s="223"/>
      <c r="BZ153" s="223"/>
      <c r="CA153" s="223"/>
      <c r="CB153" s="223"/>
      <c r="CC153" s="223"/>
      <c r="CD153" s="223"/>
      <c r="CE153" s="223"/>
      <c r="CF153" s="223"/>
      <c r="CG153" s="223"/>
      <c r="CH153" s="223"/>
      <c r="CI153" s="223"/>
      <c r="CJ153" s="223"/>
      <c r="CK153" s="223"/>
      <c r="CL153" s="223"/>
      <c r="CM153" s="223"/>
      <c r="CN153" s="223"/>
      <c r="CO153" s="223"/>
      <c r="CP153" s="223"/>
      <c r="CQ153" s="223"/>
      <c r="CR153" s="223"/>
      <c r="CS153" s="223"/>
      <c r="CT153" s="223"/>
      <c r="CU153" s="223"/>
      <c r="CV153" s="223"/>
      <c r="CW153" s="223"/>
      <c r="CX153" s="223"/>
      <c r="CY153" s="223"/>
      <c r="CZ153" s="223"/>
      <c r="DA153" s="223"/>
      <c r="DB153" s="223"/>
      <c r="DC153" s="223"/>
      <c r="DD153" s="223"/>
      <c r="DE153" s="223"/>
      <c r="DF153" s="223"/>
      <c r="DG153" s="223"/>
      <c r="DH153" s="223"/>
      <c r="DI153" s="223"/>
      <c r="DJ153" s="223"/>
      <c r="DK153" s="223"/>
      <c r="DL153" s="223"/>
      <c r="DM153" s="223"/>
      <c r="DN153" s="223"/>
      <c r="DO153" s="223"/>
      <c r="DP153" s="223"/>
      <c r="DQ153" s="223"/>
      <c r="DR153" s="223"/>
      <c r="DS153" s="223"/>
      <c r="DT153" s="223"/>
      <c r="DU153" s="223"/>
      <c r="DV153" s="223"/>
      <c r="DW153" s="223"/>
      <c r="DX153" s="223"/>
      <c r="DY153" s="223"/>
      <c r="DZ153" s="51" t="s">
        <v>582</v>
      </c>
    </row>
    <row r="154" spans="2:130" x14ac:dyDescent="0.2">
      <c r="BA154" s="217">
        <v>149</v>
      </c>
      <c r="BB154" s="218" t="s">
        <v>658</v>
      </c>
      <c r="BC154" s="219"/>
      <c r="BD154" s="219"/>
      <c r="BE154" s="220"/>
      <c r="BF154" s="219"/>
      <c r="BG154" s="219"/>
      <c r="BH154" s="219"/>
      <c r="BI154" s="219"/>
      <c r="BJ154" s="219"/>
      <c r="BK154" s="219"/>
      <c r="BL154" s="219"/>
      <c r="BM154" s="219"/>
      <c r="BN154" s="219"/>
      <c r="BO154" s="219"/>
      <c r="BP154" s="219"/>
      <c r="BQ154" s="219"/>
      <c r="BR154" s="219"/>
      <c r="BS154" s="219"/>
      <c r="BT154" s="219"/>
      <c r="BU154" s="219"/>
      <c r="BV154" s="219"/>
      <c r="BW154" s="219"/>
      <c r="BX154" s="219"/>
      <c r="BY154" s="219"/>
      <c r="BZ154" s="219"/>
      <c r="CA154" s="219"/>
      <c r="CB154" s="219"/>
      <c r="CC154" s="219"/>
      <c r="CD154" s="219"/>
      <c r="CE154" s="219"/>
      <c r="CF154" s="219"/>
      <c r="CG154" s="219"/>
      <c r="CH154" s="219"/>
      <c r="CI154" s="219"/>
      <c r="CJ154" s="219"/>
      <c r="CK154" s="219"/>
      <c r="CL154" s="219"/>
      <c r="CM154" s="219"/>
      <c r="CN154" s="219"/>
      <c r="CO154" s="219"/>
      <c r="CP154" s="219"/>
      <c r="CQ154" s="219"/>
      <c r="CR154" s="219"/>
      <c r="CS154" s="219"/>
      <c r="CT154" s="219"/>
      <c r="CU154" s="219"/>
      <c r="CV154" s="219"/>
      <c r="CW154" s="219"/>
      <c r="CX154" s="219"/>
      <c r="CY154" s="219"/>
      <c r="CZ154" s="219"/>
      <c r="DA154" s="219"/>
      <c r="DB154" s="219"/>
      <c r="DC154" s="219"/>
      <c r="DD154" s="219"/>
      <c r="DE154" s="219"/>
      <c r="DF154" s="219"/>
      <c r="DG154" s="219"/>
      <c r="DH154" s="219"/>
      <c r="DI154" s="219"/>
      <c r="DJ154" s="219"/>
      <c r="DK154" s="219"/>
      <c r="DL154" s="219"/>
      <c r="DM154" s="219"/>
      <c r="DN154" s="219"/>
      <c r="DO154" s="219"/>
      <c r="DP154" s="219"/>
      <c r="DQ154" s="219"/>
      <c r="DR154" s="219"/>
      <c r="DS154" s="219"/>
      <c r="DT154" s="219"/>
      <c r="DU154" s="219"/>
      <c r="DV154" s="219"/>
      <c r="DW154" s="219"/>
      <c r="DX154" s="219"/>
      <c r="DY154" s="219"/>
      <c r="DZ154" s="45" t="s">
        <v>582</v>
      </c>
    </row>
    <row r="155" spans="2:130" x14ac:dyDescent="0.2">
      <c r="BA155" s="221">
        <v>150</v>
      </c>
      <c r="BB155" s="222" t="s">
        <v>874</v>
      </c>
      <c r="BC155" s="223"/>
      <c r="BD155" s="223"/>
      <c r="BE155" s="224"/>
      <c r="BF155" s="223"/>
      <c r="BG155" s="223"/>
      <c r="BH155" s="223"/>
      <c r="BI155" s="223"/>
      <c r="BJ155" s="223"/>
      <c r="BK155" s="223"/>
      <c r="BL155" s="223"/>
      <c r="BM155" s="223"/>
      <c r="BN155" s="223"/>
      <c r="BO155" s="223"/>
      <c r="BP155" s="223"/>
      <c r="BQ155" s="223"/>
      <c r="BR155" s="223"/>
      <c r="BS155" s="223"/>
      <c r="BT155" s="223"/>
      <c r="BU155" s="223"/>
      <c r="BV155" s="223"/>
      <c r="BW155" s="223"/>
      <c r="BX155" s="223"/>
      <c r="BY155" s="223"/>
      <c r="BZ155" s="223"/>
      <c r="CA155" s="223"/>
      <c r="CB155" s="223"/>
      <c r="CC155" s="223"/>
      <c r="CD155" s="223"/>
      <c r="CE155" s="223"/>
      <c r="CF155" s="223"/>
      <c r="CG155" s="223"/>
      <c r="CH155" s="223"/>
      <c r="CI155" s="223"/>
      <c r="CJ155" s="223"/>
      <c r="CK155" s="223"/>
      <c r="CL155" s="223"/>
      <c r="CM155" s="223"/>
      <c r="CN155" s="223"/>
      <c r="CO155" s="223"/>
      <c r="CP155" s="223"/>
      <c r="CQ155" s="223"/>
      <c r="CR155" s="223"/>
      <c r="CS155" s="223"/>
      <c r="CT155" s="223"/>
      <c r="CU155" s="223"/>
      <c r="CV155" s="223"/>
      <c r="CW155" s="223"/>
      <c r="CX155" s="223"/>
      <c r="CY155" s="223"/>
      <c r="CZ155" s="223"/>
      <c r="DA155" s="223"/>
      <c r="DB155" s="223"/>
      <c r="DC155" s="223"/>
      <c r="DD155" s="223"/>
      <c r="DE155" s="223"/>
      <c r="DF155" s="223"/>
      <c r="DG155" s="223"/>
      <c r="DH155" s="223"/>
      <c r="DI155" s="223"/>
      <c r="DJ155" s="223"/>
      <c r="DK155" s="223"/>
      <c r="DL155" s="223"/>
      <c r="DM155" s="223"/>
      <c r="DN155" s="223"/>
      <c r="DO155" s="223"/>
      <c r="DP155" s="223"/>
      <c r="DQ155" s="223"/>
      <c r="DR155" s="223"/>
      <c r="DS155" s="223"/>
      <c r="DT155" s="223"/>
      <c r="DU155" s="223"/>
      <c r="DV155" s="223"/>
      <c r="DW155" s="223"/>
      <c r="DX155" s="223"/>
      <c r="DY155" s="223"/>
      <c r="DZ155" s="48" t="s">
        <v>582</v>
      </c>
    </row>
    <row r="156" spans="2:130" x14ac:dyDescent="0.2">
      <c r="BA156" s="221">
        <v>151</v>
      </c>
      <c r="BB156" s="222"/>
      <c r="BC156" s="223"/>
      <c r="BD156" s="223"/>
      <c r="BE156" s="224"/>
      <c r="BF156" s="223"/>
      <c r="BG156" s="223"/>
      <c r="BH156" s="223"/>
      <c r="BI156" s="223"/>
      <c r="BJ156" s="223"/>
      <c r="BK156" s="223"/>
      <c r="BL156" s="223"/>
      <c r="BM156" s="223"/>
      <c r="BN156" s="223"/>
      <c r="BO156" s="223"/>
      <c r="BP156" s="223"/>
      <c r="BQ156" s="223"/>
      <c r="BR156" s="223"/>
      <c r="BS156" s="223"/>
      <c r="BT156" s="223"/>
      <c r="BU156" s="223"/>
      <c r="BV156" s="223"/>
      <c r="BW156" s="223"/>
      <c r="BX156" s="223"/>
      <c r="BY156" s="223"/>
      <c r="BZ156" s="223"/>
      <c r="CA156" s="223"/>
      <c r="CB156" s="223"/>
      <c r="CC156" s="223"/>
      <c r="CD156" s="223"/>
      <c r="CE156" s="223"/>
      <c r="CF156" s="223"/>
      <c r="CG156" s="223"/>
      <c r="CH156" s="223"/>
      <c r="CI156" s="223"/>
      <c r="CJ156" s="223"/>
      <c r="CK156" s="223"/>
      <c r="CL156" s="223"/>
      <c r="CM156" s="223"/>
      <c r="CN156" s="223"/>
      <c r="CO156" s="223"/>
      <c r="CP156" s="223"/>
      <c r="CQ156" s="223"/>
      <c r="CR156" s="223"/>
      <c r="CS156" s="223"/>
      <c r="CT156" s="223"/>
      <c r="CU156" s="223"/>
      <c r="CV156" s="223"/>
      <c r="CW156" s="223"/>
      <c r="CX156" s="223"/>
      <c r="CY156" s="223"/>
      <c r="CZ156" s="223"/>
      <c r="DA156" s="223"/>
      <c r="DB156" s="223"/>
      <c r="DC156" s="223"/>
      <c r="DD156" s="223"/>
      <c r="DE156" s="223"/>
      <c r="DF156" s="223"/>
      <c r="DG156" s="223"/>
      <c r="DH156" s="223"/>
      <c r="DI156" s="223"/>
      <c r="DJ156" s="223"/>
      <c r="DK156" s="223"/>
      <c r="DL156" s="223"/>
      <c r="DM156" s="223"/>
      <c r="DN156" s="223"/>
      <c r="DO156" s="223"/>
      <c r="DP156" s="223"/>
      <c r="DQ156" s="223"/>
      <c r="DR156" s="223"/>
      <c r="DS156" s="223"/>
      <c r="DT156" s="223"/>
      <c r="DU156" s="223"/>
      <c r="DV156" s="223"/>
      <c r="DW156" s="223"/>
      <c r="DX156" s="223"/>
      <c r="DY156" s="223"/>
      <c r="DZ156" s="48" t="s">
        <v>582</v>
      </c>
    </row>
    <row r="157" spans="2:130" x14ac:dyDescent="0.2">
      <c r="BA157" s="226">
        <v>152</v>
      </c>
      <c r="BB157" s="227"/>
      <c r="BC157" s="228"/>
      <c r="BD157" s="228"/>
      <c r="BE157" s="229"/>
      <c r="BF157" s="223"/>
      <c r="BG157" s="223"/>
      <c r="BH157" s="223"/>
      <c r="BI157" s="223"/>
      <c r="BJ157" s="223"/>
      <c r="BK157" s="223"/>
      <c r="BL157" s="223"/>
      <c r="BM157" s="223"/>
      <c r="BN157" s="223"/>
      <c r="BO157" s="223"/>
      <c r="BP157" s="223"/>
      <c r="BQ157" s="223"/>
      <c r="BR157" s="223"/>
      <c r="BS157" s="223"/>
      <c r="BT157" s="223"/>
      <c r="BU157" s="223"/>
      <c r="BV157" s="223"/>
      <c r="BW157" s="223"/>
      <c r="BX157" s="223"/>
      <c r="BY157" s="223"/>
      <c r="BZ157" s="223"/>
      <c r="CA157" s="223"/>
      <c r="CB157" s="223"/>
      <c r="CC157" s="223"/>
      <c r="CD157" s="223"/>
      <c r="CE157" s="223"/>
      <c r="CF157" s="223"/>
      <c r="CG157" s="223"/>
      <c r="CH157" s="223"/>
      <c r="CI157" s="223"/>
      <c r="CJ157" s="223"/>
      <c r="CK157" s="223"/>
      <c r="CL157" s="223"/>
      <c r="CM157" s="223"/>
      <c r="CN157" s="223"/>
      <c r="CO157" s="223"/>
      <c r="CP157" s="223"/>
      <c r="CQ157" s="223"/>
      <c r="CR157" s="223"/>
      <c r="CS157" s="223"/>
      <c r="CT157" s="223"/>
      <c r="CU157" s="223"/>
      <c r="CV157" s="223"/>
      <c r="CW157" s="223"/>
      <c r="CX157" s="223"/>
      <c r="CY157" s="223"/>
      <c r="CZ157" s="223"/>
      <c r="DA157" s="223"/>
      <c r="DB157" s="223"/>
      <c r="DC157" s="223"/>
      <c r="DD157" s="223"/>
      <c r="DE157" s="223"/>
      <c r="DF157" s="223"/>
      <c r="DG157" s="223"/>
      <c r="DH157" s="223"/>
      <c r="DI157" s="223"/>
      <c r="DJ157" s="223"/>
      <c r="DK157" s="223"/>
      <c r="DL157" s="223"/>
      <c r="DM157" s="223"/>
      <c r="DN157" s="223"/>
      <c r="DO157" s="223"/>
      <c r="DP157" s="223"/>
      <c r="DQ157" s="223"/>
      <c r="DR157" s="223"/>
      <c r="DS157" s="223"/>
      <c r="DT157" s="223"/>
      <c r="DU157" s="223"/>
      <c r="DV157" s="223"/>
      <c r="DW157" s="223"/>
      <c r="DX157" s="223"/>
      <c r="DY157" s="223"/>
      <c r="DZ157" s="51" t="s">
        <v>582</v>
      </c>
    </row>
    <row r="158" spans="2:130" x14ac:dyDescent="0.2">
      <c r="BA158" s="217">
        <v>153</v>
      </c>
      <c r="BB158" s="218" t="s">
        <v>659</v>
      </c>
      <c r="BC158" s="219"/>
      <c r="BD158" s="219"/>
      <c r="BE158" s="220"/>
      <c r="BF158" s="219"/>
      <c r="BG158" s="219"/>
      <c r="BH158" s="219"/>
      <c r="BI158" s="219"/>
      <c r="BJ158" s="219"/>
      <c r="BK158" s="219"/>
      <c r="BL158" s="219"/>
      <c r="BM158" s="219"/>
      <c r="BN158" s="219"/>
      <c r="BO158" s="219"/>
      <c r="BP158" s="219"/>
      <c r="BQ158" s="219"/>
      <c r="BR158" s="219"/>
      <c r="BS158" s="219"/>
      <c r="BT158" s="219"/>
      <c r="BU158" s="219"/>
      <c r="BV158" s="219"/>
      <c r="BW158" s="219"/>
      <c r="BX158" s="219"/>
      <c r="BY158" s="219"/>
      <c r="BZ158" s="219"/>
      <c r="CA158" s="219"/>
      <c r="CB158" s="219"/>
      <c r="CC158" s="219"/>
      <c r="CD158" s="219"/>
      <c r="CE158" s="219"/>
      <c r="CF158" s="219"/>
      <c r="CG158" s="219"/>
      <c r="CH158" s="219"/>
      <c r="CI158" s="219"/>
      <c r="CJ158" s="219"/>
      <c r="CK158" s="219"/>
      <c r="CL158" s="219"/>
      <c r="CM158" s="219"/>
      <c r="CN158" s="219"/>
      <c r="CO158" s="219"/>
      <c r="CP158" s="219"/>
      <c r="CQ158" s="219"/>
      <c r="CR158" s="219"/>
      <c r="CS158" s="219"/>
      <c r="CT158" s="219"/>
      <c r="CU158" s="219"/>
      <c r="CV158" s="219"/>
      <c r="CW158" s="219"/>
      <c r="CX158" s="219"/>
      <c r="CY158" s="219"/>
      <c r="CZ158" s="219"/>
      <c r="DA158" s="219"/>
      <c r="DB158" s="219"/>
      <c r="DC158" s="219"/>
      <c r="DD158" s="219"/>
      <c r="DE158" s="219"/>
      <c r="DF158" s="219"/>
      <c r="DG158" s="219"/>
      <c r="DH158" s="219"/>
      <c r="DI158" s="219"/>
      <c r="DJ158" s="219"/>
      <c r="DK158" s="219"/>
      <c r="DL158" s="219"/>
      <c r="DM158" s="219"/>
      <c r="DN158" s="219"/>
      <c r="DO158" s="219"/>
      <c r="DP158" s="219"/>
      <c r="DQ158" s="219"/>
      <c r="DR158" s="219"/>
      <c r="DS158" s="219"/>
      <c r="DT158" s="219"/>
      <c r="DU158" s="219"/>
      <c r="DV158" s="219"/>
      <c r="DW158" s="219"/>
      <c r="DX158" s="219"/>
      <c r="DY158" s="219"/>
      <c r="DZ158" s="45" t="s">
        <v>582</v>
      </c>
    </row>
    <row r="159" spans="2:130" x14ac:dyDescent="0.2">
      <c r="BA159" s="221">
        <v>154</v>
      </c>
      <c r="BB159" s="222" t="s">
        <v>875</v>
      </c>
      <c r="BC159" s="223"/>
      <c r="BD159" s="223"/>
      <c r="BE159" s="224"/>
      <c r="BF159" s="223"/>
      <c r="BG159" s="223"/>
      <c r="BH159" s="223"/>
      <c r="BI159" s="223"/>
      <c r="BJ159" s="223"/>
      <c r="BK159" s="223"/>
      <c r="BL159" s="223"/>
      <c r="BM159" s="223"/>
      <c r="BN159" s="223"/>
      <c r="BO159" s="223"/>
      <c r="BP159" s="223"/>
      <c r="BQ159" s="223"/>
      <c r="BR159" s="223"/>
      <c r="BS159" s="223"/>
      <c r="BT159" s="223"/>
      <c r="BU159" s="223"/>
      <c r="BV159" s="223"/>
      <c r="BW159" s="223"/>
      <c r="BX159" s="223"/>
      <c r="BY159" s="223"/>
      <c r="BZ159" s="223"/>
      <c r="CA159" s="223"/>
      <c r="CB159" s="223"/>
      <c r="CC159" s="223"/>
      <c r="CD159" s="223"/>
      <c r="CE159" s="223"/>
      <c r="CF159" s="223"/>
      <c r="CG159" s="223"/>
      <c r="CH159" s="223"/>
      <c r="CI159" s="223"/>
      <c r="CJ159" s="223"/>
      <c r="CK159" s="223"/>
      <c r="CL159" s="223"/>
      <c r="CM159" s="223"/>
      <c r="CN159" s="223"/>
      <c r="CO159" s="223"/>
      <c r="CP159" s="223"/>
      <c r="CQ159" s="223"/>
      <c r="CR159" s="223"/>
      <c r="CS159" s="223"/>
      <c r="CT159" s="223"/>
      <c r="CU159" s="223"/>
      <c r="CV159" s="223"/>
      <c r="CW159" s="223"/>
      <c r="CX159" s="223"/>
      <c r="CY159" s="223"/>
      <c r="CZ159" s="223"/>
      <c r="DA159" s="223"/>
      <c r="DB159" s="223"/>
      <c r="DC159" s="223"/>
      <c r="DD159" s="223"/>
      <c r="DE159" s="223"/>
      <c r="DF159" s="223"/>
      <c r="DG159" s="223"/>
      <c r="DH159" s="223"/>
      <c r="DI159" s="223"/>
      <c r="DJ159" s="223"/>
      <c r="DK159" s="223"/>
      <c r="DL159" s="223"/>
      <c r="DM159" s="223"/>
      <c r="DN159" s="223"/>
      <c r="DO159" s="223"/>
      <c r="DP159" s="223"/>
      <c r="DQ159" s="223"/>
      <c r="DR159" s="223"/>
      <c r="DS159" s="223"/>
      <c r="DT159" s="223"/>
      <c r="DU159" s="223"/>
      <c r="DV159" s="223"/>
      <c r="DW159" s="223"/>
      <c r="DX159" s="223"/>
      <c r="DY159" s="223"/>
      <c r="DZ159" s="48" t="s">
        <v>582</v>
      </c>
    </row>
    <row r="160" spans="2:130" x14ac:dyDescent="0.2">
      <c r="BA160" s="221">
        <v>155</v>
      </c>
      <c r="BB160" s="222"/>
      <c r="BC160" s="223"/>
      <c r="BD160" s="223"/>
      <c r="BE160" s="224"/>
      <c r="BF160" s="223"/>
      <c r="BG160" s="223"/>
      <c r="BH160" s="223"/>
      <c r="BI160" s="223"/>
      <c r="BJ160" s="223"/>
      <c r="BK160" s="223"/>
      <c r="BL160" s="223"/>
      <c r="BM160" s="223"/>
      <c r="BN160" s="223"/>
      <c r="BO160" s="223"/>
      <c r="BP160" s="223"/>
      <c r="BQ160" s="223"/>
      <c r="BR160" s="223"/>
      <c r="BS160" s="223"/>
      <c r="BT160" s="223"/>
      <c r="BU160" s="223"/>
      <c r="BV160" s="223"/>
      <c r="BW160" s="223"/>
      <c r="BX160" s="223"/>
      <c r="BY160" s="223"/>
      <c r="BZ160" s="223"/>
      <c r="CA160" s="223"/>
      <c r="CB160" s="223"/>
      <c r="CC160" s="223"/>
      <c r="CD160" s="223"/>
      <c r="CE160" s="223"/>
      <c r="CF160" s="223"/>
      <c r="CG160" s="223"/>
      <c r="CH160" s="223"/>
      <c r="CI160" s="223"/>
      <c r="CJ160" s="223"/>
      <c r="CK160" s="223"/>
      <c r="CL160" s="223"/>
      <c r="CM160" s="223"/>
      <c r="CN160" s="223"/>
      <c r="CO160" s="223"/>
      <c r="CP160" s="223"/>
      <c r="CQ160" s="223"/>
      <c r="CR160" s="223"/>
      <c r="CS160" s="223"/>
      <c r="CT160" s="223"/>
      <c r="CU160" s="223"/>
      <c r="CV160" s="223"/>
      <c r="CW160" s="223"/>
      <c r="CX160" s="223"/>
      <c r="CY160" s="223"/>
      <c r="CZ160" s="223"/>
      <c r="DA160" s="223"/>
      <c r="DB160" s="223"/>
      <c r="DC160" s="223"/>
      <c r="DD160" s="223"/>
      <c r="DE160" s="223"/>
      <c r="DF160" s="223"/>
      <c r="DG160" s="223"/>
      <c r="DH160" s="223"/>
      <c r="DI160" s="223"/>
      <c r="DJ160" s="223"/>
      <c r="DK160" s="223"/>
      <c r="DL160" s="223"/>
      <c r="DM160" s="223"/>
      <c r="DN160" s="223"/>
      <c r="DO160" s="223"/>
      <c r="DP160" s="223"/>
      <c r="DQ160" s="223"/>
      <c r="DR160" s="223"/>
      <c r="DS160" s="223"/>
      <c r="DT160" s="223"/>
      <c r="DU160" s="223"/>
      <c r="DV160" s="223"/>
      <c r="DW160" s="223"/>
      <c r="DX160" s="223"/>
      <c r="DY160" s="223"/>
      <c r="DZ160" s="48" t="s">
        <v>582</v>
      </c>
    </row>
    <row r="161" spans="53:130" x14ac:dyDescent="0.2">
      <c r="BA161" s="226">
        <v>156</v>
      </c>
      <c r="BB161" s="227"/>
      <c r="BC161" s="228"/>
      <c r="BD161" s="228"/>
      <c r="BE161" s="229"/>
      <c r="BF161" s="223"/>
      <c r="BG161" s="223"/>
      <c r="BH161" s="223"/>
      <c r="BI161" s="223"/>
      <c r="BJ161" s="223"/>
      <c r="BK161" s="223"/>
      <c r="BL161" s="223"/>
      <c r="BM161" s="223"/>
      <c r="BN161" s="223"/>
      <c r="BO161" s="223"/>
      <c r="BP161" s="223"/>
      <c r="BQ161" s="223"/>
      <c r="BR161" s="223"/>
      <c r="BS161" s="223"/>
      <c r="BT161" s="223"/>
      <c r="BU161" s="223"/>
      <c r="BV161" s="223"/>
      <c r="BW161" s="223"/>
      <c r="BX161" s="223"/>
      <c r="BY161" s="223"/>
      <c r="BZ161" s="223"/>
      <c r="CA161" s="223"/>
      <c r="CB161" s="223"/>
      <c r="CC161" s="223"/>
      <c r="CD161" s="223"/>
      <c r="CE161" s="223"/>
      <c r="CF161" s="223"/>
      <c r="CG161" s="223"/>
      <c r="CH161" s="223"/>
      <c r="CI161" s="223"/>
      <c r="CJ161" s="223"/>
      <c r="CK161" s="223"/>
      <c r="CL161" s="223"/>
      <c r="CM161" s="223"/>
      <c r="CN161" s="223"/>
      <c r="CO161" s="223"/>
      <c r="CP161" s="223"/>
      <c r="CQ161" s="223"/>
      <c r="CR161" s="223"/>
      <c r="CS161" s="223"/>
      <c r="CT161" s="223"/>
      <c r="CU161" s="223"/>
      <c r="CV161" s="223"/>
      <c r="CW161" s="223"/>
      <c r="CX161" s="223"/>
      <c r="CY161" s="223"/>
      <c r="CZ161" s="223"/>
      <c r="DA161" s="223"/>
      <c r="DB161" s="223"/>
      <c r="DC161" s="223"/>
      <c r="DD161" s="223"/>
      <c r="DE161" s="223"/>
      <c r="DF161" s="223"/>
      <c r="DG161" s="223"/>
      <c r="DH161" s="223"/>
      <c r="DI161" s="223"/>
      <c r="DJ161" s="223"/>
      <c r="DK161" s="223"/>
      <c r="DL161" s="223"/>
      <c r="DM161" s="223"/>
      <c r="DN161" s="223"/>
      <c r="DO161" s="223"/>
      <c r="DP161" s="223"/>
      <c r="DQ161" s="223"/>
      <c r="DR161" s="223"/>
      <c r="DS161" s="223"/>
      <c r="DT161" s="223"/>
      <c r="DU161" s="223"/>
      <c r="DV161" s="223"/>
      <c r="DW161" s="223"/>
      <c r="DX161" s="223"/>
      <c r="DY161" s="223"/>
      <c r="DZ161" s="51" t="s">
        <v>582</v>
      </c>
    </row>
    <row r="162" spans="53:130" x14ac:dyDescent="0.2">
      <c r="BA162" s="217">
        <v>157</v>
      </c>
      <c r="BB162" s="218" t="s">
        <v>660</v>
      </c>
      <c r="BC162" s="219"/>
      <c r="BD162" s="219"/>
      <c r="BE162" s="220"/>
      <c r="BF162" s="219"/>
      <c r="BG162" s="219"/>
      <c r="BH162" s="219"/>
      <c r="BI162" s="219"/>
      <c r="BJ162" s="219"/>
      <c r="BK162" s="219"/>
      <c r="BL162" s="219"/>
      <c r="BM162" s="219"/>
      <c r="BN162" s="219"/>
      <c r="BO162" s="219"/>
      <c r="BP162" s="219"/>
      <c r="BQ162" s="219"/>
      <c r="BR162" s="219"/>
      <c r="BS162" s="219"/>
      <c r="BT162" s="219"/>
      <c r="BU162" s="219"/>
      <c r="BV162" s="219"/>
      <c r="BW162" s="219"/>
      <c r="BX162" s="219"/>
      <c r="BY162" s="219"/>
      <c r="BZ162" s="219"/>
      <c r="CA162" s="219"/>
      <c r="CB162" s="219"/>
      <c r="CC162" s="219"/>
      <c r="CD162" s="219"/>
      <c r="CE162" s="219"/>
      <c r="CF162" s="219"/>
      <c r="CG162" s="219"/>
      <c r="CH162" s="219"/>
      <c r="CI162" s="219"/>
      <c r="CJ162" s="219"/>
      <c r="CK162" s="219"/>
      <c r="CL162" s="219"/>
      <c r="CM162" s="219"/>
      <c r="CN162" s="219"/>
      <c r="CO162" s="219"/>
      <c r="CP162" s="219"/>
      <c r="CQ162" s="219"/>
      <c r="CR162" s="219"/>
      <c r="CS162" s="219"/>
      <c r="CT162" s="219"/>
      <c r="CU162" s="219"/>
      <c r="CV162" s="219"/>
      <c r="CW162" s="219"/>
      <c r="CX162" s="219"/>
      <c r="CY162" s="219"/>
      <c r="CZ162" s="219"/>
      <c r="DA162" s="219"/>
      <c r="DB162" s="219"/>
      <c r="DC162" s="219"/>
      <c r="DD162" s="219"/>
      <c r="DE162" s="219"/>
      <c r="DF162" s="219"/>
      <c r="DG162" s="219"/>
      <c r="DH162" s="219"/>
      <c r="DI162" s="219"/>
      <c r="DJ162" s="219"/>
      <c r="DK162" s="219"/>
      <c r="DL162" s="219"/>
      <c r="DM162" s="219"/>
      <c r="DN162" s="219"/>
      <c r="DO162" s="219"/>
      <c r="DP162" s="219"/>
      <c r="DQ162" s="219"/>
      <c r="DR162" s="219"/>
      <c r="DS162" s="219"/>
      <c r="DT162" s="219"/>
      <c r="DU162" s="219"/>
      <c r="DV162" s="219"/>
      <c r="DW162" s="219"/>
      <c r="DX162" s="219"/>
      <c r="DY162" s="219"/>
      <c r="DZ162" s="45" t="s">
        <v>582</v>
      </c>
    </row>
    <row r="163" spans="53:130" x14ac:dyDescent="0.2">
      <c r="BA163" s="221">
        <v>158</v>
      </c>
      <c r="BB163" s="222" t="s">
        <v>876</v>
      </c>
      <c r="BC163" s="223"/>
      <c r="BD163" s="223"/>
      <c r="BE163" s="224"/>
      <c r="BF163" s="223"/>
      <c r="BG163" s="223"/>
      <c r="BH163" s="223"/>
      <c r="BI163" s="223"/>
      <c r="BJ163" s="223"/>
      <c r="BK163" s="223"/>
      <c r="BL163" s="223"/>
      <c r="BM163" s="223"/>
      <c r="BN163" s="223"/>
      <c r="BO163" s="223"/>
      <c r="BP163" s="223"/>
      <c r="BQ163" s="223"/>
      <c r="BR163" s="223"/>
      <c r="BS163" s="223"/>
      <c r="BT163" s="223"/>
      <c r="BU163" s="223"/>
      <c r="BV163" s="223"/>
      <c r="BW163" s="223"/>
      <c r="BX163" s="223"/>
      <c r="BY163" s="223"/>
      <c r="BZ163" s="223"/>
      <c r="CA163" s="223"/>
      <c r="CB163" s="223"/>
      <c r="CC163" s="223"/>
      <c r="CD163" s="223"/>
      <c r="CE163" s="223"/>
      <c r="CF163" s="223"/>
      <c r="CG163" s="223"/>
      <c r="CH163" s="223"/>
      <c r="CI163" s="223"/>
      <c r="CJ163" s="223"/>
      <c r="CK163" s="223"/>
      <c r="CL163" s="223"/>
      <c r="CM163" s="223"/>
      <c r="CN163" s="223"/>
      <c r="CO163" s="223"/>
      <c r="CP163" s="223"/>
      <c r="CQ163" s="223"/>
      <c r="CR163" s="223"/>
      <c r="CS163" s="223"/>
      <c r="CT163" s="223"/>
      <c r="CU163" s="223"/>
      <c r="CV163" s="223"/>
      <c r="CW163" s="223"/>
      <c r="CX163" s="223"/>
      <c r="CY163" s="223"/>
      <c r="CZ163" s="223"/>
      <c r="DA163" s="223"/>
      <c r="DB163" s="223"/>
      <c r="DC163" s="223"/>
      <c r="DD163" s="223"/>
      <c r="DE163" s="223"/>
      <c r="DF163" s="223"/>
      <c r="DG163" s="223"/>
      <c r="DH163" s="223"/>
      <c r="DI163" s="223"/>
      <c r="DJ163" s="223"/>
      <c r="DK163" s="223"/>
      <c r="DL163" s="223"/>
      <c r="DM163" s="223"/>
      <c r="DN163" s="223"/>
      <c r="DO163" s="223"/>
      <c r="DP163" s="223"/>
      <c r="DQ163" s="223"/>
      <c r="DR163" s="223"/>
      <c r="DS163" s="223"/>
      <c r="DT163" s="223"/>
      <c r="DU163" s="223"/>
      <c r="DV163" s="223"/>
      <c r="DW163" s="223"/>
      <c r="DX163" s="223"/>
      <c r="DY163" s="223"/>
      <c r="DZ163" s="48" t="s">
        <v>582</v>
      </c>
    </row>
    <row r="164" spans="53:130" x14ac:dyDescent="0.2">
      <c r="BA164" s="221">
        <v>159</v>
      </c>
      <c r="BB164" s="222"/>
      <c r="BC164" s="223"/>
      <c r="BD164" s="223"/>
      <c r="BE164" s="224"/>
      <c r="BF164" s="223"/>
      <c r="BG164" s="223"/>
      <c r="BH164" s="223"/>
      <c r="BI164" s="223"/>
      <c r="BJ164" s="223"/>
      <c r="BK164" s="223"/>
      <c r="BL164" s="223"/>
      <c r="BM164" s="223"/>
      <c r="BN164" s="223"/>
      <c r="BO164" s="223"/>
      <c r="BP164" s="223"/>
      <c r="BQ164" s="223"/>
      <c r="BR164" s="223"/>
      <c r="BS164" s="223"/>
      <c r="BT164" s="223"/>
      <c r="BU164" s="223"/>
      <c r="BV164" s="223"/>
      <c r="BW164" s="223"/>
      <c r="BX164" s="223"/>
      <c r="BY164" s="223"/>
      <c r="BZ164" s="223"/>
      <c r="CA164" s="223"/>
      <c r="CB164" s="223"/>
      <c r="CC164" s="223"/>
      <c r="CD164" s="223"/>
      <c r="CE164" s="223"/>
      <c r="CF164" s="223"/>
      <c r="CG164" s="223"/>
      <c r="CH164" s="223"/>
      <c r="CI164" s="223"/>
      <c r="CJ164" s="223"/>
      <c r="CK164" s="223"/>
      <c r="CL164" s="223"/>
      <c r="CM164" s="223"/>
      <c r="CN164" s="223"/>
      <c r="CO164" s="223"/>
      <c r="CP164" s="223"/>
      <c r="CQ164" s="223"/>
      <c r="CR164" s="223"/>
      <c r="CS164" s="223"/>
      <c r="CT164" s="223"/>
      <c r="CU164" s="223"/>
      <c r="CV164" s="223"/>
      <c r="CW164" s="223"/>
      <c r="CX164" s="223"/>
      <c r="CY164" s="223"/>
      <c r="CZ164" s="223"/>
      <c r="DA164" s="223"/>
      <c r="DB164" s="223"/>
      <c r="DC164" s="223"/>
      <c r="DD164" s="223"/>
      <c r="DE164" s="223"/>
      <c r="DF164" s="223"/>
      <c r="DG164" s="223"/>
      <c r="DH164" s="223"/>
      <c r="DI164" s="223"/>
      <c r="DJ164" s="223"/>
      <c r="DK164" s="223"/>
      <c r="DL164" s="223"/>
      <c r="DM164" s="223"/>
      <c r="DN164" s="223"/>
      <c r="DO164" s="223"/>
      <c r="DP164" s="223"/>
      <c r="DQ164" s="223"/>
      <c r="DR164" s="223"/>
      <c r="DS164" s="223"/>
      <c r="DT164" s="223"/>
      <c r="DU164" s="223"/>
      <c r="DV164" s="223"/>
      <c r="DW164" s="223"/>
      <c r="DX164" s="223"/>
      <c r="DY164" s="223"/>
      <c r="DZ164" s="48" t="s">
        <v>582</v>
      </c>
    </row>
    <row r="165" spans="53:130" x14ac:dyDescent="0.2">
      <c r="BA165" s="226">
        <v>160</v>
      </c>
      <c r="BB165" s="227"/>
      <c r="BC165" s="228"/>
      <c r="BD165" s="228"/>
      <c r="BE165" s="229"/>
      <c r="BF165" s="223"/>
      <c r="BG165" s="223"/>
      <c r="BH165" s="223"/>
      <c r="BI165" s="223"/>
      <c r="BJ165" s="223"/>
      <c r="BK165" s="223"/>
      <c r="BL165" s="223"/>
      <c r="BM165" s="223"/>
      <c r="BN165" s="223"/>
      <c r="BO165" s="223"/>
      <c r="BP165" s="223"/>
      <c r="BQ165" s="223"/>
      <c r="BR165" s="223"/>
      <c r="BS165" s="223"/>
      <c r="BT165" s="223"/>
      <c r="BU165" s="223"/>
      <c r="BV165" s="223"/>
      <c r="BW165" s="223"/>
      <c r="BX165" s="223"/>
      <c r="BY165" s="223"/>
      <c r="BZ165" s="223"/>
      <c r="CA165" s="223"/>
      <c r="CB165" s="223"/>
      <c r="CC165" s="223"/>
      <c r="CD165" s="223"/>
      <c r="CE165" s="223"/>
      <c r="CF165" s="223"/>
      <c r="CG165" s="223"/>
      <c r="CH165" s="223"/>
      <c r="CI165" s="223"/>
      <c r="CJ165" s="223"/>
      <c r="CK165" s="223"/>
      <c r="CL165" s="223"/>
      <c r="CM165" s="223"/>
      <c r="CN165" s="223"/>
      <c r="CO165" s="223"/>
      <c r="CP165" s="223"/>
      <c r="CQ165" s="223"/>
      <c r="CR165" s="223"/>
      <c r="CS165" s="223"/>
      <c r="CT165" s="223"/>
      <c r="CU165" s="223"/>
      <c r="CV165" s="223"/>
      <c r="CW165" s="223"/>
      <c r="CX165" s="223"/>
      <c r="CY165" s="223"/>
      <c r="CZ165" s="223"/>
      <c r="DA165" s="223"/>
      <c r="DB165" s="223"/>
      <c r="DC165" s="223"/>
      <c r="DD165" s="223"/>
      <c r="DE165" s="223"/>
      <c r="DF165" s="223"/>
      <c r="DG165" s="223"/>
      <c r="DH165" s="223"/>
      <c r="DI165" s="223"/>
      <c r="DJ165" s="223"/>
      <c r="DK165" s="223"/>
      <c r="DL165" s="223"/>
      <c r="DM165" s="223"/>
      <c r="DN165" s="223"/>
      <c r="DO165" s="223"/>
      <c r="DP165" s="223"/>
      <c r="DQ165" s="223"/>
      <c r="DR165" s="223"/>
      <c r="DS165" s="223"/>
      <c r="DT165" s="223"/>
      <c r="DU165" s="223"/>
      <c r="DV165" s="223"/>
      <c r="DW165" s="223"/>
      <c r="DX165" s="223"/>
      <c r="DY165" s="223"/>
      <c r="DZ165" s="51" t="s">
        <v>582</v>
      </c>
    </row>
    <row r="166" spans="53:130" x14ac:dyDescent="0.2">
      <c r="BA166" s="217">
        <v>161</v>
      </c>
      <c r="BB166" s="218" t="s">
        <v>730</v>
      </c>
      <c r="BC166" s="219"/>
      <c r="BD166" s="219"/>
      <c r="BE166" s="220"/>
      <c r="BF166" s="219"/>
      <c r="BG166" s="219"/>
      <c r="BH166" s="219"/>
      <c r="BI166" s="219"/>
      <c r="BJ166" s="219"/>
      <c r="BK166" s="219"/>
      <c r="BL166" s="219"/>
      <c r="BM166" s="219"/>
      <c r="BN166" s="219"/>
      <c r="BO166" s="219"/>
      <c r="BP166" s="219"/>
      <c r="BQ166" s="219"/>
      <c r="BR166" s="219"/>
      <c r="BS166" s="219"/>
      <c r="BT166" s="219"/>
      <c r="BU166" s="219"/>
      <c r="BV166" s="219"/>
      <c r="BW166" s="219"/>
      <c r="BX166" s="219"/>
      <c r="BY166" s="219"/>
      <c r="BZ166" s="219"/>
      <c r="CA166" s="219"/>
      <c r="CB166" s="219"/>
      <c r="CC166" s="219"/>
      <c r="CD166" s="219"/>
      <c r="CE166" s="219"/>
      <c r="CF166" s="219"/>
      <c r="CG166" s="219"/>
      <c r="CH166" s="219"/>
      <c r="CI166" s="219"/>
      <c r="CJ166" s="219"/>
      <c r="CK166" s="219"/>
      <c r="CL166" s="219"/>
      <c r="CM166" s="219"/>
      <c r="CN166" s="219"/>
      <c r="CO166" s="219"/>
      <c r="CP166" s="219"/>
      <c r="CQ166" s="219"/>
      <c r="CR166" s="219"/>
      <c r="CS166" s="219"/>
      <c r="CT166" s="219"/>
      <c r="CU166" s="219"/>
      <c r="CV166" s="219"/>
      <c r="CW166" s="219"/>
      <c r="CX166" s="219"/>
      <c r="CY166" s="219"/>
      <c r="CZ166" s="219"/>
      <c r="DA166" s="219"/>
      <c r="DB166" s="219"/>
      <c r="DC166" s="219"/>
      <c r="DD166" s="219"/>
      <c r="DE166" s="219"/>
      <c r="DF166" s="219"/>
      <c r="DG166" s="219"/>
      <c r="DH166" s="219"/>
      <c r="DI166" s="219"/>
      <c r="DJ166" s="219"/>
      <c r="DK166" s="219"/>
      <c r="DL166" s="219"/>
      <c r="DM166" s="219"/>
      <c r="DN166" s="219"/>
      <c r="DO166" s="219"/>
      <c r="DP166" s="219"/>
      <c r="DQ166" s="219"/>
      <c r="DR166" s="219"/>
      <c r="DS166" s="219"/>
      <c r="DT166" s="219"/>
      <c r="DU166" s="219"/>
      <c r="DV166" s="219"/>
      <c r="DW166" s="219"/>
      <c r="DX166" s="219"/>
      <c r="DY166" s="219"/>
      <c r="DZ166" s="45" t="s">
        <v>582</v>
      </c>
    </row>
    <row r="167" spans="53:130" x14ac:dyDescent="0.2">
      <c r="BA167" s="221">
        <v>162</v>
      </c>
      <c r="BB167" s="222" t="s">
        <v>877</v>
      </c>
      <c r="BC167" s="223"/>
      <c r="BD167" s="223"/>
      <c r="BE167" s="224"/>
      <c r="BF167" s="223"/>
      <c r="BG167" s="223"/>
      <c r="BH167" s="223"/>
      <c r="BI167" s="223"/>
      <c r="BJ167" s="223"/>
      <c r="BK167" s="223"/>
      <c r="BL167" s="223"/>
      <c r="BM167" s="223"/>
      <c r="BN167" s="223"/>
      <c r="BO167" s="223"/>
      <c r="BP167" s="223"/>
      <c r="BQ167" s="223"/>
      <c r="BR167" s="223"/>
      <c r="BS167" s="223"/>
      <c r="BT167" s="223"/>
      <c r="BU167" s="223"/>
      <c r="BV167" s="223"/>
      <c r="BW167" s="223"/>
      <c r="BX167" s="223"/>
      <c r="BY167" s="223"/>
      <c r="BZ167" s="223"/>
      <c r="CA167" s="223"/>
      <c r="CB167" s="223"/>
      <c r="CC167" s="223"/>
      <c r="CD167" s="223"/>
      <c r="CE167" s="223"/>
      <c r="CF167" s="223"/>
      <c r="CG167" s="223"/>
      <c r="CH167" s="223"/>
      <c r="CI167" s="223"/>
      <c r="CJ167" s="223"/>
      <c r="CK167" s="223"/>
      <c r="CL167" s="223"/>
      <c r="CM167" s="223"/>
      <c r="CN167" s="223"/>
      <c r="CO167" s="223"/>
      <c r="CP167" s="223"/>
      <c r="CQ167" s="223"/>
      <c r="CR167" s="223"/>
      <c r="CS167" s="223"/>
      <c r="CT167" s="223"/>
      <c r="CU167" s="223"/>
      <c r="CV167" s="223"/>
      <c r="CW167" s="223"/>
      <c r="CX167" s="223"/>
      <c r="CY167" s="223"/>
      <c r="CZ167" s="223"/>
      <c r="DA167" s="223"/>
      <c r="DB167" s="223"/>
      <c r="DC167" s="223"/>
      <c r="DD167" s="223"/>
      <c r="DE167" s="223"/>
      <c r="DF167" s="223"/>
      <c r="DG167" s="223"/>
      <c r="DH167" s="223"/>
      <c r="DI167" s="223"/>
      <c r="DJ167" s="223"/>
      <c r="DK167" s="223"/>
      <c r="DL167" s="223"/>
      <c r="DM167" s="223"/>
      <c r="DN167" s="223"/>
      <c r="DO167" s="223"/>
      <c r="DP167" s="223"/>
      <c r="DQ167" s="223"/>
      <c r="DR167" s="223"/>
      <c r="DS167" s="223"/>
      <c r="DT167" s="223"/>
      <c r="DU167" s="223"/>
      <c r="DV167" s="223"/>
      <c r="DW167" s="223"/>
      <c r="DX167" s="223"/>
      <c r="DY167" s="223"/>
      <c r="DZ167" s="48" t="s">
        <v>582</v>
      </c>
    </row>
    <row r="168" spans="53:130" x14ac:dyDescent="0.2">
      <c r="BA168" s="221">
        <v>163</v>
      </c>
      <c r="BB168" s="222"/>
      <c r="BC168" s="223"/>
      <c r="BD168" s="223"/>
      <c r="BE168" s="224"/>
      <c r="BF168" s="223"/>
      <c r="BG168" s="223"/>
      <c r="BH168" s="223"/>
      <c r="BI168" s="223"/>
      <c r="BJ168" s="223"/>
      <c r="BK168" s="223"/>
      <c r="BL168" s="223"/>
      <c r="BM168" s="223"/>
      <c r="BN168" s="223"/>
      <c r="BO168" s="223"/>
      <c r="BP168" s="223"/>
      <c r="BQ168" s="223"/>
      <c r="BR168" s="223"/>
      <c r="BS168" s="223"/>
      <c r="BT168" s="223"/>
      <c r="BU168" s="223"/>
      <c r="BV168" s="223"/>
      <c r="BW168" s="223"/>
      <c r="BX168" s="223"/>
      <c r="BY168" s="223"/>
      <c r="BZ168" s="223"/>
      <c r="CA168" s="223"/>
      <c r="CB168" s="223"/>
      <c r="CC168" s="223"/>
      <c r="CD168" s="223"/>
      <c r="CE168" s="223"/>
      <c r="CF168" s="223"/>
      <c r="CG168" s="223"/>
      <c r="CH168" s="223"/>
      <c r="CI168" s="223"/>
      <c r="CJ168" s="223"/>
      <c r="CK168" s="223"/>
      <c r="CL168" s="223"/>
      <c r="CM168" s="223"/>
      <c r="CN168" s="223"/>
      <c r="CO168" s="223"/>
      <c r="CP168" s="223"/>
      <c r="CQ168" s="223"/>
      <c r="CR168" s="223"/>
      <c r="CS168" s="223"/>
      <c r="CT168" s="223"/>
      <c r="CU168" s="223"/>
      <c r="CV168" s="223"/>
      <c r="CW168" s="223"/>
      <c r="CX168" s="223"/>
      <c r="CY168" s="223"/>
      <c r="CZ168" s="223"/>
      <c r="DA168" s="223"/>
      <c r="DB168" s="223"/>
      <c r="DC168" s="223"/>
      <c r="DD168" s="223"/>
      <c r="DE168" s="223"/>
      <c r="DF168" s="223"/>
      <c r="DG168" s="223"/>
      <c r="DH168" s="223"/>
      <c r="DI168" s="223"/>
      <c r="DJ168" s="223"/>
      <c r="DK168" s="223"/>
      <c r="DL168" s="223"/>
      <c r="DM168" s="223"/>
      <c r="DN168" s="223"/>
      <c r="DO168" s="223"/>
      <c r="DP168" s="223"/>
      <c r="DQ168" s="223"/>
      <c r="DR168" s="223"/>
      <c r="DS168" s="223"/>
      <c r="DT168" s="223"/>
      <c r="DU168" s="223"/>
      <c r="DV168" s="223"/>
      <c r="DW168" s="223"/>
      <c r="DX168" s="223"/>
      <c r="DY168" s="223"/>
      <c r="DZ168" s="48" t="s">
        <v>582</v>
      </c>
    </row>
    <row r="169" spans="53:130" x14ac:dyDescent="0.2">
      <c r="BA169" s="226">
        <v>164</v>
      </c>
      <c r="BB169" s="227"/>
      <c r="BC169" s="228"/>
      <c r="BD169" s="228"/>
      <c r="BE169" s="229"/>
      <c r="BF169" s="223"/>
      <c r="BG169" s="223"/>
      <c r="BH169" s="223"/>
      <c r="BI169" s="223"/>
      <c r="BJ169" s="223"/>
      <c r="BK169" s="223"/>
      <c r="BL169" s="223"/>
      <c r="BM169" s="223"/>
      <c r="BN169" s="223"/>
      <c r="BO169" s="223"/>
      <c r="BP169" s="223"/>
      <c r="BQ169" s="223"/>
      <c r="BR169" s="223"/>
      <c r="BS169" s="223"/>
      <c r="BT169" s="223"/>
      <c r="BU169" s="223"/>
      <c r="BV169" s="223"/>
      <c r="BW169" s="223"/>
      <c r="BX169" s="223"/>
      <c r="BY169" s="223"/>
      <c r="BZ169" s="223"/>
      <c r="CA169" s="223"/>
      <c r="CB169" s="223"/>
      <c r="CC169" s="223"/>
      <c r="CD169" s="223"/>
      <c r="CE169" s="223"/>
      <c r="CF169" s="223"/>
      <c r="CG169" s="223"/>
      <c r="CH169" s="223"/>
      <c r="CI169" s="223"/>
      <c r="CJ169" s="223"/>
      <c r="CK169" s="223"/>
      <c r="CL169" s="223"/>
      <c r="CM169" s="223"/>
      <c r="CN169" s="223"/>
      <c r="CO169" s="223"/>
      <c r="CP169" s="223"/>
      <c r="CQ169" s="223"/>
      <c r="CR169" s="223"/>
      <c r="CS169" s="223"/>
      <c r="CT169" s="223"/>
      <c r="CU169" s="223"/>
      <c r="CV169" s="223"/>
      <c r="CW169" s="223"/>
      <c r="CX169" s="223"/>
      <c r="CY169" s="223"/>
      <c r="CZ169" s="223"/>
      <c r="DA169" s="223"/>
      <c r="DB169" s="223"/>
      <c r="DC169" s="223"/>
      <c r="DD169" s="223"/>
      <c r="DE169" s="223"/>
      <c r="DF169" s="223"/>
      <c r="DG169" s="223"/>
      <c r="DH169" s="223"/>
      <c r="DI169" s="223"/>
      <c r="DJ169" s="223"/>
      <c r="DK169" s="223"/>
      <c r="DL169" s="223"/>
      <c r="DM169" s="223"/>
      <c r="DN169" s="223"/>
      <c r="DO169" s="223"/>
      <c r="DP169" s="223"/>
      <c r="DQ169" s="223"/>
      <c r="DR169" s="223"/>
      <c r="DS169" s="223"/>
      <c r="DT169" s="223"/>
      <c r="DU169" s="223"/>
      <c r="DV169" s="223"/>
      <c r="DW169" s="223"/>
      <c r="DX169" s="223"/>
      <c r="DY169" s="223"/>
      <c r="DZ169" s="51" t="s">
        <v>582</v>
      </c>
    </row>
    <row r="170" spans="53:130" x14ac:dyDescent="0.2">
      <c r="BA170" s="217">
        <v>165</v>
      </c>
      <c r="BB170" s="218" t="s">
        <v>731</v>
      </c>
      <c r="BC170" s="219"/>
      <c r="BD170" s="219"/>
      <c r="BE170" s="220"/>
      <c r="BF170" s="219"/>
      <c r="BG170" s="219"/>
      <c r="BH170" s="219"/>
      <c r="BI170" s="219"/>
      <c r="BJ170" s="219"/>
      <c r="BK170" s="219"/>
      <c r="BL170" s="219"/>
      <c r="BM170" s="219"/>
      <c r="BN170" s="219"/>
      <c r="BO170" s="219"/>
      <c r="BP170" s="219"/>
      <c r="BQ170" s="219"/>
      <c r="BR170" s="219"/>
      <c r="BS170" s="219"/>
      <c r="BT170" s="219"/>
      <c r="BU170" s="219"/>
      <c r="BV170" s="219"/>
      <c r="BW170" s="219"/>
      <c r="BX170" s="219"/>
      <c r="BY170" s="219"/>
      <c r="BZ170" s="219"/>
      <c r="CA170" s="219"/>
      <c r="CB170" s="219"/>
      <c r="CC170" s="219"/>
      <c r="CD170" s="219"/>
      <c r="CE170" s="219"/>
      <c r="CF170" s="219"/>
      <c r="CG170" s="219"/>
      <c r="CH170" s="219"/>
      <c r="CI170" s="219"/>
      <c r="CJ170" s="219"/>
      <c r="CK170" s="219"/>
      <c r="CL170" s="219"/>
      <c r="CM170" s="219"/>
      <c r="CN170" s="219"/>
      <c r="CO170" s="219"/>
      <c r="CP170" s="219"/>
      <c r="CQ170" s="219"/>
      <c r="CR170" s="219"/>
      <c r="CS170" s="219"/>
      <c r="CT170" s="219"/>
      <c r="CU170" s="219"/>
      <c r="CV170" s="219"/>
      <c r="CW170" s="219"/>
      <c r="CX170" s="219"/>
      <c r="CY170" s="219"/>
      <c r="CZ170" s="219"/>
      <c r="DA170" s="219"/>
      <c r="DB170" s="219"/>
      <c r="DC170" s="219"/>
      <c r="DD170" s="219"/>
      <c r="DE170" s="219"/>
      <c r="DF170" s="219"/>
      <c r="DG170" s="219"/>
      <c r="DH170" s="219"/>
      <c r="DI170" s="219"/>
      <c r="DJ170" s="219"/>
      <c r="DK170" s="219"/>
      <c r="DL170" s="219"/>
      <c r="DM170" s="219"/>
      <c r="DN170" s="219"/>
      <c r="DO170" s="219"/>
      <c r="DP170" s="219"/>
      <c r="DQ170" s="219"/>
      <c r="DR170" s="219"/>
      <c r="DS170" s="219"/>
      <c r="DT170" s="219"/>
      <c r="DU170" s="219"/>
      <c r="DV170" s="219"/>
      <c r="DW170" s="219"/>
      <c r="DX170" s="219"/>
      <c r="DY170" s="219"/>
      <c r="DZ170" s="45" t="s">
        <v>582</v>
      </c>
    </row>
    <row r="171" spans="53:130" x14ac:dyDescent="0.2">
      <c r="BA171" s="221">
        <v>166</v>
      </c>
      <c r="BB171" s="222" t="s">
        <v>878</v>
      </c>
      <c r="BC171" s="223"/>
      <c r="BD171" s="223"/>
      <c r="BE171" s="224"/>
      <c r="BF171" s="223"/>
      <c r="BG171" s="223"/>
      <c r="BH171" s="223"/>
      <c r="BI171" s="223"/>
      <c r="BJ171" s="223"/>
      <c r="BK171" s="223"/>
      <c r="BL171" s="223"/>
      <c r="BM171" s="223"/>
      <c r="BN171" s="223"/>
      <c r="BO171" s="223"/>
      <c r="BP171" s="223"/>
      <c r="BQ171" s="223"/>
      <c r="BR171" s="223"/>
      <c r="BS171" s="223"/>
      <c r="BT171" s="223"/>
      <c r="BU171" s="223"/>
      <c r="BV171" s="223"/>
      <c r="BW171" s="223"/>
      <c r="BX171" s="223"/>
      <c r="BY171" s="223"/>
      <c r="BZ171" s="223"/>
      <c r="CA171" s="223"/>
      <c r="CB171" s="223"/>
      <c r="CC171" s="223"/>
      <c r="CD171" s="223"/>
      <c r="CE171" s="223"/>
      <c r="CF171" s="223"/>
      <c r="CG171" s="223"/>
      <c r="CH171" s="223"/>
      <c r="CI171" s="223"/>
      <c r="CJ171" s="223"/>
      <c r="CK171" s="223"/>
      <c r="CL171" s="223"/>
      <c r="CM171" s="223"/>
      <c r="CN171" s="223"/>
      <c r="CO171" s="223"/>
      <c r="CP171" s="223"/>
      <c r="CQ171" s="223"/>
      <c r="CR171" s="223"/>
      <c r="CS171" s="223"/>
      <c r="CT171" s="223"/>
      <c r="CU171" s="223"/>
      <c r="CV171" s="223"/>
      <c r="CW171" s="223"/>
      <c r="CX171" s="223"/>
      <c r="CY171" s="223"/>
      <c r="CZ171" s="223"/>
      <c r="DA171" s="223"/>
      <c r="DB171" s="223"/>
      <c r="DC171" s="223"/>
      <c r="DD171" s="223"/>
      <c r="DE171" s="223"/>
      <c r="DF171" s="223"/>
      <c r="DG171" s="223"/>
      <c r="DH171" s="223"/>
      <c r="DI171" s="223"/>
      <c r="DJ171" s="223"/>
      <c r="DK171" s="223"/>
      <c r="DL171" s="223"/>
      <c r="DM171" s="223"/>
      <c r="DN171" s="223"/>
      <c r="DO171" s="223"/>
      <c r="DP171" s="223"/>
      <c r="DQ171" s="223"/>
      <c r="DR171" s="223"/>
      <c r="DS171" s="223"/>
      <c r="DT171" s="223"/>
      <c r="DU171" s="223"/>
      <c r="DV171" s="223"/>
      <c r="DW171" s="223"/>
      <c r="DX171" s="223"/>
      <c r="DY171" s="223"/>
      <c r="DZ171" s="48" t="s">
        <v>582</v>
      </c>
    </row>
    <row r="172" spans="53:130" x14ac:dyDescent="0.2">
      <c r="BA172" s="221">
        <v>167</v>
      </c>
      <c r="BB172" s="222"/>
      <c r="BC172" s="223"/>
      <c r="BD172" s="223"/>
      <c r="BE172" s="224"/>
      <c r="BF172" s="223"/>
      <c r="BG172" s="223"/>
      <c r="BH172" s="223"/>
      <c r="BI172" s="223"/>
      <c r="BJ172" s="223"/>
      <c r="BK172" s="223"/>
      <c r="BL172" s="223"/>
      <c r="BM172" s="223"/>
      <c r="BN172" s="223"/>
      <c r="BO172" s="223"/>
      <c r="BP172" s="223"/>
      <c r="BQ172" s="223"/>
      <c r="BR172" s="223"/>
      <c r="BS172" s="223"/>
      <c r="BT172" s="223"/>
      <c r="BU172" s="223"/>
      <c r="BV172" s="223"/>
      <c r="BW172" s="223"/>
      <c r="BX172" s="223"/>
      <c r="BY172" s="223"/>
      <c r="BZ172" s="223"/>
      <c r="CA172" s="223"/>
      <c r="CB172" s="223"/>
      <c r="CC172" s="223"/>
      <c r="CD172" s="223"/>
      <c r="CE172" s="223"/>
      <c r="CF172" s="223"/>
      <c r="CG172" s="223"/>
      <c r="CH172" s="223"/>
      <c r="CI172" s="223"/>
      <c r="CJ172" s="223"/>
      <c r="CK172" s="223"/>
      <c r="CL172" s="223"/>
      <c r="CM172" s="223"/>
      <c r="CN172" s="223"/>
      <c r="CO172" s="223"/>
      <c r="CP172" s="223"/>
      <c r="CQ172" s="223"/>
      <c r="CR172" s="223"/>
      <c r="CS172" s="223"/>
      <c r="CT172" s="223"/>
      <c r="CU172" s="223"/>
      <c r="CV172" s="223"/>
      <c r="CW172" s="223"/>
      <c r="CX172" s="223"/>
      <c r="CY172" s="223"/>
      <c r="CZ172" s="223"/>
      <c r="DA172" s="223"/>
      <c r="DB172" s="223"/>
      <c r="DC172" s="223"/>
      <c r="DD172" s="223"/>
      <c r="DE172" s="223"/>
      <c r="DF172" s="223"/>
      <c r="DG172" s="223"/>
      <c r="DH172" s="223"/>
      <c r="DI172" s="223"/>
      <c r="DJ172" s="223"/>
      <c r="DK172" s="223"/>
      <c r="DL172" s="223"/>
      <c r="DM172" s="223"/>
      <c r="DN172" s="223"/>
      <c r="DO172" s="223"/>
      <c r="DP172" s="223"/>
      <c r="DQ172" s="223"/>
      <c r="DR172" s="223"/>
      <c r="DS172" s="223"/>
      <c r="DT172" s="223"/>
      <c r="DU172" s="223"/>
      <c r="DV172" s="223"/>
      <c r="DW172" s="223"/>
      <c r="DX172" s="223"/>
      <c r="DY172" s="223"/>
      <c r="DZ172" s="48" t="s">
        <v>582</v>
      </c>
    </row>
    <row r="173" spans="53:130" x14ac:dyDescent="0.2">
      <c r="BA173" s="226">
        <v>168</v>
      </c>
      <c r="BB173" s="227"/>
      <c r="BC173" s="228"/>
      <c r="BD173" s="228"/>
      <c r="BE173" s="229"/>
      <c r="BF173" s="223"/>
      <c r="BG173" s="223"/>
      <c r="BH173" s="223"/>
      <c r="BI173" s="223"/>
      <c r="BJ173" s="223"/>
      <c r="BK173" s="223"/>
      <c r="BL173" s="223"/>
      <c r="BM173" s="223"/>
      <c r="BN173" s="223"/>
      <c r="BO173" s="223"/>
      <c r="BP173" s="223"/>
      <c r="BQ173" s="223"/>
      <c r="BR173" s="223"/>
      <c r="BS173" s="223"/>
      <c r="BT173" s="223"/>
      <c r="BU173" s="223"/>
      <c r="BV173" s="223"/>
      <c r="BW173" s="223"/>
      <c r="BX173" s="223"/>
      <c r="BY173" s="223"/>
      <c r="BZ173" s="223"/>
      <c r="CA173" s="223"/>
      <c r="CB173" s="223"/>
      <c r="CC173" s="223"/>
      <c r="CD173" s="223"/>
      <c r="CE173" s="223"/>
      <c r="CF173" s="223"/>
      <c r="CG173" s="223"/>
      <c r="CH173" s="223"/>
      <c r="CI173" s="223"/>
      <c r="CJ173" s="223"/>
      <c r="CK173" s="223"/>
      <c r="CL173" s="223"/>
      <c r="CM173" s="223"/>
      <c r="CN173" s="223"/>
      <c r="CO173" s="223"/>
      <c r="CP173" s="223"/>
      <c r="CQ173" s="223"/>
      <c r="CR173" s="223"/>
      <c r="CS173" s="223"/>
      <c r="CT173" s="223"/>
      <c r="CU173" s="223"/>
      <c r="CV173" s="223"/>
      <c r="CW173" s="223"/>
      <c r="CX173" s="223"/>
      <c r="CY173" s="223"/>
      <c r="CZ173" s="223"/>
      <c r="DA173" s="223"/>
      <c r="DB173" s="223"/>
      <c r="DC173" s="223"/>
      <c r="DD173" s="223"/>
      <c r="DE173" s="223"/>
      <c r="DF173" s="223"/>
      <c r="DG173" s="223"/>
      <c r="DH173" s="223"/>
      <c r="DI173" s="223"/>
      <c r="DJ173" s="223"/>
      <c r="DK173" s="223"/>
      <c r="DL173" s="223"/>
      <c r="DM173" s="223"/>
      <c r="DN173" s="223"/>
      <c r="DO173" s="223"/>
      <c r="DP173" s="223"/>
      <c r="DQ173" s="223"/>
      <c r="DR173" s="223"/>
      <c r="DS173" s="223"/>
      <c r="DT173" s="223"/>
      <c r="DU173" s="223"/>
      <c r="DV173" s="223"/>
      <c r="DW173" s="223"/>
      <c r="DX173" s="223"/>
      <c r="DY173" s="223"/>
      <c r="DZ173" s="51" t="s">
        <v>582</v>
      </c>
    </row>
    <row r="174" spans="53:130" x14ac:dyDescent="0.2">
      <c r="BA174" s="217">
        <v>169</v>
      </c>
      <c r="BB174" s="218" t="s">
        <v>732</v>
      </c>
      <c r="BC174" s="219"/>
      <c r="BD174" s="219"/>
      <c r="BE174" s="220"/>
      <c r="BF174" s="219"/>
      <c r="BG174" s="219"/>
      <c r="BH174" s="219"/>
      <c r="BI174" s="219"/>
      <c r="BJ174" s="219"/>
      <c r="BK174" s="219"/>
      <c r="BL174" s="219"/>
      <c r="BM174" s="219"/>
      <c r="BN174" s="219"/>
      <c r="BO174" s="219"/>
      <c r="BP174" s="219"/>
      <c r="BQ174" s="219"/>
      <c r="BR174" s="219"/>
      <c r="BS174" s="219"/>
      <c r="BT174" s="219"/>
      <c r="BU174" s="219"/>
      <c r="BV174" s="219"/>
      <c r="BW174" s="219"/>
      <c r="BX174" s="219"/>
      <c r="BY174" s="219"/>
      <c r="BZ174" s="219"/>
      <c r="CA174" s="219"/>
      <c r="CB174" s="219"/>
      <c r="CC174" s="219"/>
      <c r="CD174" s="219"/>
      <c r="CE174" s="219"/>
      <c r="CF174" s="219"/>
      <c r="CG174" s="219"/>
      <c r="CH174" s="219"/>
      <c r="CI174" s="219"/>
      <c r="CJ174" s="219"/>
      <c r="CK174" s="219"/>
      <c r="CL174" s="219"/>
      <c r="CM174" s="219"/>
      <c r="CN174" s="219"/>
      <c r="CO174" s="219"/>
      <c r="CP174" s="219"/>
      <c r="CQ174" s="219"/>
      <c r="CR174" s="219"/>
      <c r="CS174" s="219"/>
      <c r="CT174" s="219"/>
      <c r="CU174" s="219"/>
      <c r="CV174" s="219"/>
      <c r="CW174" s="219"/>
      <c r="CX174" s="219"/>
      <c r="CY174" s="219"/>
      <c r="CZ174" s="219"/>
      <c r="DA174" s="219"/>
      <c r="DB174" s="219"/>
      <c r="DC174" s="219"/>
      <c r="DD174" s="219"/>
      <c r="DE174" s="219"/>
      <c r="DF174" s="219"/>
      <c r="DG174" s="219"/>
      <c r="DH174" s="219"/>
      <c r="DI174" s="219"/>
      <c r="DJ174" s="219"/>
      <c r="DK174" s="219"/>
      <c r="DL174" s="219"/>
      <c r="DM174" s="219"/>
      <c r="DN174" s="219"/>
      <c r="DO174" s="219"/>
      <c r="DP174" s="219"/>
      <c r="DQ174" s="219"/>
      <c r="DR174" s="219"/>
      <c r="DS174" s="219"/>
      <c r="DT174" s="219"/>
      <c r="DU174" s="219"/>
      <c r="DV174" s="219"/>
      <c r="DW174" s="219"/>
      <c r="DX174" s="219"/>
      <c r="DY174" s="219"/>
      <c r="DZ174" s="45" t="s">
        <v>582</v>
      </c>
    </row>
    <row r="175" spans="53:130" x14ac:dyDescent="0.2">
      <c r="BA175" s="221">
        <v>170</v>
      </c>
      <c r="BB175" s="222" t="s">
        <v>879</v>
      </c>
      <c r="BC175" s="223"/>
      <c r="BD175" s="223"/>
      <c r="BE175" s="224"/>
      <c r="BF175" s="223"/>
      <c r="BG175" s="223"/>
      <c r="BH175" s="223"/>
      <c r="BI175" s="223"/>
      <c r="BJ175" s="223"/>
      <c r="BK175" s="223"/>
      <c r="BL175" s="223"/>
      <c r="BM175" s="223"/>
      <c r="BN175" s="223"/>
      <c r="BO175" s="223"/>
      <c r="BP175" s="223"/>
      <c r="BQ175" s="223"/>
      <c r="BR175" s="223"/>
      <c r="BS175" s="223"/>
      <c r="BT175" s="223"/>
      <c r="BU175" s="223"/>
      <c r="BV175" s="223"/>
      <c r="BW175" s="223"/>
      <c r="BX175" s="223"/>
      <c r="BY175" s="223"/>
      <c r="BZ175" s="223"/>
      <c r="CA175" s="223"/>
      <c r="CB175" s="223"/>
      <c r="CC175" s="223"/>
      <c r="CD175" s="223"/>
      <c r="CE175" s="223"/>
      <c r="CF175" s="223"/>
      <c r="CG175" s="223"/>
      <c r="CH175" s="223"/>
      <c r="CI175" s="223"/>
      <c r="CJ175" s="223"/>
      <c r="CK175" s="223"/>
      <c r="CL175" s="223"/>
      <c r="CM175" s="223"/>
      <c r="CN175" s="223"/>
      <c r="CO175" s="223"/>
      <c r="CP175" s="223"/>
      <c r="CQ175" s="223"/>
      <c r="CR175" s="223"/>
      <c r="CS175" s="223"/>
      <c r="CT175" s="223"/>
      <c r="CU175" s="223"/>
      <c r="CV175" s="223"/>
      <c r="CW175" s="223"/>
      <c r="CX175" s="223"/>
      <c r="CY175" s="223"/>
      <c r="CZ175" s="223"/>
      <c r="DA175" s="223"/>
      <c r="DB175" s="223"/>
      <c r="DC175" s="223"/>
      <c r="DD175" s="223"/>
      <c r="DE175" s="223"/>
      <c r="DF175" s="223"/>
      <c r="DG175" s="223"/>
      <c r="DH175" s="223"/>
      <c r="DI175" s="223"/>
      <c r="DJ175" s="223"/>
      <c r="DK175" s="223"/>
      <c r="DL175" s="223"/>
      <c r="DM175" s="223"/>
      <c r="DN175" s="223"/>
      <c r="DO175" s="223"/>
      <c r="DP175" s="223"/>
      <c r="DQ175" s="223"/>
      <c r="DR175" s="223"/>
      <c r="DS175" s="223"/>
      <c r="DT175" s="223"/>
      <c r="DU175" s="223"/>
      <c r="DV175" s="223"/>
      <c r="DW175" s="223"/>
      <c r="DX175" s="223"/>
      <c r="DY175" s="223"/>
      <c r="DZ175" s="48" t="s">
        <v>582</v>
      </c>
    </row>
    <row r="176" spans="53:130" x14ac:dyDescent="0.2">
      <c r="BA176" s="221">
        <v>171</v>
      </c>
      <c r="BB176" s="222"/>
      <c r="BC176" s="223"/>
      <c r="BD176" s="223"/>
      <c r="BE176" s="224"/>
      <c r="BF176" s="223"/>
      <c r="BG176" s="223"/>
      <c r="BH176" s="223"/>
      <c r="BI176" s="223"/>
      <c r="BJ176" s="223"/>
      <c r="BK176" s="223"/>
      <c r="BL176" s="223"/>
      <c r="BM176" s="223"/>
      <c r="BN176" s="223"/>
      <c r="BO176" s="223"/>
      <c r="BP176" s="223"/>
      <c r="BQ176" s="223"/>
      <c r="BR176" s="223"/>
      <c r="BS176" s="223"/>
      <c r="BT176" s="223"/>
      <c r="BU176" s="223"/>
      <c r="BV176" s="223"/>
      <c r="BW176" s="223"/>
      <c r="BX176" s="223"/>
      <c r="BY176" s="223"/>
      <c r="BZ176" s="223"/>
      <c r="CA176" s="223"/>
      <c r="CB176" s="223"/>
      <c r="CC176" s="223"/>
      <c r="CD176" s="223"/>
      <c r="CE176" s="223"/>
      <c r="CF176" s="223"/>
      <c r="CG176" s="223"/>
      <c r="CH176" s="223"/>
      <c r="CI176" s="223"/>
      <c r="CJ176" s="223"/>
      <c r="CK176" s="223"/>
      <c r="CL176" s="223"/>
      <c r="CM176" s="223"/>
      <c r="CN176" s="223"/>
      <c r="CO176" s="223"/>
      <c r="CP176" s="223"/>
      <c r="CQ176" s="223"/>
      <c r="CR176" s="223"/>
      <c r="CS176" s="223"/>
      <c r="CT176" s="223"/>
      <c r="CU176" s="223"/>
      <c r="CV176" s="223"/>
      <c r="CW176" s="223"/>
      <c r="CX176" s="223"/>
      <c r="CY176" s="223"/>
      <c r="CZ176" s="223"/>
      <c r="DA176" s="223"/>
      <c r="DB176" s="223"/>
      <c r="DC176" s="223"/>
      <c r="DD176" s="223"/>
      <c r="DE176" s="223"/>
      <c r="DF176" s="223"/>
      <c r="DG176" s="223"/>
      <c r="DH176" s="223"/>
      <c r="DI176" s="223"/>
      <c r="DJ176" s="223"/>
      <c r="DK176" s="223"/>
      <c r="DL176" s="223"/>
      <c r="DM176" s="223"/>
      <c r="DN176" s="223"/>
      <c r="DO176" s="223"/>
      <c r="DP176" s="223"/>
      <c r="DQ176" s="223"/>
      <c r="DR176" s="223"/>
      <c r="DS176" s="223"/>
      <c r="DT176" s="223"/>
      <c r="DU176" s="223"/>
      <c r="DV176" s="223"/>
      <c r="DW176" s="223"/>
      <c r="DX176" s="223"/>
      <c r="DY176" s="223"/>
      <c r="DZ176" s="48" t="s">
        <v>582</v>
      </c>
    </row>
    <row r="177" spans="53:130" x14ac:dyDescent="0.2">
      <c r="BA177" s="226">
        <v>172</v>
      </c>
      <c r="BB177" s="227"/>
      <c r="BC177" s="228"/>
      <c r="BD177" s="228"/>
      <c r="BE177" s="229"/>
      <c r="BF177" s="223"/>
      <c r="BG177" s="223"/>
      <c r="BH177" s="223"/>
      <c r="BI177" s="223"/>
      <c r="BJ177" s="223"/>
      <c r="BK177" s="223"/>
      <c r="BL177" s="223"/>
      <c r="BM177" s="223"/>
      <c r="BN177" s="223"/>
      <c r="BO177" s="223"/>
      <c r="BP177" s="223"/>
      <c r="BQ177" s="223"/>
      <c r="BR177" s="223"/>
      <c r="BS177" s="223"/>
      <c r="BT177" s="223"/>
      <c r="BU177" s="223"/>
      <c r="BV177" s="223"/>
      <c r="BW177" s="223"/>
      <c r="BX177" s="223"/>
      <c r="BY177" s="223"/>
      <c r="BZ177" s="223"/>
      <c r="CA177" s="223"/>
      <c r="CB177" s="223"/>
      <c r="CC177" s="223"/>
      <c r="CD177" s="223"/>
      <c r="CE177" s="223"/>
      <c r="CF177" s="223"/>
      <c r="CG177" s="223"/>
      <c r="CH177" s="223"/>
      <c r="CI177" s="223"/>
      <c r="CJ177" s="223"/>
      <c r="CK177" s="223"/>
      <c r="CL177" s="223"/>
      <c r="CM177" s="223"/>
      <c r="CN177" s="223"/>
      <c r="CO177" s="223"/>
      <c r="CP177" s="223"/>
      <c r="CQ177" s="223"/>
      <c r="CR177" s="223"/>
      <c r="CS177" s="223"/>
      <c r="CT177" s="223"/>
      <c r="CU177" s="223"/>
      <c r="CV177" s="223"/>
      <c r="CW177" s="223"/>
      <c r="CX177" s="223"/>
      <c r="CY177" s="223"/>
      <c r="CZ177" s="223"/>
      <c r="DA177" s="223"/>
      <c r="DB177" s="223"/>
      <c r="DC177" s="223"/>
      <c r="DD177" s="223"/>
      <c r="DE177" s="223"/>
      <c r="DF177" s="223"/>
      <c r="DG177" s="223"/>
      <c r="DH177" s="223"/>
      <c r="DI177" s="223"/>
      <c r="DJ177" s="223"/>
      <c r="DK177" s="223"/>
      <c r="DL177" s="223"/>
      <c r="DM177" s="223"/>
      <c r="DN177" s="223"/>
      <c r="DO177" s="223"/>
      <c r="DP177" s="223"/>
      <c r="DQ177" s="223"/>
      <c r="DR177" s="223"/>
      <c r="DS177" s="223"/>
      <c r="DT177" s="223"/>
      <c r="DU177" s="223"/>
      <c r="DV177" s="223"/>
      <c r="DW177" s="223"/>
      <c r="DX177" s="223"/>
      <c r="DY177" s="223"/>
      <c r="DZ177" s="51" t="s">
        <v>582</v>
      </c>
    </row>
    <row r="178" spans="53:130" x14ac:dyDescent="0.2">
      <c r="BA178" s="217">
        <v>173</v>
      </c>
      <c r="BB178" s="218" t="s">
        <v>733</v>
      </c>
      <c r="BC178" s="219"/>
      <c r="BD178" s="219"/>
      <c r="BE178" s="220"/>
      <c r="BF178" s="219"/>
      <c r="BG178" s="219"/>
      <c r="BH178" s="219"/>
      <c r="BI178" s="219"/>
      <c r="BJ178" s="219"/>
      <c r="BK178" s="219"/>
      <c r="BL178" s="219"/>
      <c r="BM178" s="219"/>
      <c r="BN178" s="219"/>
      <c r="BO178" s="219"/>
      <c r="BP178" s="219"/>
      <c r="BQ178" s="219"/>
      <c r="BR178" s="219"/>
      <c r="BS178" s="219"/>
      <c r="BT178" s="219"/>
      <c r="BU178" s="219"/>
      <c r="BV178" s="219"/>
      <c r="BW178" s="219"/>
      <c r="BX178" s="219"/>
      <c r="BY178" s="219"/>
      <c r="BZ178" s="219"/>
      <c r="CA178" s="219"/>
      <c r="CB178" s="219"/>
      <c r="CC178" s="219"/>
      <c r="CD178" s="219"/>
      <c r="CE178" s="219"/>
      <c r="CF178" s="219"/>
      <c r="CG178" s="219"/>
      <c r="CH178" s="219"/>
      <c r="CI178" s="219"/>
      <c r="CJ178" s="219"/>
      <c r="CK178" s="219"/>
      <c r="CL178" s="219"/>
      <c r="CM178" s="219"/>
      <c r="CN178" s="219"/>
      <c r="CO178" s="219"/>
      <c r="CP178" s="219"/>
      <c r="CQ178" s="219"/>
      <c r="CR178" s="219"/>
      <c r="CS178" s="219"/>
      <c r="CT178" s="219"/>
      <c r="CU178" s="219"/>
      <c r="CV178" s="219"/>
      <c r="CW178" s="219"/>
      <c r="CX178" s="219"/>
      <c r="CY178" s="219"/>
      <c r="CZ178" s="219"/>
      <c r="DA178" s="219"/>
      <c r="DB178" s="219"/>
      <c r="DC178" s="219"/>
      <c r="DD178" s="219"/>
      <c r="DE178" s="219"/>
      <c r="DF178" s="219"/>
      <c r="DG178" s="219"/>
      <c r="DH178" s="219"/>
      <c r="DI178" s="219"/>
      <c r="DJ178" s="219"/>
      <c r="DK178" s="219"/>
      <c r="DL178" s="219"/>
      <c r="DM178" s="219"/>
      <c r="DN178" s="219"/>
      <c r="DO178" s="219"/>
      <c r="DP178" s="219"/>
      <c r="DQ178" s="219"/>
      <c r="DR178" s="219"/>
      <c r="DS178" s="219"/>
      <c r="DT178" s="219"/>
      <c r="DU178" s="219"/>
      <c r="DV178" s="219"/>
      <c r="DW178" s="219"/>
      <c r="DX178" s="219"/>
      <c r="DY178" s="219"/>
      <c r="DZ178" s="45" t="s">
        <v>582</v>
      </c>
    </row>
    <row r="179" spans="53:130" x14ac:dyDescent="0.2">
      <c r="BA179" s="221">
        <v>174</v>
      </c>
      <c r="BB179" s="222" t="s">
        <v>880</v>
      </c>
      <c r="BC179" s="223"/>
      <c r="BD179" s="223"/>
      <c r="BE179" s="224"/>
      <c r="BF179" s="223"/>
      <c r="BG179" s="223"/>
      <c r="BH179" s="223"/>
      <c r="BI179" s="223"/>
      <c r="BJ179" s="223"/>
      <c r="BK179" s="223"/>
      <c r="BL179" s="223"/>
      <c r="BM179" s="223"/>
      <c r="BN179" s="223"/>
      <c r="BO179" s="223"/>
      <c r="BP179" s="223"/>
      <c r="BQ179" s="223"/>
      <c r="BR179" s="223"/>
      <c r="BS179" s="223"/>
      <c r="BT179" s="223"/>
      <c r="BU179" s="223"/>
      <c r="BV179" s="223"/>
      <c r="BW179" s="223"/>
      <c r="BX179" s="223"/>
      <c r="BY179" s="223"/>
      <c r="BZ179" s="223"/>
      <c r="CA179" s="223"/>
      <c r="CB179" s="223"/>
      <c r="CC179" s="223"/>
      <c r="CD179" s="223"/>
      <c r="CE179" s="223"/>
      <c r="CF179" s="223"/>
      <c r="CG179" s="223"/>
      <c r="CH179" s="223"/>
      <c r="CI179" s="223"/>
      <c r="CJ179" s="223"/>
      <c r="CK179" s="223"/>
      <c r="CL179" s="223"/>
      <c r="CM179" s="223"/>
      <c r="CN179" s="223"/>
      <c r="CO179" s="223"/>
      <c r="CP179" s="223"/>
      <c r="CQ179" s="223"/>
      <c r="CR179" s="223"/>
      <c r="CS179" s="223"/>
      <c r="CT179" s="223"/>
      <c r="CU179" s="223"/>
      <c r="CV179" s="223"/>
      <c r="CW179" s="223"/>
      <c r="CX179" s="223"/>
      <c r="CY179" s="223"/>
      <c r="CZ179" s="223"/>
      <c r="DA179" s="223"/>
      <c r="DB179" s="223"/>
      <c r="DC179" s="223"/>
      <c r="DD179" s="223"/>
      <c r="DE179" s="223"/>
      <c r="DF179" s="223"/>
      <c r="DG179" s="223"/>
      <c r="DH179" s="223"/>
      <c r="DI179" s="223"/>
      <c r="DJ179" s="223"/>
      <c r="DK179" s="223"/>
      <c r="DL179" s="223"/>
      <c r="DM179" s="223"/>
      <c r="DN179" s="223"/>
      <c r="DO179" s="223"/>
      <c r="DP179" s="223"/>
      <c r="DQ179" s="223"/>
      <c r="DR179" s="223"/>
      <c r="DS179" s="223"/>
      <c r="DT179" s="223"/>
      <c r="DU179" s="223"/>
      <c r="DV179" s="223"/>
      <c r="DW179" s="223"/>
      <c r="DX179" s="223"/>
      <c r="DY179" s="223"/>
      <c r="DZ179" s="48" t="s">
        <v>582</v>
      </c>
    </row>
    <row r="180" spans="53:130" x14ac:dyDescent="0.2">
      <c r="BA180" s="221">
        <v>175</v>
      </c>
      <c r="BB180" s="222"/>
      <c r="BC180" s="223"/>
      <c r="BD180" s="223"/>
      <c r="BE180" s="224"/>
      <c r="BF180" s="223"/>
      <c r="BG180" s="223"/>
      <c r="BH180" s="223"/>
      <c r="BI180" s="223"/>
      <c r="BJ180" s="223"/>
      <c r="BK180" s="223"/>
      <c r="BL180" s="223"/>
      <c r="BM180" s="223"/>
      <c r="BN180" s="223"/>
      <c r="BO180" s="223"/>
      <c r="BP180" s="223"/>
      <c r="BQ180" s="223"/>
      <c r="BR180" s="223"/>
      <c r="BS180" s="223"/>
      <c r="BT180" s="223"/>
      <c r="BU180" s="223"/>
      <c r="BV180" s="223"/>
      <c r="BW180" s="223"/>
      <c r="BX180" s="223"/>
      <c r="BY180" s="223"/>
      <c r="BZ180" s="223"/>
      <c r="CA180" s="223"/>
      <c r="CB180" s="223"/>
      <c r="CC180" s="223"/>
      <c r="CD180" s="223"/>
      <c r="CE180" s="223"/>
      <c r="CF180" s="223"/>
      <c r="CG180" s="223"/>
      <c r="CH180" s="223"/>
      <c r="CI180" s="223"/>
      <c r="CJ180" s="223"/>
      <c r="CK180" s="223"/>
      <c r="CL180" s="223"/>
      <c r="CM180" s="223"/>
      <c r="CN180" s="223"/>
      <c r="CO180" s="223"/>
      <c r="CP180" s="223"/>
      <c r="CQ180" s="223"/>
      <c r="CR180" s="223"/>
      <c r="CS180" s="223"/>
      <c r="CT180" s="223"/>
      <c r="CU180" s="223"/>
      <c r="CV180" s="223"/>
      <c r="CW180" s="223"/>
      <c r="CX180" s="223"/>
      <c r="CY180" s="223"/>
      <c r="CZ180" s="223"/>
      <c r="DA180" s="223"/>
      <c r="DB180" s="223"/>
      <c r="DC180" s="223"/>
      <c r="DD180" s="223"/>
      <c r="DE180" s="223"/>
      <c r="DF180" s="223"/>
      <c r="DG180" s="223"/>
      <c r="DH180" s="223"/>
      <c r="DI180" s="223"/>
      <c r="DJ180" s="223"/>
      <c r="DK180" s="223"/>
      <c r="DL180" s="223"/>
      <c r="DM180" s="223"/>
      <c r="DN180" s="223"/>
      <c r="DO180" s="223"/>
      <c r="DP180" s="223"/>
      <c r="DQ180" s="223"/>
      <c r="DR180" s="223"/>
      <c r="DS180" s="223"/>
      <c r="DT180" s="223"/>
      <c r="DU180" s="223"/>
      <c r="DV180" s="223"/>
      <c r="DW180" s="223"/>
      <c r="DX180" s="223"/>
      <c r="DY180" s="223"/>
      <c r="DZ180" s="48" t="s">
        <v>582</v>
      </c>
    </row>
    <row r="181" spans="53:130" x14ac:dyDescent="0.2">
      <c r="BA181" s="226">
        <v>176</v>
      </c>
      <c r="BB181" s="227"/>
      <c r="BC181" s="228"/>
      <c r="BD181" s="228"/>
      <c r="BE181" s="229"/>
      <c r="BF181" s="223"/>
      <c r="BG181" s="223"/>
      <c r="BH181" s="223"/>
      <c r="BI181" s="223"/>
      <c r="BJ181" s="223"/>
      <c r="BK181" s="223"/>
      <c r="BL181" s="223"/>
      <c r="BM181" s="223"/>
      <c r="BN181" s="223"/>
      <c r="BO181" s="223"/>
      <c r="BP181" s="223"/>
      <c r="BQ181" s="223"/>
      <c r="BR181" s="223"/>
      <c r="BS181" s="223"/>
      <c r="BT181" s="223"/>
      <c r="BU181" s="223"/>
      <c r="BV181" s="223"/>
      <c r="BW181" s="223"/>
      <c r="BX181" s="223"/>
      <c r="BY181" s="223"/>
      <c r="BZ181" s="223"/>
      <c r="CA181" s="223"/>
      <c r="CB181" s="223"/>
      <c r="CC181" s="223"/>
      <c r="CD181" s="223"/>
      <c r="CE181" s="223"/>
      <c r="CF181" s="223"/>
      <c r="CG181" s="223"/>
      <c r="CH181" s="223"/>
      <c r="CI181" s="223"/>
      <c r="CJ181" s="223"/>
      <c r="CK181" s="223"/>
      <c r="CL181" s="223"/>
      <c r="CM181" s="223"/>
      <c r="CN181" s="223"/>
      <c r="CO181" s="223"/>
      <c r="CP181" s="223"/>
      <c r="CQ181" s="223"/>
      <c r="CR181" s="223"/>
      <c r="CS181" s="223"/>
      <c r="CT181" s="223"/>
      <c r="CU181" s="223"/>
      <c r="CV181" s="223"/>
      <c r="CW181" s="223"/>
      <c r="CX181" s="223"/>
      <c r="CY181" s="223"/>
      <c r="CZ181" s="223"/>
      <c r="DA181" s="223"/>
      <c r="DB181" s="223"/>
      <c r="DC181" s="223"/>
      <c r="DD181" s="223"/>
      <c r="DE181" s="223"/>
      <c r="DF181" s="223"/>
      <c r="DG181" s="223"/>
      <c r="DH181" s="223"/>
      <c r="DI181" s="223"/>
      <c r="DJ181" s="223"/>
      <c r="DK181" s="223"/>
      <c r="DL181" s="223"/>
      <c r="DM181" s="223"/>
      <c r="DN181" s="223"/>
      <c r="DO181" s="223"/>
      <c r="DP181" s="223"/>
      <c r="DQ181" s="223"/>
      <c r="DR181" s="223"/>
      <c r="DS181" s="223"/>
      <c r="DT181" s="223"/>
      <c r="DU181" s="223"/>
      <c r="DV181" s="223"/>
      <c r="DW181" s="223"/>
      <c r="DX181" s="223"/>
      <c r="DY181" s="223"/>
      <c r="DZ181" s="51" t="s">
        <v>582</v>
      </c>
    </row>
    <row r="182" spans="53:130" x14ac:dyDescent="0.2">
      <c r="BA182" s="217">
        <v>177</v>
      </c>
      <c r="BB182" s="218" t="s">
        <v>734</v>
      </c>
      <c r="BC182" s="219"/>
      <c r="BD182" s="219"/>
      <c r="BE182" s="220"/>
      <c r="BF182" s="219"/>
      <c r="BG182" s="219"/>
      <c r="BH182" s="219"/>
      <c r="BI182" s="219"/>
      <c r="BJ182" s="219"/>
      <c r="BK182" s="219"/>
      <c r="BL182" s="219"/>
      <c r="BM182" s="219"/>
      <c r="BN182" s="219"/>
      <c r="BO182" s="219"/>
      <c r="BP182" s="219"/>
      <c r="BQ182" s="219"/>
      <c r="BR182" s="219"/>
      <c r="BS182" s="219"/>
      <c r="BT182" s="219"/>
      <c r="BU182" s="219"/>
      <c r="BV182" s="219"/>
      <c r="BW182" s="219"/>
      <c r="BX182" s="219"/>
      <c r="BY182" s="219"/>
      <c r="BZ182" s="219"/>
      <c r="CA182" s="219"/>
      <c r="CB182" s="219"/>
      <c r="CC182" s="219"/>
      <c r="CD182" s="219"/>
      <c r="CE182" s="219"/>
      <c r="CF182" s="219"/>
      <c r="CG182" s="219"/>
      <c r="CH182" s="219"/>
      <c r="CI182" s="219"/>
      <c r="CJ182" s="219"/>
      <c r="CK182" s="219"/>
      <c r="CL182" s="219"/>
      <c r="CM182" s="219"/>
      <c r="CN182" s="219"/>
      <c r="CO182" s="219"/>
      <c r="CP182" s="219"/>
      <c r="CQ182" s="219"/>
      <c r="CR182" s="219"/>
      <c r="CS182" s="219"/>
      <c r="CT182" s="219"/>
      <c r="CU182" s="219"/>
      <c r="CV182" s="219"/>
      <c r="CW182" s="219"/>
      <c r="CX182" s="219"/>
      <c r="CY182" s="219"/>
      <c r="CZ182" s="219"/>
      <c r="DA182" s="219"/>
      <c r="DB182" s="219"/>
      <c r="DC182" s="219"/>
      <c r="DD182" s="219"/>
      <c r="DE182" s="219"/>
      <c r="DF182" s="219"/>
      <c r="DG182" s="219"/>
      <c r="DH182" s="219"/>
      <c r="DI182" s="219"/>
      <c r="DJ182" s="219"/>
      <c r="DK182" s="219"/>
      <c r="DL182" s="219"/>
      <c r="DM182" s="219"/>
      <c r="DN182" s="219"/>
      <c r="DO182" s="219"/>
      <c r="DP182" s="219"/>
      <c r="DQ182" s="219"/>
      <c r="DR182" s="219"/>
      <c r="DS182" s="219"/>
      <c r="DT182" s="219"/>
      <c r="DU182" s="219"/>
      <c r="DV182" s="219"/>
      <c r="DW182" s="219"/>
      <c r="DX182" s="219"/>
      <c r="DY182" s="219"/>
      <c r="DZ182" s="45" t="s">
        <v>582</v>
      </c>
    </row>
    <row r="183" spans="53:130" x14ac:dyDescent="0.2">
      <c r="BA183" s="221">
        <v>178</v>
      </c>
      <c r="BB183" s="222" t="s">
        <v>881</v>
      </c>
      <c r="BC183" s="223"/>
      <c r="BD183" s="223"/>
      <c r="BE183" s="224"/>
      <c r="BF183" s="223"/>
      <c r="BG183" s="223"/>
      <c r="BH183" s="223"/>
      <c r="BI183" s="223"/>
      <c r="BJ183" s="223"/>
      <c r="BK183" s="223"/>
      <c r="BL183" s="223"/>
      <c r="BM183" s="223"/>
      <c r="BN183" s="223"/>
      <c r="BO183" s="223"/>
      <c r="BP183" s="223"/>
      <c r="BQ183" s="223"/>
      <c r="BR183" s="223"/>
      <c r="BS183" s="223"/>
      <c r="BT183" s="223"/>
      <c r="BU183" s="223"/>
      <c r="BV183" s="223"/>
      <c r="BW183" s="223"/>
      <c r="BX183" s="223"/>
      <c r="BY183" s="223"/>
      <c r="BZ183" s="223"/>
      <c r="CA183" s="223"/>
      <c r="CB183" s="223"/>
      <c r="CC183" s="223"/>
      <c r="CD183" s="223"/>
      <c r="CE183" s="223"/>
      <c r="CF183" s="223"/>
      <c r="CG183" s="223"/>
      <c r="CH183" s="223"/>
      <c r="CI183" s="223"/>
      <c r="CJ183" s="223"/>
      <c r="CK183" s="223"/>
      <c r="CL183" s="223"/>
      <c r="CM183" s="223"/>
      <c r="CN183" s="223"/>
      <c r="CO183" s="223"/>
      <c r="CP183" s="223"/>
      <c r="CQ183" s="223"/>
      <c r="CR183" s="223"/>
      <c r="CS183" s="223"/>
      <c r="CT183" s="223"/>
      <c r="CU183" s="223"/>
      <c r="CV183" s="223"/>
      <c r="CW183" s="223"/>
      <c r="CX183" s="223"/>
      <c r="CY183" s="223"/>
      <c r="CZ183" s="223"/>
      <c r="DA183" s="223"/>
      <c r="DB183" s="223"/>
      <c r="DC183" s="223"/>
      <c r="DD183" s="223"/>
      <c r="DE183" s="223"/>
      <c r="DF183" s="223"/>
      <c r="DG183" s="223"/>
      <c r="DH183" s="223"/>
      <c r="DI183" s="223"/>
      <c r="DJ183" s="223"/>
      <c r="DK183" s="223"/>
      <c r="DL183" s="223"/>
      <c r="DM183" s="223"/>
      <c r="DN183" s="223"/>
      <c r="DO183" s="223"/>
      <c r="DP183" s="223"/>
      <c r="DQ183" s="223"/>
      <c r="DR183" s="223"/>
      <c r="DS183" s="223"/>
      <c r="DT183" s="223"/>
      <c r="DU183" s="223"/>
      <c r="DV183" s="223"/>
      <c r="DW183" s="223"/>
      <c r="DX183" s="223"/>
      <c r="DY183" s="223"/>
      <c r="DZ183" s="48" t="s">
        <v>582</v>
      </c>
    </row>
    <row r="184" spans="53:130" x14ac:dyDescent="0.2">
      <c r="BA184" s="221">
        <v>179</v>
      </c>
      <c r="BB184" s="222"/>
      <c r="BC184" s="223"/>
      <c r="BD184" s="223"/>
      <c r="BE184" s="224"/>
      <c r="BF184" s="223"/>
      <c r="BG184" s="223"/>
      <c r="BH184" s="223"/>
      <c r="BI184" s="223"/>
      <c r="BJ184" s="223"/>
      <c r="BK184" s="223"/>
      <c r="BL184" s="223"/>
      <c r="BM184" s="223"/>
      <c r="BN184" s="223"/>
      <c r="BO184" s="223"/>
      <c r="BP184" s="223"/>
      <c r="BQ184" s="223"/>
      <c r="BR184" s="223"/>
      <c r="BS184" s="223"/>
      <c r="BT184" s="223"/>
      <c r="BU184" s="223"/>
      <c r="BV184" s="223"/>
      <c r="BW184" s="223"/>
      <c r="BX184" s="223"/>
      <c r="BY184" s="223"/>
      <c r="BZ184" s="223"/>
      <c r="CA184" s="223"/>
      <c r="CB184" s="223"/>
      <c r="CC184" s="223"/>
      <c r="CD184" s="223"/>
      <c r="CE184" s="223"/>
      <c r="CF184" s="223"/>
      <c r="CG184" s="223"/>
      <c r="CH184" s="223"/>
      <c r="CI184" s="223"/>
      <c r="CJ184" s="223"/>
      <c r="CK184" s="223"/>
      <c r="CL184" s="223"/>
      <c r="CM184" s="223"/>
      <c r="CN184" s="223"/>
      <c r="CO184" s="223"/>
      <c r="CP184" s="223"/>
      <c r="CQ184" s="223"/>
      <c r="CR184" s="223"/>
      <c r="CS184" s="223"/>
      <c r="CT184" s="223"/>
      <c r="CU184" s="223"/>
      <c r="CV184" s="223"/>
      <c r="CW184" s="223"/>
      <c r="CX184" s="223"/>
      <c r="CY184" s="223"/>
      <c r="CZ184" s="223"/>
      <c r="DA184" s="223"/>
      <c r="DB184" s="223"/>
      <c r="DC184" s="223"/>
      <c r="DD184" s="223"/>
      <c r="DE184" s="223"/>
      <c r="DF184" s="223"/>
      <c r="DG184" s="223"/>
      <c r="DH184" s="223"/>
      <c r="DI184" s="223"/>
      <c r="DJ184" s="223"/>
      <c r="DK184" s="223"/>
      <c r="DL184" s="223"/>
      <c r="DM184" s="223"/>
      <c r="DN184" s="223"/>
      <c r="DO184" s="223"/>
      <c r="DP184" s="223"/>
      <c r="DQ184" s="223"/>
      <c r="DR184" s="223"/>
      <c r="DS184" s="223"/>
      <c r="DT184" s="223"/>
      <c r="DU184" s="223"/>
      <c r="DV184" s="223"/>
      <c r="DW184" s="223"/>
      <c r="DX184" s="223"/>
      <c r="DY184" s="223"/>
      <c r="DZ184" s="48" t="s">
        <v>582</v>
      </c>
    </row>
    <row r="185" spans="53:130" x14ac:dyDescent="0.2">
      <c r="BA185" s="226">
        <v>180</v>
      </c>
      <c r="BB185" s="227"/>
      <c r="BC185" s="228"/>
      <c r="BD185" s="228"/>
      <c r="BE185" s="229"/>
      <c r="BF185" s="223"/>
      <c r="BG185" s="223"/>
      <c r="BH185" s="223"/>
      <c r="BI185" s="223"/>
      <c r="BJ185" s="223"/>
      <c r="BK185" s="223"/>
      <c r="BL185" s="223"/>
      <c r="BM185" s="223"/>
      <c r="BN185" s="223"/>
      <c r="BO185" s="223"/>
      <c r="BP185" s="223"/>
      <c r="BQ185" s="223"/>
      <c r="BR185" s="223"/>
      <c r="BS185" s="223"/>
      <c r="BT185" s="223"/>
      <c r="BU185" s="223"/>
      <c r="BV185" s="223"/>
      <c r="BW185" s="223"/>
      <c r="BX185" s="223"/>
      <c r="BY185" s="223"/>
      <c r="BZ185" s="223"/>
      <c r="CA185" s="223"/>
      <c r="CB185" s="223"/>
      <c r="CC185" s="223"/>
      <c r="CD185" s="223"/>
      <c r="CE185" s="223"/>
      <c r="CF185" s="223"/>
      <c r="CG185" s="223"/>
      <c r="CH185" s="223"/>
      <c r="CI185" s="223"/>
      <c r="CJ185" s="223"/>
      <c r="CK185" s="223"/>
      <c r="CL185" s="223"/>
      <c r="CM185" s="223"/>
      <c r="CN185" s="223"/>
      <c r="CO185" s="223"/>
      <c r="CP185" s="223"/>
      <c r="CQ185" s="223"/>
      <c r="CR185" s="223"/>
      <c r="CS185" s="223"/>
      <c r="CT185" s="223"/>
      <c r="CU185" s="223"/>
      <c r="CV185" s="223"/>
      <c r="CW185" s="223"/>
      <c r="CX185" s="223"/>
      <c r="CY185" s="223"/>
      <c r="CZ185" s="223"/>
      <c r="DA185" s="223"/>
      <c r="DB185" s="223"/>
      <c r="DC185" s="223"/>
      <c r="DD185" s="223"/>
      <c r="DE185" s="223"/>
      <c r="DF185" s="223"/>
      <c r="DG185" s="223"/>
      <c r="DH185" s="223"/>
      <c r="DI185" s="223"/>
      <c r="DJ185" s="223"/>
      <c r="DK185" s="223"/>
      <c r="DL185" s="223"/>
      <c r="DM185" s="223"/>
      <c r="DN185" s="223"/>
      <c r="DO185" s="223"/>
      <c r="DP185" s="223"/>
      <c r="DQ185" s="223"/>
      <c r="DR185" s="223"/>
      <c r="DS185" s="223"/>
      <c r="DT185" s="223"/>
      <c r="DU185" s="223"/>
      <c r="DV185" s="223"/>
      <c r="DW185" s="223"/>
      <c r="DX185" s="223"/>
      <c r="DY185" s="223"/>
      <c r="DZ185" s="51" t="s">
        <v>582</v>
      </c>
    </row>
    <row r="186" spans="53:130" x14ac:dyDescent="0.2">
      <c r="BA186" s="217">
        <v>181</v>
      </c>
      <c r="BB186" s="218" t="s">
        <v>735</v>
      </c>
      <c r="BC186" s="219"/>
      <c r="BD186" s="219"/>
      <c r="BE186" s="220"/>
      <c r="BF186" s="219"/>
      <c r="BG186" s="219"/>
      <c r="BH186" s="219"/>
      <c r="BI186" s="219"/>
      <c r="BJ186" s="219"/>
      <c r="BK186" s="219"/>
      <c r="BL186" s="219"/>
      <c r="BM186" s="219"/>
      <c r="BN186" s="219"/>
      <c r="BO186" s="219"/>
      <c r="BP186" s="219"/>
      <c r="BQ186" s="219"/>
      <c r="BR186" s="219"/>
      <c r="BS186" s="219"/>
      <c r="BT186" s="219"/>
      <c r="BU186" s="219"/>
      <c r="BV186" s="219"/>
      <c r="BW186" s="219"/>
      <c r="BX186" s="219"/>
      <c r="BY186" s="219"/>
      <c r="BZ186" s="219"/>
      <c r="CA186" s="219"/>
      <c r="CB186" s="219"/>
      <c r="CC186" s="219"/>
      <c r="CD186" s="219"/>
      <c r="CE186" s="219"/>
      <c r="CF186" s="219"/>
      <c r="CG186" s="219"/>
      <c r="CH186" s="219"/>
      <c r="CI186" s="219"/>
      <c r="CJ186" s="219"/>
      <c r="CK186" s="219"/>
      <c r="CL186" s="219"/>
      <c r="CM186" s="219"/>
      <c r="CN186" s="219"/>
      <c r="CO186" s="219"/>
      <c r="CP186" s="219"/>
      <c r="CQ186" s="219"/>
      <c r="CR186" s="219"/>
      <c r="CS186" s="219"/>
      <c r="CT186" s="219"/>
      <c r="CU186" s="219"/>
      <c r="CV186" s="219"/>
      <c r="CW186" s="219"/>
      <c r="CX186" s="219"/>
      <c r="CY186" s="219"/>
      <c r="CZ186" s="219"/>
      <c r="DA186" s="219"/>
      <c r="DB186" s="219"/>
      <c r="DC186" s="219"/>
      <c r="DD186" s="219"/>
      <c r="DE186" s="219"/>
      <c r="DF186" s="219"/>
      <c r="DG186" s="219"/>
      <c r="DH186" s="219"/>
      <c r="DI186" s="219"/>
      <c r="DJ186" s="219"/>
      <c r="DK186" s="219"/>
      <c r="DL186" s="219"/>
      <c r="DM186" s="219"/>
      <c r="DN186" s="219"/>
      <c r="DO186" s="219"/>
      <c r="DP186" s="219"/>
      <c r="DQ186" s="219"/>
      <c r="DR186" s="219"/>
      <c r="DS186" s="219"/>
      <c r="DT186" s="219"/>
      <c r="DU186" s="219"/>
      <c r="DV186" s="219"/>
      <c r="DW186" s="219"/>
      <c r="DX186" s="219"/>
      <c r="DY186" s="219"/>
      <c r="DZ186" s="45" t="s">
        <v>582</v>
      </c>
    </row>
    <row r="187" spans="53:130" x14ac:dyDescent="0.2">
      <c r="BA187" s="221">
        <v>182</v>
      </c>
      <c r="BB187" s="222" t="s">
        <v>882</v>
      </c>
      <c r="BC187" s="223"/>
      <c r="BD187" s="223"/>
      <c r="BE187" s="224"/>
      <c r="BF187" s="223"/>
      <c r="BG187" s="223"/>
      <c r="BH187" s="223"/>
      <c r="BI187" s="223"/>
      <c r="BJ187" s="223"/>
      <c r="BK187" s="223"/>
      <c r="BL187" s="223"/>
      <c r="BM187" s="223"/>
      <c r="BN187" s="223"/>
      <c r="BO187" s="223"/>
      <c r="BP187" s="223"/>
      <c r="BQ187" s="223"/>
      <c r="BR187" s="223"/>
      <c r="BS187" s="223"/>
      <c r="BT187" s="223"/>
      <c r="BU187" s="223"/>
      <c r="BV187" s="223"/>
      <c r="BW187" s="223"/>
      <c r="BX187" s="223"/>
      <c r="BY187" s="223"/>
      <c r="BZ187" s="223"/>
      <c r="CA187" s="223"/>
      <c r="CB187" s="223"/>
      <c r="CC187" s="223"/>
      <c r="CD187" s="223"/>
      <c r="CE187" s="223"/>
      <c r="CF187" s="223"/>
      <c r="CG187" s="223"/>
      <c r="CH187" s="223"/>
      <c r="CI187" s="223"/>
      <c r="CJ187" s="223"/>
      <c r="CK187" s="223"/>
      <c r="CL187" s="223"/>
      <c r="CM187" s="223"/>
      <c r="CN187" s="223"/>
      <c r="CO187" s="223"/>
      <c r="CP187" s="223"/>
      <c r="CQ187" s="223"/>
      <c r="CR187" s="223"/>
      <c r="CS187" s="223"/>
      <c r="CT187" s="223"/>
      <c r="CU187" s="223"/>
      <c r="CV187" s="223"/>
      <c r="CW187" s="223"/>
      <c r="CX187" s="223"/>
      <c r="CY187" s="223"/>
      <c r="CZ187" s="223"/>
      <c r="DA187" s="223"/>
      <c r="DB187" s="223"/>
      <c r="DC187" s="223"/>
      <c r="DD187" s="223"/>
      <c r="DE187" s="223"/>
      <c r="DF187" s="223"/>
      <c r="DG187" s="223"/>
      <c r="DH187" s="223"/>
      <c r="DI187" s="223"/>
      <c r="DJ187" s="223"/>
      <c r="DK187" s="223"/>
      <c r="DL187" s="223"/>
      <c r="DM187" s="223"/>
      <c r="DN187" s="223"/>
      <c r="DO187" s="223"/>
      <c r="DP187" s="223"/>
      <c r="DQ187" s="223"/>
      <c r="DR187" s="223"/>
      <c r="DS187" s="223"/>
      <c r="DT187" s="223"/>
      <c r="DU187" s="223"/>
      <c r="DV187" s="223"/>
      <c r="DW187" s="223"/>
      <c r="DX187" s="223"/>
      <c r="DY187" s="223"/>
      <c r="DZ187" s="48" t="s">
        <v>582</v>
      </c>
    </row>
    <row r="188" spans="53:130" x14ac:dyDescent="0.2">
      <c r="BA188" s="221">
        <v>183</v>
      </c>
      <c r="BB188" s="222"/>
      <c r="BC188" s="223"/>
      <c r="BD188" s="223"/>
      <c r="BE188" s="224"/>
      <c r="BF188" s="223"/>
      <c r="BG188" s="223"/>
      <c r="BH188" s="223"/>
      <c r="BI188" s="223"/>
      <c r="BJ188" s="223"/>
      <c r="BK188" s="223"/>
      <c r="BL188" s="223"/>
      <c r="BM188" s="223"/>
      <c r="BN188" s="223"/>
      <c r="BO188" s="223"/>
      <c r="BP188" s="223"/>
      <c r="BQ188" s="223"/>
      <c r="BR188" s="223"/>
      <c r="BS188" s="223"/>
      <c r="BT188" s="223"/>
      <c r="BU188" s="223"/>
      <c r="BV188" s="223"/>
      <c r="BW188" s="223"/>
      <c r="BX188" s="223"/>
      <c r="BY188" s="223"/>
      <c r="BZ188" s="223"/>
      <c r="CA188" s="223"/>
      <c r="CB188" s="223"/>
      <c r="CC188" s="223"/>
      <c r="CD188" s="223"/>
      <c r="CE188" s="223"/>
      <c r="CF188" s="223"/>
      <c r="CG188" s="223"/>
      <c r="CH188" s="223"/>
      <c r="CI188" s="223"/>
      <c r="CJ188" s="223"/>
      <c r="CK188" s="223"/>
      <c r="CL188" s="223"/>
      <c r="CM188" s="223"/>
      <c r="CN188" s="223"/>
      <c r="CO188" s="223"/>
      <c r="CP188" s="223"/>
      <c r="CQ188" s="223"/>
      <c r="CR188" s="223"/>
      <c r="CS188" s="223"/>
      <c r="CT188" s="223"/>
      <c r="CU188" s="223"/>
      <c r="CV188" s="223"/>
      <c r="CW188" s="223"/>
      <c r="CX188" s="223"/>
      <c r="CY188" s="223"/>
      <c r="CZ188" s="223"/>
      <c r="DA188" s="223"/>
      <c r="DB188" s="223"/>
      <c r="DC188" s="223"/>
      <c r="DD188" s="223"/>
      <c r="DE188" s="223"/>
      <c r="DF188" s="223"/>
      <c r="DG188" s="223"/>
      <c r="DH188" s="223"/>
      <c r="DI188" s="223"/>
      <c r="DJ188" s="223"/>
      <c r="DK188" s="223"/>
      <c r="DL188" s="223"/>
      <c r="DM188" s="223"/>
      <c r="DN188" s="223"/>
      <c r="DO188" s="223"/>
      <c r="DP188" s="223"/>
      <c r="DQ188" s="223"/>
      <c r="DR188" s="223"/>
      <c r="DS188" s="223"/>
      <c r="DT188" s="223"/>
      <c r="DU188" s="223"/>
      <c r="DV188" s="223"/>
      <c r="DW188" s="223"/>
      <c r="DX188" s="223"/>
      <c r="DY188" s="223"/>
      <c r="DZ188" s="48" t="s">
        <v>582</v>
      </c>
    </row>
    <row r="189" spans="53:130" x14ac:dyDescent="0.2">
      <c r="BA189" s="226">
        <v>184</v>
      </c>
      <c r="BB189" s="227"/>
      <c r="BC189" s="228"/>
      <c r="BD189" s="228"/>
      <c r="BE189" s="229"/>
      <c r="BF189" s="223"/>
      <c r="BG189" s="223"/>
      <c r="BH189" s="223"/>
      <c r="BI189" s="223"/>
      <c r="BJ189" s="223"/>
      <c r="BK189" s="223"/>
      <c r="BL189" s="223"/>
      <c r="BM189" s="223"/>
      <c r="BN189" s="223"/>
      <c r="BO189" s="223"/>
      <c r="BP189" s="223"/>
      <c r="BQ189" s="223"/>
      <c r="BR189" s="223"/>
      <c r="BS189" s="223"/>
      <c r="BT189" s="223"/>
      <c r="BU189" s="223"/>
      <c r="BV189" s="223"/>
      <c r="BW189" s="223"/>
      <c r="BX189" s="223"/>
      <c r="BY189" s="223"/>
      <c r="BZ189" s="223"/>
      <c r="CA189" s="223"/>
      <c r="CB189" s="223"/>
      <c r="CC189" s="223"/>
      <c r="CD189" s="223"/>
      <c r="CE189" s="223"/>
      <c r="CF189" s="223"/>
      <c r="CG189" s="223"/>
      <c r="CH189" s="223"/>
      <c r="CI189" s="223"/>
      <c r="CJ189" s="223"/>
      <c r="CK189" s="223"/>
      <c r="CL189" s="223"/>
      <c r="CM189" s="223"/>
      <c r="CN189" s="223"/>
      <c r="CO189" s="223"/>
      <c r="CP189" s="223"/>
      <c r="CQ189" s="223"/>
      <c r="CR189" s="223"/>
      <c r="CS189" s="223"/>
      <c r="CT189" s="223"/>
      <c r="CU189" s="223"/>
      <c r="CV189" s="223"/>
      <c r="CW189" s="223"/>
      <c r="CX189" s="223"/>
      <c r="CY189" s="223"/>
      <c r="CZ189" s="223"/>
      <c r="DA189" s="223"/>
      <c r="DB189" s="223"/>
      <c r="DC189" s="223"/>
      <c r="DD189" s="223"/>
      <c r="DE189" s="223"/>
      <c r="DF189" s="223"/>
      <c r="DG189" s="223"/>
      <c r="DH189" s="223"/>
      <c r="DI189" s="223"/>
      <c r="DJ189" s="223"/>
      <c r="DK189" s="223"/>
      <c r="DL189" s="223"/>
      <c r="DM189" s="223"/>
      <c r="DN189" s="223"/>
      <c r="DO189" s="223"/>
      <c r="DP189" s="223"/>
      <c r="DQ189" s="223"/>
      <c r="DR189" s="223"/>
      <c r="DS189" s="223"/>
      <c r="DT189" s="223"/>
      <c r="DU189" s="223"/>
      <c r="DV189" s="223"/>
      <c r="DW189" s="223"/>
      <c r="DX189" s="223"/>
      <c r="DY189" s="223"/>
      <c r="DZ189" s="51" t="s">
        <v>582</v>
      </c>
    </row>
    <row r="190" spans="53:130" x14ac:dyDescent="0.2">
      <c r="BA190" s="217">
        <v>185</v>
      </c>
      <c r="BB190" s="218" t="s">
        <v>736</v>
      </c>
      <c r="BC190" s="219"/>
      <c r="BD190" s="219"/>
      <c r="BE190" s="220"/>
      <c r="BF190" s="219"/>
      <c r="BG190" s="219"/>
      <c r="BH190" s="219"/>
      <c r="BI190" s="219"/>
      <c r="BJ190" s="219"/>
      <c r="BK190" s="219"/>
      <c r="BL190" s="219"/>
      <c r="BM190" s="219"/>
      <c r="BN190" s="219"/>
      <c r="BO190" s="219"/>
      <c r="BP190" s="219"/>
      <c r="BQ190" s="219"/>
      <c r="BR190" s="219"/>
      <c r="BS190" s="219"/>
      <c r="BT190" s="219"/>
      <c r="BU190" s="219"/>
      <c r="BV190" s="219"/>
      <c r="BW190" s="219"/>
      <c r="BX190" s="219"/>
      <c r="BY190" s="219"/>
      <c r="BZ190" s="219"/>
      <c r="CA190" s="219"/>
      <c r="CB190" s="219"/>
      <c r="CC190" s="219"/>
      <c r="CD190" s="219"/>
      <c r="CE190" s="219"/>
      <c r="CF190" s="219"/>
      <c r="CG190" s="219"/>
      <c r="CH190" s="219"/>
      <c r="CI190" s="219"/>
      <c r="CJ190" s="219"/>
      <c r="CK190" s="219"/>
      <c r="CL190" s="219"/>
      <c r="CM190" s="219"/>
      <c r="CN190" s="219"/>
      <c r="CO190" s="219"/>
      <c r="CP190" s="219"/>
      <c r="CQ190" s="219"/>
      <c r="CR190" s="219"/>
      <c r="CS190" s="219"/>
      <c r="CT190" s="219"/>
      <c r="CU190" s="219"/>
      <c r="CV190" s="219"/>
      <c r="CW190" s="219"/>
      <c r="CX190" s="219"/>
      <c r="CY190" s="219"/>
      <c r="CZ190" s="219"/>
      <c r="DA190" s="219"/>
      <c r="DB190" s="219"/>
      <c r="DC190" s="219"/>
      <c r="DD190" s="219"/>
      <c r="DE190" s="219"/>
      <c r="DF190" s="219"/>
      <c r="DG190" s="219"/>
      <c r="DH190" s="219"/>
      <c r="DI190" s="219"/>
      <c r="DJ190" s="219"/>
      <c r="DK190" s="219"/>
      <c r="DL190" s="219"/>
      <c r="DM190" s="219"/>
      <c r="DN190" s="219"/>
      <c r="DO190" s="219"/>
      <c r="DP190" s="219"/>
      <c r="DQ190" s="219"/>
      <c r="DR190" s="219"/>
      <c r="DS190" s="219"/>
      <c r="DT190" s="219"/>
      <c r="DU190" s="219"/>
      <c r="DV190" s="219"/>
      <c r="DW190" s="219"/>
      <c r="DX190" s="219"/>
      <c r="DY190" s="219"/>
      <c r="DZ190" s="45" t="s">
        <v>582</v>
      </c>
    </row>
    <row r="191" spans="53:130" x14ac:dyDescent="0.2">
      <c r="BA191" s="221">
        <v>186</v>
      </c>
      <c r="BB191" s="222" t="s">
        <v>883</v>
      </c>
      <c r="BC191" s="223"/>
      <c r="BD191" s="223"/>
      <c r="BE191" s="224"/>
      <c r="BF191" s="223"/>
      <c r="BG191" s="223"/>
      <c r="BH191" s="223"/>
      <c r="BI191" s="223"/>
      <c r="BJ191" s="223"/>
      <c r="BK191" s="223"/>
      <c r="BL191" s="223"/>
      <c r="BM191" s="223"/>
      <c r="BN191" s="223"/>
      <c r="BO191" s="223"/>
      <c r="BP191" s="223"/>
      <c r="BQ191" s="223"/>
      <c r="BR191" s="223"/>
      <c r="BS191" s="223"/>
      <c r="BT191" s="223"/>
      <c r="BU191" s="223"/>
      <c r="BV191" s="223"/>
      <c r="BW191" s="223"/>
      <c r="BX191" s="223"/>
      <c r="BY191" s="223"/>
      <c r="BZ191" s="223"/>
      <c r="CA191" s="223"/>
      <c r="CB191" s="223"/>
      <c r="CC191" s="223"/>
      <c r="CD191" s="223"/>
      <c r="CE191" s="223"/>
      <c r="CF191" s="223"/>
      <c r="CG191" s="223"/>
      <c r="CH191" s="223"/>
      <c r="CI191" s="223"/>
      <c r="CJ191" s="223"/>
      <c r="CK191" s="223"/>
      <c r="CL191" s="223"/>
      <c r="CM191" s="223"/>
      <c r="CN191" s="223"/>
      <c r="CO191" s="223"/>
      <c r="CP191" s="223"/>
      <c r="CQ191" s="223"/>
      <c r="CR191" s="223"/>
      <c r="CS191" s="223"/>
      <c r="CT191" s="223"/>
      <c r="CU191" s="223"/>
      <c r="CV191" s="223"/>
      <c r="CW191" s="223"/>
      <c r="CX191" s="223"/>
      <c r="CY191" s="223"/>
      <c r="CZ191" s="223"/>
      <c r="DA191" s="223"/>
      <c r="DB191" s="223"/>
      <c r="DC191" s="223"/>
      <c r="DD191" s="223"/>
      <c r="DE191" s="223"/>
      <c r="DF191" s="223"/>
      <c r="DG191" s="223"/>
      <c r="DH191" s="223"/>
      <c r="DI191" s="223"/>
      <c r="DJ191" s="223"/>
      <c r="DK191" s="223"/>
      <c r="DL191" s="223"/>
      <c r="DM191" s="223"/>
      <c r="DN191" s="223"/>
      <c r="DO191" s="223"/>
      <c r="DP191" s="223"/>
      <c r="DQ191" s="223"/>
      <c r="DR191" s="223"/>
      <c r="DS191" s="223"/>
      <c r="DT191" s="223"/>
      <c r="DU191" s="223"/>
      <c r="DV191" s="223"/>
      <c r="DW191" s="223"/>
      <c r="DX191" s="223"/>
      <c r="DY191" s="223"/>
      <c r="DZ191" s="48" t="s">
        <v>582</v>
      </c>
    </row>
    <row r="192" spans="53:130" x14ac:dyDescent="0.2">
      <c r="BA192" s="221">
        <v>187</v>
      </c>
      <c r="BB192" s="222"/>
      <c r="BC192" s="223"/>
      <c r="BD192" s="223"/>
      <c r="BE192" s="224"/>
      <c r="BF192" s="223"/>
      <c r="BG192" s="223"/>
      <c r="BH192" s="223"/>
      <c r="BI192" s="223"/>
      <c r="BJ192" s="223"/>
      <c r="BK192" s="223"/>
      <c r="BL192" s="223"/>
      <c r="BM192" s="223"/>
      <c r="BN192" s="223"/>
      <c r="BO192" s="223"/>
      <c r="BP192" s="223"/>
      <c r="BQ192" s="223"/>
      <c r="BR192" s="223"/>
      <c r="BS192" s="223"/>
      <c r="BT192" s="223"/>
      <c r="BU192" s="223"/>
      <c r="BV192" s="223"/>
      <c r="BW192" s="223"/>
      <c r="BX192" s="223"/>
      <c r="BY192" s="223"/>
      <c r="BZ192" s="223"/>
      <c r="CA192" s="223"/>
      <c r="CB192" s="223"/>
      <c r="CC192" s="223"/>
      <c r="CD192" s="223"/>
      <c r="CE192" s="223"/>
      <c r="CF192" s="223"/>
      <c r="CG192" s="223"/>
      <c r="CH192" s="223"/>
      <c r="CI192" s="223"/>
      <c r="CJ192" s="223"/>
      <c r="CK192" s="223"/>
      <c r="CL192" s="223"/>
      <c r="CM192" s="223"/>
      <c r="CN192" s="223"/>
      <c r="CO192" s="223"/>
      <c r="CP192" s="223"/>
      <c r="CQ192" s="223"/>
      <c r="CR192" s="223"/>
      <c r="CS192" s="223"/>
      <c r="CT192" s="223"/>
      <c r="CU192" s="223"/>
      <c r="CV192" s="223"/>
      <c r="CW192" s="223"/>
      <c r="CX192" s="223"/>
      <c r="CY192" s="223"/>
      <c r="CZ192" s="223"/>
      <c r="DA192" s="223"/>
      <c r="DB192" s="223"/>
      <c r="DC192" s="223"/>
      <c r="DD192" s="223"/>
      <c r="DE192" s="223"/>
      <c r="DF192" s="223"/>
      <c r="DG192" s="223"/>
      <c r="DH192" s="223"/>
      <c r="DI192" s="223"/>
      <c r="DJ192" s="223"/>
      <c r="DK192" s="223"/>
      <c r="DL192" s="223"/>
      <c r="DM192" s="223"/>
      <c r="DN192" s="223"/>
      <c r="DO192" s="223"/>
      <c r="DP192" s="223"/>
      <c r="DQ192" s="223"/>
      <c r="DR192" s="223"/>
      <c r="DS192" s="223"/>
      <c r="DT192" s="223"/>
      <c r="DU192" s="223"/>
      <c r="DV192" s="223"/>
      <c r="DW192" s="223"/>
      <c r="DX192" s="223"/>
      <c r="DY192" s="223"/>
      <c r="DZ192" s="48" t="s">
        <v>582</v>
      </c>
    </row>
    <row r="193" spans="4:130" x14ac:dyDescent="0.2">
      <c r="BA193" s="226">
        <v>188</v>
      </c>
      <c r="BB193" s="227"/>
      <c r="BC193" s="228"/>
      <c r="BD193" s="228"/>
      <c r="BE193" s="229"/>
      <c r="BF193" s="223"/>
      <c r="BG193" s="223"/>
      <c r="BH193" s="223"/>
      <c r="BI193" s="223"/>
      <c r="BJ193" s="223"/>
      <c r="BK193" s="223"/>
      <c r="BL193" s="223"/>
      <c r="BM193" s="223"/>
      <c r="BN193" s="223"/>
      <c r="BO193" s="223"/>
      <c r="BP193" s="223"/>
      <c r="BQ193" s="223"/>
      <c r="BR193" s="223"/>
      <c r="BS193" s="223"/>
      <c r="BT193" s="223"/>
      <c r="BU193" s="223"/>
      <c r="BV193" s="223"/>
      <c r="BW193" s="223"/>
      <c r="BX193" s="223"/>
      <c r="BY193" s="223"/>
      <c r="BZ193" s="223"/>
      <c r="CA193" s="223"/>
      <c r="CB193" s="223"/>
      <c r="CC193" s="223"/>
      <c r="CD193" s="223"/>
      <c r="CE193" s="223"/>
      <c r="CF193" s="223"/>
      <c r="CG193" s="223"/>
      <c r="CH193" s="223"/>
      <c r="CI193" s="223"/>
      <c r="CJ193" s="223"/>
      <c r="CK193" s="223"/>
      <c r="CL193" s="223"/>
      <c r="CM193" s="223"/>
      <c r="CN193" s="223"/>
      <c r="CO193" s="223"/>
      <c r="CP193" s="223"/>
      <c r="CQ193" s="223"/>
      <c r="CR193" s="223"/>
      <c r="CS193" s="223"/>
      <c r="CT193" s="223"/>
      <c r="CU193" s="223"/>
      <c r="CV193" s="223"/>
      <c r="CW193" s="223"/>
      <c r="CX193" s="223"/>
      <c r="CY193" s="223"/>
      <c r="CZ193" s="223"/>
      <c r="DA193" s="223"/>
      <c r="DB193" s="223"/>
      <c r="DC193" s="223"/>
      <c r="DD193" s="223"/>
      <c r="DE193" s="223"/>
      <c r="DF193" s="223"/>
      <c r="DG193" s="223"/>
      <c r="DH193" s="223"/>
      <c r="DI193" s="223"/>
      <c r="DJ193" s="223"/>
      <c r="DK193" s="223"/>
      <c r="DL193" s="223"/>
      <c r="DM193" s="223"/>
      <c r="DN193" s="223"/>
      <c r="DO193" s="223"/>
      <c r="DP193" s="223"/>
      <c r="DQ193" s="223"/>
      <c r="DR193" s="223"/>
      <c r="DS193" s="223"/>
      <c r="DT193" s="223"/>
      <c r="DU193" s="223"/>
      <c r="DV193" s="223"/>
      <c r="DW193" s="223"/>
      <c r="DX193" s="223"/>
      <c r="DY193" s="223"/>
      <c r="DZ193" s="51" t="s">
        <v>582</v>
      </c>
    </row>
    <row r="194" spans="4:130" x14ac:dyDescent="0.2">
      <c r="BA194" s="217">
        <v>189</v>
      </c>
      <c r="BB194" s="218" t="s">
        <v>737</v>
      </c>
      <c r="BC194" s="219"/>
      <c r="BD194" s="219"/>
      <c r="BE194" s="220"/>
      <c r="BF194" s="219"/>
      <c r="BG194" s="219"/>
      <c r="BH194" s="219"/>
      <c r="BI194" s="219"/>
      <c r="BJ194" s="219"/>
      <c r="BK194" s="219"/>
      <c r="BL194" s="219"/>
      <c r="BM194" s="219"/>
      <c r="BN194" s="219"/>
      <c r="BO194" s="219"/>
      <c r="BP194" s="219"/>
      <c r="BQ194" s="219"/>
      <c r="BR194" s="219"/>
      <c r="BS194" s="219"/>
      <c r="BT194" s="219"/>
      <c r="BU194" s="219"/>
      <c r="BV194" s="219"/>
      <c r="BW194" s="219"/>
      <c r="BX194" s="219"/>
      <c r="BY194" s="219"/>
      <c r="BZ194" s="219"/>
      <c r="CA194" s="219"/>
      <c r="CB194" s="219"/>
      <c r="CC194" s="219"/>
      <c r="CD194" s="219"/>
      <c r="CE194" s="219"/>
      <c r="CF194" s="219"/>
      <c r="CG194" s="219"/>
      <c r="CH194" s="219"/>
      <c r="CI194" s="219"/>
      <c r="CJ194" s="219"/>
      <c r="CK194" s="219"/>
      <c r="CL194" s="219"/>
      <c r="CM194" s="219"/>
      <c r="CN194" s="219"/>
      <c r="CO194" s="219"/>
      <c r="CP194" s="219"/>
      <c r="CQ194" s="219"/>
      <c r="CR194" s="219"/>
      <c r="CS194" s="219"/>
      <c r="CT194" s="219"/>
      <c r="CU194" s="219"/>
      <c r="CV194" s="219"/>
      <c r="CW194" s="219"/>
      <c r="CX194" s="219"/>
      <c r="CY194" s="219"/>
      <c r="CZ194" s="219"/>
      <c r="DA194" s="219"/>
      <c r="DB194" s="219"/>
      <c r="DC194" s="219"/>
      <c r="DD194" s="219"/>
      <c r="DE194" s="219"/>
      <c r="DF194" s="219"/>
      <c r="DG194" s="219"/>
      <c r="DH194" s="219"/>
      <c r="DI194" s="219"/>
      <c r="DJ194" s="219"/>
      <c r="DK194" s="219"/>
      <c r="DL194" s="219"/>
      <c r="DM194" s="219"/>
      <c r="DN194" s="219"/>
      <c r="DO194" s="219"/>
      <c r="DP194" s="219"/>
      <c r="DQ194" s="219"/>
      <c r="DR194" s="219"/>
      <c r="DS194" s="219"/>
      <c r="DT194" s="219"/>
      <c r="DU194" s="219"/>
      <c r="DV194" s="219"/>
      <c r="DW194" s="219"/>
      <c r="DX194" s="219"/>
      <c r="DY194" s="219"/>
      <c r="DZ194" s="45" t="s">
        <v>582</v>
      </c>
    </row>
    <row r="195" spans="4:130" x14ac:dyDescent="0.2">
      <c r="BA195" s="221">
        <v>190</v>
      </c>
      <c r="BB195" s="222" t="s">
        <v>884</v>
      </c>
      <c r="BC195" s="223"/>
      <c r="BD195" s="223"/>
      <c r="BE195" s="224"/>
      <c r="BF195" s="223"/>
      <c r="BG195" s="223"/>
      <c r="BH195" s="223"/>
      <c r="BI195" s="223"/>
      <c r="BJ195" s="223"/>
      <c r="BK195" s="223"/>
      <c r="BL195" s="223"/>
      <c r="BM195" s="223"/>
      <c r="BN195" s="223"/>
      <c r="BO195" s="223"/>
      <c r="BP195" s="223"/>
      <c r="BQ195" s="223"/>
      <c r="BR195" s="223"/>
      <c r="BS195" s="223"/>
      <c r="BT195" s="223"/>
      <c r="BU195" s="223"/>
      <c r="BV195" s="223"/>
      <c r="BW195" s="223"/>
      <c r="BX195" s="223"/>
      <c r="BY195" s="223"/>
      <c r="BZ195" s="223"/>
      <c r="CA195" s="223"/>
      <c r="CB195" s="223"/>
      <c r="CC195" s="223"/>
      <c r="CD195" s="223"/>
      <c r="CE195" s="223"/>
      <c r="CF195" s="223"/>
      <c r="CG195" s="223"/>
      <c r="CH195" s="223"/>
      <c r="CI195" s="223"/>
      <c r="CJ195" s="223"/>
      <c r="CK195" s="223"/>
      <c r="CL195" s="223"/>
      <c r="CM195" s="223"/>
      <c r="CN195" s="223"/>
      <c r="CO195" s="223"/>
      <c r="CP195" s="223"/>
      <c r="CQ195" s="223"/>
      <c r="CR195" s="223"/>
      <c r="CS195" s="223"/>
      <c r="CT195" s="223"/>
      <c r="CU195" s="223"/>
      <c r="CV195" s="223"/>
      <c r="CW195" s="223"/>
      <c r="CX195" s="223"/>
      <c r="CY195" s="223"/>
      <c r="CZ195" s="223"/>
      <c r="DA195" s="223"/>
      <c r="DB195" s="223"/>
      <c r="DC195" s="223"/>
      <c r="DD195" s="223"/>
      <c r="DE195" s="223"/>
      <c r="DF195" s="223"/>
      <c r="DG195" s="223"/>
      <c r="DH195" s="223"/>
      <c r="DI195" s="223"/>
      <c r="DJ195" s="223"/>
      <c r="DK195" s="223"/>
      <c r="DL195" s="223"/>
      <c r="DM195" s="223"/>
      <c r="DN195" s="223"/>
      <c r="DO195" s="223"/>
      <c r="DP195" s="223"/>
      <c r="DQ195" s="223"/>
      <c r="DR195" s="223"/>
      <c r="DS195" s="223"/>
      <c r="DT195" s="223"/>
      <c r="DU195" s="223"/>
      <c r="DV195" s="223"/>
      <c r="DW195" s="223"/>
      <c r="DX195" s="223"/>
      <c r="DY195" s="223"/>
      <c r="DZ195" s="48" t="s">
        <v>582</v>
      </c>
    </row>
    <row r="196" spans="4:130" x14ac:dyDescent="0.2">
      <c r="BA196" s="221">
        <v>191</v>
      </c>
      <c r="BB196" s="222"/>
      <c r="BC196" s="223"/>
      <c r="BD196" s="223"/>
      <c r="BE196" s="224"/>
      <c r="BF196" s="223"/>
      <c r="BG196" s="223"/>
      <c r="BH196" s="223"/>
      <c r="BI196" s="223"/>
      <c r="BJ196" s="223"/>
      <c r="BK196" s="223"/>
      <c r="BL196" s="223"/>
      <c r="BM196" s="223"/>
      <c r="BN196" s="223"/>
      <c r="BO196" s="223"/>
      <c r="BP196" s="223"/>
      <c r="BQ196" s="223"/>
      <c r="BR196" s="223"/>
      <c r="BS196" s="223"/>
      <c r="BT196" s="223"/>
      <c r="BU196" s="223"/>
      <c r="BV196" s="223"/>
      <c r="BW196" s="223"/>
      <c r="BX196" s="223"/>
      <c r="BY196" s="223"/>
      <c r="BZ196" s="223"/>
      <c r="CA196" s="223"/>
      <c r="CB196" s="223"/>
      <c r="CC196" s="223"/>
      <c r="CD196" s="223"/>
      <c r="CE196" s="223"/>
      <c r="CF196" s="223"/>
      <c r="CG196" s="223"/>
      <c r="CH196" s="223"/>
      <c r="CI196" s="223"/>
      <c r="CJ196" s="223"/>
      <c r="CK196" s="223"/>
      <c r="CL196" s="223"/>
      <c r="CM196" s="223"/>
      <c r="CN196" s="223"/>
      <c r="CO196" s="223"/>
      <c r="CP196" s="223"/>
      <c r="CQ196" s="223"/>
      <c r="CR196" s="223"/>
      <c r="CS196" s="223"/>
      <c r="CT196" s="223"/>
      <c r="CU196" s="223"/>
      <c r="CV196" s="223"/>
      <c r="CW196" s="223"/>
      <c r="CX196" s="223"/>
      <c r="CY196" s="223"/>
      <c r="CZ196" s="223"/>
      <c r="DA196" s="223"/>
      <c r="DB196" s="223"/>
      <c r="DC196" s="223"/>
      <c r="DD196" s="223"/>
      <c r="DE196" s="223"/>
      <c r="DF196" s="223"/>
      <c r="DG196" s="223"/>
      <c r="DH196" s="223"/>
      <c r="DI196" s="223"/>
      <c r="DJ196" s="223"/>
      <c r="DK196" s="223"/>
      <c r="DL196" s="223"/>
      <c r="DM196" s="223"/>
      <c r="DN196" s="223"/>
      <c r="DO196" s="223"/>
      <c r="DP196" s="223"/>
      <c r="DQ196" s="223"/>
      <c r="DR196" s="223"/>
      <c r="DS196" s="223"/>
      <c r="DT196" s="223"/>
      <c r="DU196" s="223"/>
      <c r="DV196" s="223"/>
      <c r="DW196" s="223"/>
      <c r="DX196" s="223"/>
      <c r="DY196" s="223"/>
      <c r="DZ196" s="48" t="s">
        <v>582</v>
      </c>
    </row>
    <row r="197" spans="4:130" x14ac:dyDescent="0.2">
      <c r="BA197" s="226">
        <v>192</v>
      </c>
      <c r="BB197" s="227"/>
      <c r="BC197" s="228"/>
      <c r="BD197" s="228"/>
      <c r="BE197" s="229"/>
      <c r="BF197" s="223"/>
      <c r="BG197" s="223"/>
      <c r="BH197" s="223"/>
      <c r="BI197" s="223"/>
      <c r="BJ197" s="223"/>
      <c r="BK197" s="223"/>
      <c r="BL197" s="223"/>
      <c r="BM197" s="223"/>
      <c r="BN197" s="223"/>
      <c r="BO197" s="223"/>
      <c r="BP197" s="223"/>
      <c r="BQ197" s="223"/>
      <c r="BR197" s="223"/>
      <c r="BS197" s="223"/>
      <c r="BT197" s="223"/>
      <c r="BU197" s="223"/>
      <c r="BV197" s="223"/>
      <c r="BW197" s="223"/>
      <c r="BX197" s="223"/>
      <c r="BY197" s="223"/>
      <c r="BZ197" s="223"/>
      <c r="CA197" s="223"/>
      <c r="CB197" s="223"/>
      <c r="CC197" s="223"/>
      <c r="CD197" s="223"/>
      <c r="CE197" s="223"/>
      <c r="CF197" s="223"/>
      <c r="CG197" s="223"/>
      <c r="CH197" s="223"/>
      <c r="CI197" s="223"/>
      <c r="CJ197" s="223"/>
      <c r="CK197" s="223"/>
      <c r="CL197" s="223"/>
      <c r="CM197" s="223"/>
      <c r="CN197" s="223"/>
      <c r="CO197" s="223"/>
      <c r="CP197" s="223"/>
      <c r="CQ197" s="223"/>
      <c r="CR197" s="223"/>
      <c r="CS197" s="223"/>
      <c r="CT197" s="223"/>
      <c r="CU197" s="223"/>
      <c r="CV197" s="223"/>
      <c r="CW197" s="223"/>
      <c r="CX197" s="223"/>
      <c r="CY197" s="223"/>
      <c r="CZ197" s="223"/>
      <c r="DA197" s="223"/>
      <c r="DB197" s="223"/>
      <c r="DC197" s="223"/>
      <c r="DD197" s="223"/>
      <c r="DE197" s="223"/>
      <c r="DF197" s="223"/>
      <c r="DG197" s="223"/>
      <c r="DH197" s="223"/>
      <c r="DI197" s="223"/>
      <c r="DJ197" s="223"/>
      <c r="DK197" s="223"/>
      <c r="DL197" s="223"/>
      <c r="DM197" s="223"/>
      <c r="DN197" s="223"/>
      <c r="DO197" s="223"/>
      <c r="DP197" s="223"/>
      <c r="DQ197" s="223"/>
      <c r="DR197" s="223"/>
      <c r="DS197" s="223"/>
      <c r="DT197" s="223"/>
      <c r="DU197" s="223"/>
      <c r="DV197" s="223"/>
      <c r="DW197" s="223"/>
      <c r="DX197" s="223"/>
      <c r="DY197" s="223"/>
      <c r="DZ197" s="51" t="s">
        <v>582</v>
      </c>
    </row>
    <row r="198" spans="4:130" x14ac:dyDescent="0.2">
      <c r="BA198" s="217">
        <v>193</v>
      </c>
      <c r="BB198" s="218" t="s">
        <v>738</v>
      </c>
      <c r="BC198" s="219"/>
      <c r="BD198" s="219"/>
      <c r="BE198" s="220"/>
      <c r="BF198" s="219"/>
      <c r="BG198" s="219"/>
      <c r="BH198" s="219"/>
      <c r="BI198" s="219"/>
      <c r="BJ198" s="219"/>
      <c r="BK198" s="219"/>
      <c r="BL198" s="219"/>
      <c r="BM198" s="219"/>
      <c r="BN198" s="219"/>
      <c r="BO198" s="219"/>
      <c r="BP198" s="219"/>
      <c r="BQ198" s="219"/>
      <c r="BR198" s="219"/>
      <c r="BS198" s="219"/>
      <c r="BT198" s="219"/>
      <c r="BU198" s="219"/>
      <c r="BV198" s="219"/>
      <c r="BW198" s="219"/>
      <c r="BX198" s="219"/>
      <c r="BY198" s="219"/>
      <c r="BZ198" s="219"/>
      <c r="CA198" s="219"/>
      <c r="CB198" s="219"/>
      <c r="CC198" s="219"/>
      <c r="CD198" s="219"/>
      <c r="CE198" s="219"/>
      <c r="CF198" s="219"/>
      <c r="CG198" s="219"/>
      <c r="CH198" s="219"/>
      <c r="CI198" s="219"/>
      <c r="CJ198" s="219"/>
      <c r="CK198" s="219"/>
      <c r="CL198" s="219"/>
      <c r="CM198" s="219"/>
      <c r="CN198" s="219"/>
      <c r="CO198" s="219"/>
      <c r="CP198" s="219"/>
      <c r="CQ198" s="219"/>
      <c r="CR198" s="219"/>
      <c r="CS198" s="219"/>
      <c r="CT198" s="219"/>
      <c r="CU198" s="219"/>
      <c r="CV198" s="219"/>
      <c r="CW198" s="219"/>
      <c r="CX198" s="219"/>
      <c r="CY198" s="219"/>
      <c r="CZ198" s="219"/>
      <c r="DA198" s="219"/>
      <c r="DB198" s="219"/>
      <c r="DC198" s="219"/>
      <c r="DD198" s="219"/>
      <c r="DE198" s="219"/>
      <c r="DF198" s="219"/>
      <c r="DG198" s="219"/>
      <c r="DH198" s="219"/>
      <c r="DI198" s="219"/>
      <c r="DJ198" s="219"/>
      <c r="DK198" s="219"/>
      <c r="DL198" s="219"/>
      <c r="DM198" s="219"/>
      <c r="DN198" s="219"/>
      <c r="DO198" s="219"/>
      <c r="DP198" s="219"/>
      <c r="DQ198" s="219"/>
      <c r="DR198" s="219"/>
      <c r="DS198" s="219"/>
      <c r="DT198" s="219"/>
      <c r="DU198" s="219"/>
      <c r="DV198" s="219"/>
      <c r="DW198" s="219"/>
      <c r="DX198" s="219"/>
      <c r="DY198" s="219"/>
      <c r="DZ198" s="45" t="s">
        <v>582</v>
      </c>
    </row>
    <row r="199" spans="4:130" x14ac:dyDescent="0.2">
      <c r="D199" s="3" t="s">
        <v>490</v>
      </c>
      <c r="E199" s="3" t="s">
        <v>626</v>
      </c>
      <c r="BA199" s="221">
        <v>194</v>
      </c>
      <c r="BB199" s="222" t="s">
        <v>885</v>
      </c>
      <c r="BC199" s="223"/>
      <c r="BD199" s="223"/>
      <c r="BE199" s="224"/>
      <c r="BF199" s="223"/>
      <c r="BG199" s="223"/>
      <c r="BH199" s="223"/>
      <c r="BI199" s="223"/>
      <c r="BJ199" s="223"/>
      <c r="BK199" s="223"/>
      <c r="BL199" s="223"/>
      <c r="BM199" s="223"/>
      <c r="BN199" s="223"/>
      <c r="BO199" s="223"/>
      <c r="BP199" s="223"/>
      <c r="BQ199" s="223"/>
      <c r="BR199" s="223"/>
      <c r="BS199" s="223"/>
      <c r="BT199" s="223"/>
      <c r="BU199" s="223"/>
      <c r="BV199" s="223"/>
      <c r="BW199" s="223"/>
      <c r="BX199" s="223"/>
      <c r="BY199" s="223"/>
      <c r="BZ199" s="223"/>
      <c r="CA199" s="223"/>
      <c r="CB199" s="223"/>
      <c r="CC199" s="223"/>
      <c r="CD199" s="223"/>
      <c r="CE199" s="223"/>
      <c r="CF199" s="223"/>
      <c r="CG199" s="223"/>
      <c r="CH199" s="223"/>
      <c r="CI199" s="223"/>
      <c r="CJ199" s="223"/>
      <c r="CK199" s="223"/>
      <c r="CL199" s="223"/>
      <c r="CM199" s="223"/>
      <c r="CN199" s="223"/>
      <c r="CO199" s="223"/>
      <c r="CP199" s="223"/>
      <c r="CQ199" s="223"/>
      <c r="CR199" s="223"/>
      <c r="CS199" s="223"/>
      <c r="CT199" s="223"/>
      <c r="CU199" s="223"/>
      <c r="CV199" s="223"/>
      <c r="CW199" s="223"/>
      <c r="CX199" s="223"/>
      <c r="CY199" s="223"/>
      <c r="CZ199" s="223"/>
      <c r="DA199" s="223"/>
      <c r="DB199" s="223"/>
      <c r="DC199" s="223"/>
      <c r="DD199" s="223"/>
      <c r="DE199" s="223"/>
      <c r="DF199" s="223"/>
      <c r="DG199" s="223"/>
      <c r="DH199" s="223"/>
      <c r="DI199" s="223"/>
      <c r="DJ199" s="223"/>
      <c r="DK199" s="223"/>
      <c r="DL199" s="223"/>
      <c r="DM199" s="223"/>
      <c r="DN199" s="223"/>
      <c r="DO199" s="223"/>
      <c r="DP199" s="223"/>
      <c r="DQ199" s="223"/>
      <c r="DR199" s="223"/>
      <c r="DS199" s="223"/>
      <c r="DT199" s="223"/>
      <c r="DU199" s="223"/>
      <c r="DV199" s="223"/>
      <c r="DW199" s="223"/>
      <c r="DX199" s="223"/>
      <c r="DY199" s="223"/>
      <c r="DZ199" s="48" t="s">
        <v>582</v>
      </c>
    </row>
    <row r="200" spans="4:130" x14ac:dyDescent="0.2">
      <c r="D200" s="2"/>
      <c r="E200" s="3">
        <f ca="1">RAND()*0+IF($P$28="Igen",(SIN((360/$H$30*(ROW()-200)*0.1/2*$J$30+$P$31)*PI()/180)*$N$31*IF($J$30=$J$31,1,$E$18)),0)</f>
        <v>-2.7997120975197114</v>
      </c>
      <c r="BA200" s="221">
        <v>195</v>
      </c>
      <c r="BB200" s="222"/>
      <c r="BC200" s="223"/>
      <c r="BD200" s="223"/>
      <c r="BE200" s="224"/>
      <c r="BF200" s="223"/>
      <c r="BG200" s="223"/>
      <c r="BH200" s="223"/>
      <c r="BI200" s="223"/>
      <c r="BJ200" s="223"/>
      <c r="BK200" s="223"/>
      <c r="BL200" s="223"/>
      <c r="BM200" s="223"/>
      <c r="BN200" s="223"/>
      <c r="BO200" s="223"/>
      <c r="BP200" s="223"/>
      <c r="BQ200" s="223"/>
      <c r="BR200" s="223"/>
      <c r="BS200" s="223"/>
      <c r="BT200" s="223"/>
      <c r="BU200" s="223"/>
      <c r="BV200" s="223"/>
      <c r="BW200" s="223"/>
      <c r="BX200" s="223"/>
      <c r="BY200" s="223"/>
      <c r="BZ200" s="223"/>
      <c r="CA200" s="223"/>
      <c r="CB200" s="223"/>
      <c r="CC200" s="223"/>
      <c r="CD200" s="223"/>
      <c r="CE200" s="223"/>
      <c r="CF200" s="223"/>
      <c r="CG200" s="223"/>
      <c r="CH200" s="223"/>
      <c r="CI200" s="223"/>
      <c r="CJ200" s="223"/>
      <c r="CK200" s="223"/>
      <c r="CL200" s="223"/>
      <c r="CM200" s="223"/>
      <c r="CN200" s="223"/>
      <c r="CO200" s="223"/>
      <c r="CP200" s="223"/>
      <c r="CQ200" s="223"/>
      <c r="CR200" s="223"/>
      <c r="CS200" s="223"/>
      <c r="CT200" s="223"/>
      <c r="CU200" s="223"/>
      <c r="CV200" s="223"/>
      <c r="CW200" s="223"/>
      <c r="CX200" s="223"/>
      <c r="CY200" s="223"/>
      <c r="CZ200" s="223"/>
      <c r="DA200" s="223"/>
      <c r="DB200" s="223"/>
      <c r="DC200" s="223"/>
      <c r="DD200" s="223"/>
      <c r="DE200" s="223"/>
      <c r="DF200" s="223"/>
      <c r="DG200" s="223"/>
      <c r="DH200" s="223"/>
      <c r="DI200" s="223"/>
      <c r="DJ200" s="223"/>
      <c r="DK200" s="223"/>
      <c r="DL200" s="223"/>
      <c r="DM200" s="223"/>
      <c r="DN200" s="223"/>
      <c r="DO200" s="223"/>
      <c r="DP200" s="223"/>
      <c r="DQ200" s="223"/>
      <c r="DR200" s="223"/>
      <c r="DS200" s="223"/>
      <c r="DT200" s="223"/>
      <c r="DU200" s="223"/>
      <c r="DV200" s="223"/>
      <c r="DW200" s="223"/>
      <c r="DX200" s="223"/>
      <c r="DY200" s="223"/>
      <c r="DZ200" s="48" t="s">
        <v>582</v>
      </c>
    </row>
    <row r="201" spans="4:130" x14ac:dyDescent="0.2">
      <c r="D201" s="2"/>
      <c r="E201" s="3">
        <f ca="1">RAND()*0+IF($P$28="Igen",(SIN((360/$H$30*(ROW()-200)*0.1/2*$J$30+$P$31)*PI()/180)*$N$31*IF($J$30=$J$31,1,$E$18)),0)</f>
        <v>-2.6218200184535574</v>
      </c>
      <c r="BA201" s="226">
        <v>196</v>
      </c>
      <c r="BB201" s="227"/>
      <c r="BC201" s="228"/>
      <c r="BD201" s="228"/>
      <c r="BE201" s="229"/>
      <c r="BF201" s="223"/>
      <c r="BG201" s="223"/>
      <c r="BH201" s="223"/>
      <c r="BI201" s="223"/>
      <c r="BJ201" s="223"/>
      <c r="BK201" s="223"/>
      <c r="BL201" s="223"/>
      <c r="BM201" s="223"/>
      <c r="BN201" s="223"/>
      <c r="BO201" s="223"/>
      <c r="BP201" s="223"/>
      <c r="BQ201" s="223"/>
      <c r="BR201" s="223"/>
      <c r="BS201" s="223"/>
      <c r="BT201" s="223"/>
      <c r="BU201" s="223"/>
      <c r="BV201" s="223"/>
      <c r="BW201" s="223"/>
      <c r="BX201" s="223"/>
      <c r="BY201" s="223"/>
      <c r="BZ201" s="223"/>
      <c r="CA201" s="223"/>
      <c r="CB201" s="223"/>
      <c r="CC201" s="223"/>
      <c r="CD201" s="223"/>
      <c r="CE201" s="223"/>
      <c r="CF201" s="223"/>
      <c r="CG201" s="223"/>
      <c r="CH201" s="223"/>
      <c r="CI201" s="223"/>
      <c r="CJ201" s="223"/>
      <c r="CK201" s="223"/>
      <c r="CL201" s="223"/>
      <c r="CM201" s="223"/>
      <c r="CN201" s="223"/>
      <c r="CO201" s="223"/>
      <c r="CP201" s="223"/>
      <c r="CQ201" s="223"/>
      <c r="CR201" s="223"/>
      <c r="CS201" s="223"/>
      <c r="CT201" s="223"/>
      <c r="CU201" s="223"/>
      <c r="CV201" s="223"/>
      <c r="CW201" s="223"/>
      <c r="CX201" s="223"/>
      <c r="CY201" s="223"/>
      <c r="CZ201" s="223"/>
      <c r="DA201" s="223"/>
      <c r="DB201" s="223"/>
      <c r="DC201" s="223"/>
      <c r="DD201" s="223"/>
      <c r="DE201" s="223"/>
      <c r="DF201" s="223"/>
      <c r="DG201" s="223"/>
      <c r="DH201" s="223"/>
      <c r="DI201" s="223"/>
      <c r="DJ201" s="223"/>
      <c r="DK201" s="223"/>
      <c r="DL201" s="223"/>
      <c r="DM201" s="223"/>
      <c r="DN201" s="223"/>
      <c r="DO201" s="223"/>
      <c r="DP201" s="223"/>
      <c r="DQ201" s="223"/>
      <c r="DR201" s="223"/>
      <c r="DS201" s="223"/>
      <c r="DT201" s="223"/>
      <c r="DU201" s="223"/>
      <c r="DV201" s="223"/>
      <c r="DW201" s="223"/>
      <c r="DX201" s="223"/>
      <c r="DY201" s="223"/>
      <c r="DZ201" s="51" t="s">
        <v>582</v>
      </c>
    </row>
    <row r="202" spans="4:130" x14ac:dyDescent="0.2">
      <c r="D202" s="2"/>
      <c r="E202" s="3">
        <f t="shared" ref="E202:E265" ca="1" si="66">RAND()*0+IF($P$28="Igen",(SIN((360/$H$30*(ROW()-200)*0.1/2*$J$30+$P$31)*PI()/180)*$N$31*IF($J$30=$J$31,1,$E$18)),0)</f>
        <v>-2.4421310749095886</v>
      </c>
      <c r="BA202" s="217">
        <v>197</v>
      </c>
      <c r="BB202" s="218" t="s">
        <v>745</v>
      </c>
      <c r="BC202" s="219"/>
      <c r="BD202" s="219"/>
      <c r="BE202" s="220"/>
      <c r="BF202" s="219"/>
      <c r="BG202" s="219"/>
      <c r="BH202" s="219"/>
      <c r="BI202" s="219"/>
      <c r="BJ202" s="219"/>
      <c r="BK202" s="219"/>
      <c r="BL202" s="219"/>
      <c r="BM202" s="219"/>
      <c r="BN202" s="219"/>
      <c r="BO202" s="219"/>
      <c r="BP202" s="219"/>
      <c r="BQ202" s="219"/>
      <c r="BR202" s="219"/>
      <c r="BS202" s="219"/>
      <c r="BT202" s="219"/>
      <c r="BU202" s="219"/>
      <c r="BV202" s="219"/>
      <c r="BW202" s="219"/>
      <c r="BX202" s="219"/>
      <c r="BY202" s="219"/>
      <c r="BZ202" s="219"/>
      <c r="CA202" s="219"/>
      <c r="CB202" s="219"/>
      <c r="CC202" s="219"/>
      <c r="CD202" s="219"/>
      <c r="CE202" s="219"/>
      <c r="CF202" s="219"/>
      <c r="CG202" s="219"/>
      <c r="CH202" s="219"/>
      <c r="CI202" s="219"/>
      <c r="CJ202" s="219"/>
      <c r="CK202" s="219"/>
      <c r="CL202" s="219"/>
      <c r="CM202" s="219"/>
      <c r="CN202" s="219"/>
      <c r="CO202" s="219"/>
      <c r="CP202" s="219"/>
      <c r="CQ202" s="219"/>
      <c r="CR202" s="219"/>
      <c r="CS202" s="219"/>
      <c r="CT202" s="219"/>
      <c r="CU202" s="219"/>
      <c r="CV202" s="219"/>
      <c r="CW202" s="219"/>
      <c r="CX202" s="219"/>
      <c r="CY202" s="219"/>
      <c r="CZ202" s="219"/>
      <c r="DA202" s="219"/>
      <c r="DB202" s="219"/>
      <c r="DC202" s="219"/>
      <c r="DD202" s="219"/>
      <c r="DE202" s="219"/>
      <c r="DF202" s="219"/>
      <c r="DG202" s="219"/>
      <c r="DH202" s="219"/>
      <c r="DI202" s="219"/>
      <c r="DJ202" s="219"/>
      <c r="DK202" s="219"/>
      <c r="DL202" s="219"/>
      <c r="DM202" s="219"/>
      <c r="DN202" s="219"/>
      <c r="DO202" s="219"/>
      <c r="DP202" s="219"/>
      <c r="DQ202" s="219"/>
      <c r="DR202" s="219"/>
      <c r="DS202" s="219"/>
      <c r="DT202" s="219"/>
      <c r="DU202" s="219"/>
      <c r="DV202" s="219"/>
      <c r="DW202" s="219"/>
      <c r="DX202" s="219"/>
      <c r="DY202" s="219"/>
      <c r="DZ202" s="45" t="s">
        <v>582</v>
      </c>
    </row>
    <row r="203" spans="4:130" x14ac:dyDescent="0.2">
      <c r="D203" s="2"/>
      <c r="E203" s="3">
        <f t="shared" ca="1" si="66"/>
        <v>-2.2607684167140456</v>
      </c>
      <c r="BA203" s="221">
        <v>198</v>
      </c>
      <c r="BB203" s="222" t="s">
        <v>886</v>
      </c>
      <c r="BC203" s="223"/>
      <c r="BD203" s="223"/>
      <c r="BE203" s="224"/>
      <c r="BF203" s="223"/>
      <c r="BG203" s="223"/>
      <c r="BH203" s="223"/>
      <c r="BI203" s="223"/>
      <c r="BJ203" s="223"/>
      <c r="BK203" s="223"/>
      <c r="BL203" s="223"/>
      <c r="BM203" s="223"/>
      <c r="BN203" s="223"/>
      <c r="BO203" s="223"/>
      <c r="BP203" s="223"/>
      <c r="BQ203" s="223"/>
      <c r="BR203" s="223"/>
      <c r="BS203" s="223"/>
      <c r="BT203" s="223"/>
      <c r="BU203" s="223"/>
      <c r="BV203" s="223"/>
      <c r="BW203" s="223"/>
      <c r="BX203" s="223"/>
      <c r="BY203" s="223"/>
      <c r="BZ203" s="223"/>
      <c r="CA203" s="223"/>
      <c r="CB203" s="223"/>
      <c r="CC203" s="223"/>
      <c r="CD203" s="223"/>
      <c r="CE203" s="223"/>
      <c r="CF203" s="223"/>
      <c r="CG203" s="223"/>
      <c r="CH203" s="223"/>
      <c r="CI203" s="223"/>
      <c r="CJ203" s="223"/>
      <c r="CK203" s="223"/>
      <c r="CL203" s="223"/>
      <c r="CM203" s="223"/>
      <c r="CN203" s="223"/>
      <c r="CO203" s="223"/>
      <c r="CP203" s="223"/>
      <c r="CQ203" s="223"/>
      <c r="CR203" s="223"/>
      <c r="CS203" s="223"/>
      <c r="CT203" s="223"/>
      <c r="CU203" s="223"/>
      <c r="CV203" s="223"/>
      <c r="CW203" s="223"/>
      <c r="CX203" s="223"/>
      <c r="CY203" s="223"/>
      <c r="CZ203" s="223"/>
      <c r="DA203" s="223"/>
      <c r="DB203" s="223"/>
      <c r="DC203" s="223"/>
      <c r="DD203" s="223"/>
      <c r="DE203" s="223"/>
      <c r="DF203" s="223"/>
      <c r="DG203" s="223"/>
      <c r="DH203" s="223"/>
      <c r="DI203" s="223"/>
      <c r="DJ203" s="223"/>
      <c r="DK203" s="223"/>
      <c r="DL203" s="223"/>
      <c r="DM203" s="223"/>
      <c r="DN203" s="223"/>
      <c r="DO203" s="223"/>
      <c r="DP203" s="223"/>
      <c r="DQ203" s="223"/>
      <c r="DR203" s="223"/>
      <c r="DS203" s="223"/>
      <c r="DT203" s="223"/>
      <c r="DU203" s="223"/>
      <c r="DV203" s="223"/>
      <c r="DW203" s="223"/>
      <c r="DX203" s="223"/>
      <c r="DY203" s="223"/>
      <c r="DZ203" s="48" t="s">
        <v>582</v>
      </c>
    </row>
    <row r="204" spans="4:130" x14ac:dyDescent="0.2">
      <c r="D204" s="2"/>
      <c r="E204" s="3">
        <f t="shared" ca="1" si="66"/>
        <v>-2.0778563407735886</v>
      </c>
      <c r="BA204" s="221">
        <v>199</v>
      </c>
      <c r="BB204" s="222"/>
      <c r="BC204" s="223"/>
      <c r="BD204" s="223"/>
      <c r="BE204" s="224"/>
      <c r="BF204" s="223"/>
      <c r="BG204" s="223"/>
      <c r="BH204" s="223"/>
      <c r="BI204" s="223"/>
      <c r="BJ204" s="223"/>
      <c r="BK204" s="223"/>
      <c r="BL204" s="223"/>
      <c r="BM204" s="223"/>
      <c r="BN204" s="223"/>
      <c r="BO204" s="223"/>
      <c r="BP204" s="223"/>
      <c r="BQ204" s="223"/>
      <c r="BR204" s="223"/>
      <c r="BS204" s="223"/>
      <c r="BT204" s="223"/>
      <c r="BU204" s="223"/>
      <c r="BV204" s="223"/>
      <c r="BW204" s="223"/>
      <c r="BX204" s="223"/>
      <c r="BY204" s="223"/>
      <c r="BZ204" s="223"/>
      <c r="CA204" s="223"/>
      <c r="CB204" s="223"/>
      <c r="CC204" s="223"/>
      <c r="CD204" s="223"/>
      <c r="CE204" s="223"/>
      <c r="CF204" s="223"/>
      <c r="CG204" s="223"/>
      <c r="CH204" s="223"/>
      <c r="CI204" s="223"/>
      <c r="CJ204" s="223"/>
      <c r="CK204" s="223"/>
      <c r="CL204" s="223"/>
      <c r="CM204" s="223"/>
      <c r="CN204" s="223"/>
      <c r="CO204" s="223"/>
      <c r="CP204" s="223"/>
      <c r="CQ204" s="223"/>
      <c r="CR204" s="223"/>
      <c r="CS204" s="223"/>
      <c r="CT204" s="223"/>
      <c r="CU204" s="223"/>
      <c r="CV204" s="223"/>
      <c r="CW204" s="223"/>
      <c r="CX204" s="223"/>
      <c r="CY204" s="223"/>
      <c r="CZ204" s="223"/>
      <c r="DA204" s="223"/>
      <c r="DB204" s="223"/>
      <c r="DC204" s="223"/>
      <c r="DD204" s="223"/>
      <c r="DE204" s="223"/>
      <c r="DF204" s="223"/>
      <c r="DG204" s="223"/>
      <c r="DH204" s="223"/>
      <c r="DI204" s="223"/>
      <c r="DJ204" s="223"/>
      <c r="DK204" s="223"/>
      <c r="DL204" s="223"/>
      <c r="DM204" s="223"/>
      <c r="DN204" s="223"/>
      <c r="DO204" s="223"/>
      <c r="DP204" s="223"/>
      <c r="DQ204" s="223"/>
      <c r="DR204" s="223"/>
      <c r="DS204" s="223"/>
      <c r="DT204" s="223"/>
      <c r="DU204" s="223"/>
      <c r="DV204" s="223"/>
      <c r="DW204" s="223"/>
      <c r="DX204" s="223"/>
      <c r="DY204" s="223"/>
      <c r="DZ204" s="48" t="s">
        <v>582</v>
      </c>
    </row>
    <row r="205" spans="4:130" x14ac:dyDescent="0.2">
      <c r="D205" s="2"/>
      <c r="E205" s="3">
        <f t="shared" ca="1" si="66"/>
        <v>-1.8935202058884055</v>
      </c>
      <c r="BA205" s="226">
        <v>200</v>
      </c>
      <c r="BB205" s="227"/>
      <c r="BC205" s="228"/>
      <c r="BD205" s="228"/>
      <c r="BE205" s="229"/>
      <c r="BF205" s="223"/>
      <c r="BG205" s="223"/>
      <c r="BH205" s="223"/>
      <c r="BI205" s="223"/>
      <c r="BJ205" s="223"/>
      <c r="BK205" s="223"/>
      <c r="BL205" s="223"/>
      <c r="BM205" s="223"/>
      <c r="BN205" s="223"/>
      <c r="BO205" s="223"/>
      <c r="BP205" s="223"/>
      <c r="BQ205" s="223"/>
      <c r="BR205" s="223"/>
      <c r="BS205" s="223"/>
      <c r="BT205" s="223"/>
      <c r="BU205" s="223"/>
      <c r="BV205" s="223"/>
      <c r="BW205" s="223"/>
      <c r="BX205" s="223"/>
      <c r="BY205" s="223"/>
      <c r="BZ205" s="223"/>
      <c r="CA205" s="223"/>
      <c r="CB205" s="223"/>
      <c r="CC205" s="223"/>
      <c r="CD205" s="223"/>
      <c r="CE205" s="223"/>
      <c r="CF205" s="223"/>
      <c r="CG205" s="223"/>
      <c r="CH205" s="223"/>
      <c r="CI205" s="223"/>
      <c r="CJ205" s="223"/>
      <c r="CK205" s="223"/>
      <c r="CL205" s="223"/>
      <c r="CM205" s="223"/>
      <c r="CN205" s="223"/>
      <c r="CO205" s="223"/>
      <c r="CP205" s="223"/>
      <c r="CQ205" s="223"/>
      <c r="CR205" s="223"/>
      <c r="CS205" s="223"/>
      <c r="CT205" s="223"/>
      <c r="CU205" s="223"/>
      <c r="CV205" s="223"/>
      <c r="CW205" s="223"/>
      <c r="CX205" s="223"/>
      <c r="CY205" s="223"/>
      <c r="CZ205" s="223"/>
      <c r="DA205" s="223"/>
      <c r="DB205" s="223"/>
      <c r="DC205" s="223"/>
      <c r="DD205" s="223"/>
      <c r="DE205" s="223"/>
      <c r="DF205" s="223"/>
      <c r="DG205" s="223"/>
      <c r="DH205" s="223"/>
      <c r="DI205" s="223"/>
      <c r="DJ205" s="223"/>
      <c r="DK205" s="223"/>
      <c r="DL205" s="223"/>
      <c r="DM205" s="223"/>
      <c r="DN205" s="223"/>
      <c r="DO205" s="223"/>
      <c r="DP205" s="223"/>
      <c r="DQ205" s="223"/>
      <c r="DR205" s="223"/>
      <c r="DS205" s="223"/>
      <c r="DT205" s="223"/>
      <c r="DU205" s="223"/>
      <c r="DV205" s="223"/>
      <c r="DW205" s="223"/>
      <c r="DX205" s="223"/>
      <c r="DY205" s="223"/>
      <c r="DZ205" s="51" t="s">
        <v>582</v>
      </c>
    </row>
    <row r="206" spans="4:130" x14ac:dyDescent="0.2">
      <c r="D206" s="2"/>
      <c r="E206" s="3">
        <f t="shared" ca="1" si="66"/>
        <v>-1.707886346837552</v>
      </c>
      <c r="BA206" s="217"/>
      <c r="BB206" s="218"/>
      <c r="BC206" s="219"/>
      <c r="BD206" s="219"/>
      <c r="BE206" s="220"/>
      <c r="BF206" s="219"/>
      <c r="BG206" s="219"/>
      <c r="BH206" s="219"/>
      <c r="BI206" s="219"/>
      <c r="BJ206" s="219"/>
      <c r="BK206" s="219"/>
      <c r="BL206" s="219"/>
      <c r="BM206" s="219"/>
      <c r="BN206" s="219"/>
      <c r="BO206" s="219"/>
      <c r="BP206" s="219"/>
      <c r="BQ206" s="219"/>
      <c r="BR206" s="219"/>
      <c r="BS206" s="219"/>
      <c r="BT206" s="219"/>
      <c r="BU206" s="219"/>
      <c r="BV206" s="219"/>
      <c r="BW206" s="219"/>
      <c r="BX206" s="219"/>
      <c r="BY206" s="219"/>
      <c r="BZ206" s="219"/>
      <c r="CA206" s="219"/>
      <c r="CB206" s="219"/>
      <c r="CC206" s="219"/>
      <c r="CD206" s="219"/>
      <c r="CE206" s="219"/>
      <c r="CF206" s="219"/>
      <c r="CG206" s="219"/>
      <c r="CH206" s="219"/>
      <c r="CI206" s="219"/>
      <c r="CJ206" s="219"/>
      <c r="CK206" s="219"/>
      <c r="CL206" s="219"/>
      <c r="CM206" s="219"/>
      <c r="CN206" s="219"/>
      <c r="CO206" s="219"/>
      <c r="CP206" s="219"/>
      <c r="CQ206" s="219"/>
      <c r="CR206" s="219"/>
      <c r="CS206" s="219"/>
      <c r="CT206" s="219"/>
      <c r="CU206" s="219"/>
      <c r="CV206" s="219"/>
      <c r="CW206" s="219"/>
      <c r="CX206" s="219"/>
      <c r="CY206" s="219"/>
      <c r="CZ206" s="219"/>
      <c r="DA206" s="219"/>
      <c r="DB206" s="219"/>
      <c r="DC206" s="219"/>
      <c r="DD206" s="219"/>
      <c r="DE206" s="219"/>
      <c r="DF206" s="219"/>
      <c r="DG206" s="219"/>
      <c r="DH206" s="219"/>
      <c r="DI206" s="219"/>
      <c r="DJ206" s="219"/>
      <c r="DK206" s="219"/>
      <c r="DL206" s="219"/>
      <c r="DM206" s="219"/>
      <c r="DN206" s="219"/>
      <c r="DO206" s="219"/>
      <c r="DP206" s="219"/>
      <c r="DQ206" s="219"/>
      <c r="DR206" s="219"/>
      <c r="DS206" s="219"/>
      <c r="DT206" s="219"/>
      <c r="DU206" s="219"/>
      <c r="DV206" s="219"/>
      <c r="DW206" s="219"/>
      <c r="DX206" s="219"/>
      <c r="DY206" s="219"/>
      <c r="DZ206" s="45" t="s">
        <v>582</v>
      </c>
    </row>
    <row r="207" spans="4:130" x14ac:dyDescent="0.2">
      <c r="D207" s="2"/>
      <c r="E207" s="3">
        <f t="shared" ca="1" si="66"/>
        <v>-1.5210819877954018</v>
      </c>
      <c r="BA207" s="221"/>
      <c r="BB207" s="222"/>
      <c r="BC207" s="223"/>
      <c r="BD207" s="223"/>
      <c r="BE207" s="224"/>
      <c r="BF207" s="223"/>
      <c r="BG207" s="223"/>
      <c r="BH207" s="223"/>
      <c r="BI207" s="223"/>
      <c r="BJ207" s="223"/>
      <c r="BK207" s="223"/>
      <c r="BL207" s="223"/>
      <c r="BM207" s="223"/>
      <c r="BN207" s="223"/>
      <c r="BO207" s="223"/>
      <c r="BP207" s="223"/>
      <c r="BQ207" s="223"/>
      <c r="BR207" s="223"/>
      <c r="BS207" s="223"/>
      <c r="BT207" s="223"/>
      <c r="BU207" s="223"/>
      <c r="BV207" s="223"/>
      <c r="BW207" s="223"/>
      <c r="BX207" s="223"/>
      <c r="BY207" s="223"/>
      <c r="BZ207" s="223"/>
      <c r="CA207" s="223"/>
      <c r="CB207" s="223"/>
      <c r="CC207" s="223"/>
      <c r="CD207" s="223"/>
      <c r="CE207" s="223"/>
      <c r="CF207" s="223"/>
      <c r="CG207" s="223"/>
      <c r="CH207" s="223"/>
      <c r="CI207" s="223"/>
      <c r="CJ207" s="223"/>
      <c r="CK207" s="223"/>
      <c r="CL207" s="223"/>
      <c r="CM207" s="223"/>
      <c r="CN207" s="223"/>
      <c r="CO207" s="223"/>
      <c r="CP207" s="223"/>
      <c r="CQ207" s="223"/>
      <c r="CR207" s="223"/>
      <c r="CS207" s="223"/>
      <c r="CT207" s="223"/>
      <c r="CU207" s="223"/>
      <c r="CV207" s="223"/>
      <c r="CW207" s="223"/>
      <c r="CX207" s="223"/>
      <c r="CY207" s="223"/>
      <c r="CZ207" s="223"/>
      <c r="DA207" s="223"/>
      <c r="DB207" s="223"/>
      <c r="DC207" s="223"/>
      <c r="DD207" s="223"/>
      <c r="DE207" s="223"/>
      <c r="DF207" s="223"/>
      <c r="DG207" s="223"/>
      <c r="DH207" s="223"/>
      <c r="DI207" s="223"/>
      <c r="DJ207" s="223"/>
      <c r="DK207" s="223"/>
      <c r="DL207" s="223"/>
      <c r="DM207" s="223"/>
      <c r="DN207" s="223"/>
      <c r="DO207" s="223"/>
      <c r="DP207" s="223"/>
      <c r="DQ207" s="223"/>
      <c r="DR207" s="223"/>
      <c r="DS207" s="223"/>
      <c r="DT207" s="223"/>
      <c r="DU207" s="223"/>
      <c r="DV207" s="223"/>
      <c r="DW207" s="223"/>
      <c r="DX207" s="223"/>
      <c r="DY207" s="223"/>
      <c r="DZ207" s="48" t="s">
        <v>582</v>
      </c>
    </row>
    <row r="208" spans="4:130" x14ac:dyDescent="0.2">
      <c r="D208" s="2"/>
      <c r="E208" s="3">
        <f t="shared" ca="1" si="66"/>
        <v>-1.3332351551385577</v>
      </c>
      <c r="BA208" s="221"/>
      <c r="BB208" s="222"/>
      <c r="BC208" s="223"/>
      <c r="BD208" s="223"/>
      <c r="BE208" s="224"/>
      <c r="BF208" s="223"/>
      <c r="BG208" s="223"/>
      <c r="BH208" s="223"/>
      <c r="BI208" s="223"/>
      <c r="BJ208" s="223"/>
      <c r="BK208" s="223"/>
      <c r="BL208" s="223"/>
      <c r="BM208" s="223"/>
      <c r="BN208" s="223"/>
      <c r="BO208" s="223"/>
      <c r="BP208" s="223"/>
      <c r="BQ208" s="223"/>
      <c r="BR208" s="223"/>
      <c r="BS208" s="223"/>
      <c r="BT208" s="223"/>
      <c r="BU208" s="223"/>
      <c r="BV208" s="223"/>
      <c r="BW208" s="223"/>
      <c r="BX208" s="223"/>
      <c r="BY208" s="223"/>
      <c r="BZ208" s="223"/>
      <c r="CA208" s="223"/>
      <c r="CB208" s="223"/>
      <c r="CC208" s="223"/>
      <c r="CD208" s="223"/>
      <c r="CE208" s="223"/>
      <c r="CF208" s="223"/>
      <c r="CG208" s="223"/>
      <c r="CH208" s="223"/>
      <c r="CI208" s="223"/>
      <c r="CJ208" s="223"/>
      <c r="CK208" s="223"/>
      <c r="CL208" s="223"/>
      <c r="CM208" s="223"/>
      <c r="CN208" s="223"/>
      <c r="CO208" s="223"/>
      <c r="CP208" s="223"/>
      <c r="CQ208" s="223"/>
      <c r="CR208" s="223"/>
      <c r="CS208" s="223"/>
      <c r="CT208" s="223"/>
      <c r="CU208" s="223"/>
      <c r="CV208" s="223"/>
      <c r="CW208" s="223"/>
      <c r="CX208" s="223"/>
      <c r="CY208" s="223"/>
      <c r="CZ208" s="223"/>
      <c r="DA208" s="223"/>
      <c r="DB208" s="223"/>
      <c r="DC208" s="223"/>
      <c r="DD208" s="223"/>
      <c r="DE208" s="223"/>
      <c r="DF208" s="223"/>
      <c r="DG208" s="223"/>
      <c r="DH208" s="223"/>
      <c r="DI208" s="223"/>
      <c r="DJ208" s="223"/>
      <c r="DK208" s="223"/>
      <c r="DL208" s="223"/>
      <c r="DM208" s="223"/>
      <c r="DN208" s="223"/>
      <c r="DO208" s="223"/>
      <c r="DP208" s="223"/>
      <c r="DQ208" s="223"/>
      <c r="DR208" s="223"/>
      <c r="DS208" s="223"/>
      <c r="DT208" s="223"/>
      <c r="DU208" s="223"/>
      <c r="DV208" s="223"/>
      <c r="DW208" s="223"/>
      <c r="DX208" s="223"/>
      <c r="DY208" s="223"/>
      <c r="DZ208" s="48" t="s">
        <v>582</v>
      </c>
    </row>
    <row r="209" spans="4:130" x14ac:dyDescent="0.2">
      <c r="D209" s="2"/>
      <c r="E209" s="3">
        <f t="shared" ca="1" si="66"/>
        <v>-1.1444745897029633</v>
      </c>
      <c r="BA209" s="226"/>
      <c r="BB209" s="227"/>
      <c r="BC209" s="228"/>
      <c r="BD209" s="228"/>
      <c r="BE209" s="229"/>
      <c r="BF209" s="223"/>
      <c r="BG209" s="223"/>
      <c r="BH209" s="223"/>
      <c r="BI209" s="223"/>
      <c r="BJ209" s="223"/>
      <c r="BK209" s="223"/>
      <c r="BL209" s="223"/>
      <c r="BM209" s="223"/>
      <c r="BN209" s="223"/>
      <c r="BO209" s="223"/>
      <c r="BP209" s="223"/>
      <c r="BQ209" s="223"/>
      <c r="BR209" s="223"/>
      <c r="BS209" s="223"/>
      <c r="BT209" s="223"/>
      <c r="BU209" s="223"/>
      <c r="BV209" s="223"/>
      <c r="BW209" s="223"/>
      <c r="BX209" s="223"/>
      <c r="BY209" s="223"/>
      <c r="BZ209" s="223"/>
      <c r="CA209" s="223"/>
      <c r="CB209" s="223"/>
      <c r="CC209" s="223"/>
      <c r="CD209" s="223"/>
      <c r="CE209" s="223"/>
      <c r="CF209" s="223"/>
      <c r="CG209" s="223"/>
      <c r="CH209" s="223"/>
      <c r="CI209" s="223"/>
      <c r="CJ209" s="223"/>
      <c r="CK209" s="223"/>
      <c r="CL209" s="223"/>
      <c r="CM209" s="223"/>
      <c r="CN209" s="223"/>
      <c r="CO209" s="223"/>
      <c r="CP209" s="223"/>
      <c r="CQ209" s="223"/>
      <c r="CR209" s="223"/>
      <c r="CS209" s="223"/>
      <c r="CT209" s="223"/>
      <c r="CU209" s="223"/>
      <c r="CV209" s="223"/>
      <c r="CW209" s="223"/>
      <c r="CX209" s="223"/>
      <c r="CY209" s="223"/>
      <c r="CZ209" s="223"/>
      <c r="DA209" s="223"/>
      <c r="DB209" s="223"/>
      <c r="DC209" s="223"/>
      <c r="DD209" s="223"/>
      <c r="DE209" s="223"/>
      <c r="DF209" s="223"/>
      <c r="DG209" s="223"/>
      <c r="DH209" s="223"/>
      <c r="DI209" s="223"/>
      <c r="DJ209" s="223"/>
      <c r="DK209" s="223"/>
      <c r="DL209" s="223"/>
      <c r="DM209" s="223"/>
      <c r="DN209" s="223"/>
      <c r="DO209" s="223"/>
      <c r="DP209" s="223"/>
      <c r="DQ209" s="223"/>
      <c r="DR209" s="223"/>
      <c r="DS209" s="223"/>
      <c r="DT209" s="223"/>
      <c r="DU209" s="223"/>
      <c r="DV209" s="223"/>
      <c r="DW209" s="223"/>
      <c r="DX209" s="223"/>
      <c r="DY209" s="223"/>
      <c r="DZ209" s="51" t="s">
        <v>582</v>
      </c>
    </row>
    <row r="210" spans="4:130" x14ac:dyDescent="0.2">
      <c r="D210" s="2">
        <f ca="1">RAND()*0+(N34-$O$32)</f>
        <v>-2</v>
      </c>
      <c r="E210" s="3">
        <f t="shared" ca="1" si="66"/>
        <v>-0.9549296585513678</v>
      </c>
      <c r="BA210" s="217"/>
      <c r="BB210" s="218" t="s">
        <v>894</v>
      </c>
      <c r="BC210" s="219">
        <v>48</v>
      </c>
      <c r="BD210" s="219">
        <v>4</v>
      </c>
      <c r="BE210" s="220">
        <v>12</v>
      </c>
      <c r="BF210" s="218" t="s">
        <v>41</v>
      </c>
      <c r="BG210" s="219" t="s">
        <v>41</v>
      </c>
      <c r="BH210" s="219" t="s">
        <v>41</v>
      </c>
      <c r="BI210" s="219" t="s">
        <v>41</v>
      </c>
      <c r="BJ210" s="219" t="s">
        <v>120</v>
      </c>
      <c r="BK210" s="219" t="s">
        <v>120</v>
      </c>
      <c r="BL210" s="219" t="s">
        <v>120</v>
      </c>
      <c r="BM210" s="219" t="s">
        <v>120</v>
      </c>
      <c r="BN210" s="219" t="s">
        <v>46</v>
      </c>
      <c r="BO210" s="219" t="s">
        <v>46</v>
      </c>
      <c r="BP210" s="219" t="s">
        <v>46</v>
      </c>
      <c r="BQ210" s="219" t="s">
        <v>46</v>
      </c>
      <c r="BR210" s="219" t="s">
        <v>116</v>
      </c>
      <c r="BS210" s="219" t="s">
        <v>116</v>
      </c>
      <c r="BT210" s="219" t="s">
        <v>116</v>
      </c>
      <c r="BU210" s="219" t="s">
        <v>116</v>
      </c>
      <c r="BV210" s="219" t="s">
        <v>65</v>
      </c>
      <c r="BW210" s="219" t="s">
        <v>65</v>
      </c>
      <c r="BX210" s="219" t="s">
        <v>65</v>
      </c>
      <c r="BY210" s="219" t="s">
        <v>65</v>
      </c>
      <c r="BZ210" s="219" t="s">
        <v>117</v>
      </c>
      <c r="CA210" s="219" t="s">
        <v>117</v>
      </c>
      <c r="CB210" s="219" t="s">
        <v>117</v>
      </c>
      <c r="CC210" s="219" t="s">
        <v>117</v>
      </c>
      <c r="CD210" s="219" t="s">
        <v>41</v>
      </c>
      <c r="CE210" s="219" t="s">
        <v>41</v>
      </c>
      <c r="CF210" s="219" t="s">
        <v>41</v>
      </c>
      <c r="CG210" s="219" t="s">
        <v>41</v>
      </c>
      <c r="CH210" s="219" t="s">
        <v>120</v>
      </c>
      <c r="CI210" s="219" t="s">
        <v>120</v>
      </c>
      <c r="CJ210" s="219" t="s">
        <v>120</v>
      </c>
      <c r="CK210" s="219" t="s">
        <v>120</v>
      </c>
      <c r="CL210" s="219" t="s">
        <v>46</v>
      </c>
      <c r="CM210" s="219" t="s">
        <v>46</v>
      </c>
      <c r="CN210" s="219" t="s">
        <v>46</v>
      </c>
      <c r="CO210" s="219" t="s">
        <v>46</v>
      </c>
      <c r="CP210" s="219" t="s">
        <v>116</v>
      </c>
      <c r="CQ210" s="219" t="s">
        <v>116</v>
      </c>
      <c r="CR210" s="219" t="s">
        <v>116</v>
      </c>
      <c r="CS210" s="219" t="s">
        <v>116</v>
      </c>
      <c r="CT210" s="219" t="s">
        <v>65</v>
      </c>
      <c r="CU210" s="219" t="s">
        <v>65</v>
      </c>
      <c r="CV210" s="219" t="s">
        <v>65</v>
      </c>
      <c r="CW210" s="219" t="s">
        <v>65</v>
      </c>
      <c r="CX210" s="219" t="s">
        <v>117</v>
      </c>
      <c r="CY210" s="219" t="s">
        <v>117</v>
      </c>
      <c r="CZ210" s="219" t="s">
        <v>117</v>
      </c>
      <c r="DA210" s="219" t="s">
        <v>117</v>
      </c>
      <c r="DB210" s="219"/>
      <c r="DC210" s="219"/>
      <c r="DD210" s="219"/>
      <c r="DE210" s="219"/>
      <c r="DF210" s="219"/>
      <c r="DG210" s="219"/>
      <c r="DH210" s="219"/>
      <c r="DI210" s="219"/>
      <c r="DJ210" s="219"/>
      <c r="DK210" s="219"/>
      <c r="DL210" s="219"/>
      <c r="DM210" s="219"/>
      <c r="DN210" s="219"/>
      <c r="DO210" s="219"/>
      <c r="DP210" s="219"/>
      <c r="DQ210" s="219"/>
      <c r="DR210" s="219"/>
      <c r="DS210" s="219"/>
      <c r="DT210" s="219"/>
      <c r="DU210" s="219"/>
      <c r="DV210" s="219"/>
      <c r="DW210" s="219"/>
      <c r="DX210" s="219"/>
      <c r="DY210" s="219"/>
      <c r="DZ210" s="45" t="s">
        <v>582</v>
      </c>
    </row>
    <row r="211" spans="4:130" x14ac:dyDescent="0.2">
      <c r="D211" s="3">
        <f ca="1">INDEX($O$34:$O$105,INT((ROW()-200)*0.1))</f>
        <v>-2</v>
      </c>
      <c r="E211" s="3">
        <f t="shared" ca="1" si="66"/>
        <v>-0.76473026631160235</v>
      </c>
      <c r="BA211" s="221"/>
      <c r="BB211" s="222" t="s">
        <v>895</v>
      </c>
      <c r="BC211" s="223"/>
      <c r="BD211" s="223"/>
      <c r="BE211" s="224"/>
      <c r="BF211" s="222" t="s">
        <v>41</v>
      </c>
      <c r="BG211" s="223" t="s">
        <v>41</v>
      </c>
      <c r="BH211" s="223" t="s">
        <v>41</v>
      </c>
      <c r="BI211" s="223" t="s">
        <v>41</v>
      </c>
      <c r="BJ211" s="223" t="s">
        <v>120</v>
      </c>
      <c r="BK211" s="223" t="s">
        <v>120</v>
      </c>
      <c r="BL211" s="223" t="s">
        <v>120</v>
      </c>
      <c r="BM211" s="223" t="s">
        <v>120</v>
      </c>
      <c r="BN211" s="223" t="s">
        <v>46</v>
      </c>
      <c r="BO211" s="223" t="s">
        <v>46</v>
      </c>
      <c r="BP211" s="223" t="s">
        <v>46</v>
      </c>
      <c r="BQ211" s="223" t="s">
        <v>46</v>
      </c>
      <c r="BR211" s="223" t="s">
        <v>116</v>
      </c>
      <c r="BS211" s="223" t="s">
        <v>116</v>
      </c>
      <c r="BT211" s="223" t="s">
        <v>116</v>
      </c>
      <c r="BU211" s="223" t="s">
        <v>116</v>
      </c>
      <c r="BV211" s="223" t="s">
        <v>65</v>
      </c>
      <c r="BW211" s="223" t="s">
        <v>65</v>
      </c>
      <c r="BX211" s="223" t="s">
        <v>65</v>
      </c>
      <c r="BY211" s="223" t="s">
        <v>65</v>
      </c>
      <c r="BZ211" s="223" t="s">
        <v>117</v>
      </c>
      <c r="CA211" s="223" t="s">
        <v>117</v>
      </c>
      <c r="CB211" s="223" t="s">
        <v>117</v>
      </c>
      <c r="CC211" s="223" t="s">
        <v>117</v>
      </c>
      <c r="CD211" s="223" t="s">
        <v>41</v>
      </c>
      <c r="CE211" s="223" t="s">
        <v>41</v>
      </c>
      <c r="CF211" s="223" t="s">
        <v>41</v>
      </c>
      <c r="CG211" s="223" t="s">
        <v>41</v>
      </c>
      <c r="CH211" s="223" t="s">
        <v>120</v>
      </c>
      <c r="CI211" s="223" t="s">
        <v>120</v>
      </c>
      <c r="CJ211" s="223" t="s">
        <v>120</v>
      </c>
      <c r="CK211" s="223" t="s">
        <v>120</v>
      </c>
      <c r="CL211" s="223" t="s">
        <v>46</v>
      </c>
      <c r="CM211" s="223" t="s">
        <v>46</v>
      </c>
      <c r="CN211" s="223" t="s">
        <v>46</v>
      </c>
      <c r="CO211" s="223" t="s">
        <v>46</v>
      </c>
      <c r="CP211" s="223" t="s">
        <v>116</v>
      </c>
      <c r="CQ211" s="223" t="s">
        <v>116</v>
      </c>
      <c r="CR211" s="223" t="s">
        <v>116</v>
      </c>
      <c r="CS211" s="223" t="s">
        <v>116</v>
      </c>
      <c r="CT211" s="223" t="s">
        <v>65</v>
      </c>
      <c r="CU211" s="223" t="s">
        <v>65</v>
      </c>
      <c r="CV211" s="223" t="s">
        <v>65</v>
      </c>
      <c r="CW211" s="223" t="s">
        <v>65</v>
      </c>
      <c r="CX211" s="223" t="s">
        <v>117</v>
      </c>
      <c r="CY211" s="223" t="s">
        <v>117</v>
      </c>
      <c r="CZ211" s="223" t="s">
        <v>117</v>
      </c>
      <c r="DA211" s="223" t="s">
        <v>117</v>
      </c>
      <c r="DB211" s="223"/>
      <c r="DC211" s="223"/>
      <c r="DD211" s="223"/>
      <c r="DE211" s="223"/>
      <c r="DF211" s="223"/>
      <c r="DG211" s="223"/>
      <c r="DH211" s="223"/>
      <c r="DI211" s="223"/>
      <c r="DJ211" s="223"/>
      <c r="DK211" s="223"/>
      <c r="DL211" s="223"/>
      <c r="DM211" s="223"/>
      <c r="DN211" s="223"/>
      <c r="DO211" s="223"/>
      <c r="DP211" s="223"/>
      <c r="DQ211" s="223"/>
      <c r="DR211" s="223"/>
      <c r="DS211" s="223"/>
      <c r="DT211" s="223"/>
      <c r="DU211" s="223"/>
      <c r="DV211" s="223"/>
      <c r="DW211" s="223"/>
      <c r="DX211" s="223"/>
      <c r="DY211" s="223"/>
      <c r="DZ211" s="48" t="s">
        <v>582</v>
      </c>
    </row>
    <row r="212" spans="4:130" x14ac:dyDescent="0.2">
      <c r="D212" s="3">
        <f t="shared" ref="D212:D275" ca="1" si="67">INDEX($O$34:$O$105,INT((ROW()-200)*0.1))</f>
        <v>-2</v>
      </c>
      <c r="E212" s="3">
        <f t="shared" ca="1" si="66"/>
        <v>-0.57400676614643575</v>
      </c>
      <c r="BA212" s="221"/>
      <c r="BB212" s="222"/>
      <c r="BC212" s="223"/>
      <c r="BD212" s="223"/>
      <c r="BE212" s="224"/>
      <c r="BF212" s="222"/>
      <c r="BG212" s="223"/>
      <c r="BH212" s="223"/>
      <c r="BI212" s="223"/>
      <c r="BJ212" s="223"/>
      <c r="BK212" s="223"/>
      <c r="BL212" s="223"/>
      <c r="BM212" s="223"/>
      <c r="BN212" s="223"/>
      <c r="BO212" s="223"/>
      <c r="BP212" s="223"/>
      <c r="BQ212" s="223"/>
      <c r="BR212" s="223"/>
      <c r="BS212" s="223"/>
      <c r="BT212" s="223"/>
      <c r="BU212" s="223"/>
      <c r="BV212" s="223"/>
      <c r="BW212" s="223"/>
      <c r="BX212" s="223"/>
      <c r="BY212" s="223"/>
      <c r="BZ212" s="223"/>
      <c r="CA212" s="223"/>
      <c r="CB212" s="223"/>
      <c r="CC212" s="223"/>
      <c r="CD212" s="223"/>
      <c r="CE212" s="223"/>
      <c r="CF212" s="223"/>
      <c r="CG212" s="223"/>
      <c r="CH212" s="223"/>
      <c r="CI212" s="223"/>
      <c r="CJ212" s="223"/>
      <c r="CK212" s="223"/>
      <c r="CL212" s="223"/>
      <c r="CM212" s="223"/>
      <c r="CN212" s="223"/>
      <c r="CO212" s="223"/>
      <c r="CP212" s="223"/>
      <c r="CQ212" s="223"/>
      <c r="CR212" s="223"/>
      <c r="CS212" s="223"/>
      <c r="CT212" s="223"/>
      <c r="CU212" s="223"/>
      <c r="CV212" s="223"/>
      <c r="CW212" s="223"/>
      <c r="CX212" s="223"/>
      <c r="CY212" s="223"/>
      <c r="CZ212" s="223"/>
      <c r="DA212" s="223"/>
      <c r="DB212" s="223"/>
      <c r="DC212" s="223"/>
      <c r="DD212" s="223"/>
      <c r="DE212" s="223"/>
      <c r="DF212" s="223"/>
      <c r="DG212" s="223"/>
      <c r="DH212" s="223"/>
      <c r="DI212" s="223"/>
      <c r="DJ212" s="223"/>
      <c r="DK212" s="223"/>
      <c r="DL212" s="223"/>
      <c r="DM212" s="223"/>
      <c r="DN212" s="223"/>
      <c r="DO212" s="223"/>
      <c r="DP212" s="223"/>
      <c r="DQ212" s="223"/>
      <c r="DR212" s="223"/>
      <c r="DS212" s="223"/>
      <c r="DT212" s="223"/>
      <c r="DU212" s="223"/>
      <c r="DV212" s="223"/>
      <c r="DW212" s="223"/>
      <c r="DX212" s="223"/>
      <c r="DY212" s="223"/>
      <c r="DZ212" s="48" t="s">
        <v>582</v>
      </c>
    </row>
    <row r="213" spans="4:130" x14ac:dyDescent="0.2">
      <c r="D213" s="3">
        <f t="shared" ca="1" si="67"/>
        <v>-2</v>
      </c>
      <c r="E213" s="3">
        <f t="shared" ca="1" si="66"/>
        <v>-0.38288987041603018</v>
      </c>
      <c r="BA213" s="226"/>
      <c r="BB213" s="227"/>
      <c r="BC213" s="228"/>
      <c r="BD213" s="228"/>
      <c r="BE213" s="229"/>
      <c r="BF213" s="227"/>
      <c r="BG213" s="228"/>
      <c r="BH213" s="228"/>
      <c r="BI213" s="228"/>
      <c r="BJ213" s="228"/>
      <c r="BK213" s="228"/>
      <c r="BL213" s="228"/>
      <c r="BM213" s="228"/>
      <c r="BN213" s="228"/>
      <c r="BO213" s="228"/>
      <c r="BP213" s="228"/>
      <c r="BQ213" s="228"/>
      <c r="BR213" s="228"/>
      <c r="BS213" s="228"/>
      <c r="BT213" s="228"/>
      <c r="BU213" s="228"/>
      <c r="BV213" s="228"/>
      <c r="BW213" s="228"/>
      <c r="BX213" s="228"/>
      <c r="BY213" s="228"/>
      <c r="BZ213" s="228"/>
      <c r="CA213" s="228"/>
      <c r="CB213" s="228"/>
      <c r="CC213" s="228"/>
      <c r="CD213" s="228"/>
      <c r="CE213" s="228"/>
      <c r="CF213" s="228"/>
      <c r="CG213" s="228"/>
      <c r="CH213" s="228"/>
      <c r="CI213" s="228"/>
      <c r="CJ213" s="228"/>
      <c r="CK213" s="228"/>
      <c r="CL213" s="228"/>
      <c r="CM213" s="228"/>
      <c r="CN213" s="228"/>
      <c r="CO213" s="228"/>
      <c r="CP213" s="228"/>
      <c r="CQ213" s="228"/>
      <c r="CR213" s="228"/>
      <c r="CS213" s="228"/>
      <c r="CT213" s="228"/>
      <c r="CU213" s="228"/>
      <c r="CV213" s="228"/>
      <c r="CW213" s="228"/>
      <c r="CX213" s="228"/>
      <c r="CY213" s="228"/>
      <c r="CZ213" s="228"/>
      <c r="DA213" s="228"/>
      <c r="DB213" s="228"/>
      <c r="DC213" s="228"/>
      <c r="DD213" s="228"/>
      <c r="DE213" s="228"/>
      <c r="DF213" s="228"/>
      <c r="DG213" s="228"/>
      <c r="DH213" s="228"/>
      <c r="DI213" s="228"/>
      <c r="DJ213" s="228"/>
      <c r="DK213" s="228"/>
      <c r="DL213" s="228"/>
      <c r="DM213" s="228"/>
      <c r="DN213" s="228"/>
      <c r="DO213" s="228"/>
      <c r="DP213" s="228"/>
      <c r="DQ213" s="228"/>
      <c r="DR213" s="228"/>
      <c r="DS213" s="228"/>
      <c r="DT213" s="228"/>
      <c r="DU213" s="228"/>
      <c r="DV213" s="228"/>
      <c r="DW213" s="228"/>
      <c r="DX213" s="228"/>
      <c r="DY213" s="228"/>
      <c r="DZ213" s="51" t="s">
        <v>582</v>
      </c>
    </row>
    <row r="214" spans="4:130" x14ac:dyDescent="0.2">
      <c r="D214" s="3">
        <f t="shared" ca="1" si="67"/>
        <v>-2</v>
      </c>
      <c r="E214" s="3">
        <f t="shared" ca="1" si="66"/>
        <v>-0.19151056109421727</v>
      </c>
      <c r="BA214" s="3" t="s">
        <v>901</v>
      </c>
      <c r="BB214" s="223"/>
      <c r="BC214" s="223"/>
      <c r="BD214" s="223"/>
      <c r="BE214" s="223"/>
      <c r="BF214" s="223"/>
      <c r="BG214" s="223"/>
      <c r="BH214" s="223"/>
      <c r="BI214" s="223"/>
      <c r="BJ214" s="223"/>
      <c r="BK214" s="223"/>
      <c r="BL214" s="223"/>
      <c r="BM214" s="223"/>
      <c r="BN214" s="223"/>
      <c r="BO214" s="223"/>
      <c r="BP214" s="223"/>
      <c r="BQ214" s="223"/>
      <c r="BR214" s="223"/>
      <c r="BS214" s="223"/>
      <c r="BT214" s="223"/>
      <c r="BU214" s="223"/>
      <c r="BV214" s="223"/>
      <c r="BW214" s="223"/>
      <c r="BX214" s="223"/>
      <c r="BY214" s="223"/>
      <c r="BZ214" s="223"/>
      <c r="CA214" s="223"/>
      <c r="CB214" s="223"/>
      <c r="CC214" s="223"/>
      <c r="CD214" s="223"/>
      <c r="CE214" s="223"/>
      <c r="CF214" s="223"/>
      <c r="CG214" s="223"/>
      <c r="CH214" s="223"/>
      <c r="CI214" s="223"/>
      <c r="CJ214" s="223"/>
      <c r="CK214" s="223"/>
      <c r="CL214" s="223"/>
      <c r="CM214" s="223"/>
      <c r="CN214" s="223"/>
      <c r="CO214" s="223"/>
      <c r="CP214" s="223"/>
      <c r="CQ214" s="223"/>
      <c r="CR214" s="223"/>
      <c r="CS214" s="223"/>
      <c r="CT214" s="223"/>
      <c r="CU214" s="223"/>
      <c r="CV214" s="223"/>
      <c r="CW214" s="223"/>
      <c r="CX214" s="223"/>
      <c r="CY214" s="223"/>
      <c r="CZ214" s="223"/>
      <c r="DA214" s="223"/>
      <c r="DB214" s="223"/>
      <c r="DC214" s="223"/>
      <c r="DD214" s="223"/>
      <c r="DE214" s="223"/>
      <c r="DF214" s="223"/>
      <c r="DG214" s="223"/>
      <c r="DH214" s="223"/>
      <c r="DI214" s="223"/>
      <c r="DJ214" s="223"/>
      <c r="DK214" s="223"/>
      <c r="DL214" s="223"/>
      <c r="DM214" s="223"/>
      <c r="DN214" s="223"/>
      <c r="DO214" s="223"/>
      <c r="DP214" s="223"/>
      <c r="DQ214" s="223"/>
      <c r="DR214" s="223"/>
      <c r="DS214" s="223"/>
      <c r="DT214" s="223"/>
      <c r="DU214" s="223"/>
      <c r="DV214" s="223"/>
      <c r="DW214" s="223"/>
      <c r="DX214" s="223"/>
      <c r="DY214" s="223"/>
    </row>
    <row r="215" spans="4:130" x14ac:dyDescent="0.2">
      <c r="D215" s="3">
        <f t="shared" ca="1" si="67"/>
        <v>-2</v>
      </c>
      <c r="E215" s="3">
        <f t="shared" ca="1" si="66"/>
        <v>3.6291195591977917E-15</v>
      </c>
      <c r="BA215" s="3" t="s">
        <v>902</v>
      </c>
      <c r="BB215" s="223"/>
      <c r="BC215" s="223"/>
      <c r="BD215" s="223"/>
      <c r="BE215" s="223"/>
      <c r="BF215" s="223"/>
      <c r="BG215" s="223"/>
      <c r="BH215" s="223"/>
      <c r="BI215" s="223"/>
      <c r="BJ215" s="223"/>
      <c r="BK215" s="223"/>
      <c r="BL215" s="223"/>
      <c r="BM215" s="223"/>
      <c r="BN215" s="223"/>
      <c r="BO215" s="223"/>
      <c r="BP215" s="223"/>
      <c r="BQ215" s="223"/>
      <c r="BR215" s="223"/>
      <c r="BS215" s="223"/>
      <c r="BT215" s="223"/>
      <c r="BU215" s="223"/>
      <c r="BV215" s="223"/>
      <c r="BW215" s="223"/>
      <c r="BX215" s="223"/>
      <c r="BY215" s="223"/>
      <c r="BZ215" s="223"/>
      <c r="CA215" s="223"/>
      <c r="CB215" s="223"/>
      <c r="CC215" s="223"/>
      <c r="CD215" s="223"/>
      <c r="CE215" s="223"/>
      <c r="CF215" s="223"/>
      <c r="CG215" s="223"/>
      <c r="CH215" s="223"/>
      <c r="CI215" s="223"/>
      <c r="CJ215" s="223"/>
      <c r="CK215" s="223"/>
      <c r="CL215" s="223"/>
      <c r="CM215" s="223"/>
      <c r="CN215" s="223"/>
      <c r="CO215" s="223"/>
      <c r="CP215" s="223"/>
      <c r="CQ215" s="223"/>
      <c r="CR215" s="223"/>
      <c r="CS215" s="223"/>
      <c r="CT215" s="223"/>
      <c r="CU215" s="223"/>
      <c r="CV215" s="223"/>
      <c r="CW215" s="223"/>
      <c r="CX215" s="223"/>
      <c r="CY215" s="223"/>
      <c r="CZ215" s="223"/>
      <c r="DA215" s="223"/>
      <c r="DB215" s="223"/>
      <c r="DC215" s="223"/>
      <c r="DD215" s="223"/>
      <c r="DE215" s="223"/>
      <c r="DF215" s="223"/>
      <c r="DG215" s="223"/>
      <c r="DH215" s="223"/>
      <c r="DI215" s="223"/>
      <c r="DJ215" s="223"/>
      <c r="DK215" s="223"/>
      <c r="DL215" s="223"/>
      <c r="DM215" s="223"/>
      <c r="DN215" s="223"/>
      <c r="DO215" s="223"/>
      <c r="DP215" s="223"/>
      <c r="DQ215" s="223"/>
      <c r="DR215" s="223"/>
      <c r="DS215" s="223"/>
      <c r="DT215" s="223"/>
      <c r="DU215" s="223"/>
      <c r="DV215" s="223"/>
      <c r="DW215" s="223"/>
      <c r="DX215" s="223"/>
      <c r="DY215" s="223"/>
    </row>
    <row r="216" spans="4:130" x14ac:dyDescent="0.2">
      <c r="D216" s="3">
        <f t="shared" ca="1" si="67"/>
        <v>-2</v>
      </c>
      <c r="E216" s="3">
        <f t="shared" ca="1" si="66"/>
        <v>0.19151056109422454</v>
      </c>
      <c r="BA216" s="3" t="s">
        <v>903</v>
      </c>
      <c r="BB216" s="223"/>
      <c r="BC216" s="223"/>
      <c r="BD216" s="223"/>
      <c r="BE216" s="223"/>
      <c r="BF216" s="223"/>
      <c r="BG216" s="223"/>
      <c r="BH216" s="223"/>
      <c r="BI216" s="223"/>
      <c r="BJ216" s="223"/>
      <c r="BK216" s="223"/>
      <c r="BL216" s="223"/>
      <c r="BM216" s="223"/>
      <c r="BN216" s="223"/>
      <c r="BO216" s="223"/>
      <c r="BP216" s="223"/>
      <c r="BQ216" s="223"/>
      <c r="BR216" s="223"/>
      <c r="BS216" s="223"/>
      <c r="BT216" s="223"/>
      <c r="BU216" s="223"/>
      <c r="BV216" s="223"/>
      <c r="BW216" s="223"/>
      <c r="BX216" s="223"/>
      <c r="BY216" s="223"/>
      <c r="BZ216" s="223"/>
      <c r="CA216" s="223"/>
      <c r="CB216" s="223"/>
      <c r="CC216" s="223"/>
      <c r="CD216" s="223"/>
      <c r="CE216" s="223"/>
      <c r="CF216" s="223"/>
      <c r="CG216" s="223"/>
      <c r="CH216" s="223"/>
      <c r="CI216" s="223"/>
      <c r="CJ216" s="223"/>
      <c r="CK216" s="223"/>
      <c r="CL216" s="223"/>
      <c r="CM216" s="223"/>
      <c r="CN216" s="223"/>
      <c r="CO216" s="223"/>
      <c r="CP216" s="223"/>
      <c r="CQ216" s="223"/>
      <c r="CR216" s="223"/>
      <c r="CS216" s="223"/>
      <c r="CT216" s="223"/>
      <c r="CU216" s="223"/>
      <c r="CV216" s="223"/>
      <c r="CW216" s="223"/>
      <c r="CX216" s="223"/>
      <c r="CY216" s="223"/>
      <c r="CZ216" s="223"/>
      <c r="DA216" s="223"/>
      <c r="DB216" s="223"/>
      <c r="DC216" s="223"/>
      <c r="DD216" s="223"/>
      <c r="DE216" s="223"/>
      <c r="DF216" s="223"/>
      <c r="DG216" s="223"/>
      <c r="DH216" s="223"/>
      <c r="DI216" s="223"/>
      <c r="DJ216" s="223"/>
      <c r="DK216" s="223"/>
      <c r="DL216" s="223"/>
      <c r="DM216" s="223"/>
      <c r="DN216" s="223"/>
      <c r="DO216" s="223"/>
      <c r="DP216" s="223"/>
      <c r="DQ216" s="223"/>
      <c r="DR216" s="223"/>
      <c r="DS216" s="223"/>
      <c r="DT216" s="223"/>
      <c r="DU216" s="223"/>
      <c r="DV216" s="223"/>
      <c r="DW216" s="223"/>
      <c r="DX216" s="223"/>
      <c r="DY216" s="223"/>
    </row>
    <row r="217" spans="4:130" x14ac:dyDescent="0.2">
      <c r="D217" s="3">
        <f t="shared" ca="1" si="67"/>
        <v>-2</v>
      </c>
      <c r="E217" s="3">
        <f t="shared" ca="1" si="66"/>
        <v>0.38288987041603739</v>
      </c>
      <c r="BA217" s="251" t="s">
        <v>900</v>
      </c>
      <c r="BB217" s="223"/>
      <c r="BC217" s="223"/>
      <c r="BD217" s="223"/>
      <c r="BE217" s="223"/>
      <c r="BF217" s="223"/>
      <c r="BG217" s="223"/>
      <c r="BH217" s="223"/>
      <c r="BI217" s="223"/>
      <c r="BJ217" s="223"/>
      <c r="BK217" s="223"/>
      <c r="BL217" s="223"/>
      <c r="BM217" s="223"/>
      <c r="BN217" s="223"/>
      <c r="BO217" s="223"/>
      <c r="BP217" s="223"/>
      <c r="BQ217" s="223"/>
      <c r="BR217" s="223"/>
      <c r="BS217" s="223"/>
      <c r="BT217" s="223"/>
      <c r="BU217" s="223"/>
      <c r="BV217" s="223"/>
      <c r="BW217" s="223"/>
      <c r="BX217" s="223"/>
      <c r="BY217" s="223"/>
      <c r="BZ217" s="223"/>
      <c r="CA217" s="223"/>
      <c r="CB217" s="223"/>
      <c r="CC217" s="223"/>
      <c r="CD217" s="223"/>
      <c r="CE217" s="223"/>
      <c r="CF217" s="223"/>
      <c r="CG217" s="223"/>
      <c r="CH217" s="223"/>
      <c r="CI217" s="223"/>
      <c r="CJ217" s="223"/>
      <c r="CK217" s="223"/>
      <c r="CL217" s="223"/>
      <c r="CM217" s="223"/>
      <c r="CN217" s="223"/>
      <c r="CO217" s="223"/>
      <c r="CP217" s="223"/>
      <c r="CQ217" s="223"/>
      <c r="CR217" s="223"/>
      <c r="CS217" s="223"/>
      <c r="CT217" s="223"/>
      <c r="CU217" s="223"/>
      <c r="CV217" s="223"/>
      <c r="CW217" s="223"/>
      <c r="CX217" s="223"/>
      <c r="CY217" s="223"/>
      <c r="CZ217" s="223"/>
      <c r="DA217" s="223"/>
      <c r="DB217" s="223"/>
      <c r="DC217" s="223"/>
      <c r="DD217" s="223"/>
      <c r="DE217" s="223"/>
      <c r="DF217" s="223"/>
      <c r="DG217" s="223"/>
      <c r="DH217" s="223"/>
      <c r="DI217" s="223"/>
      <c r="DJ217" s="223"/>
      <c r="DK217" s="223"/>
      <c r="DL217" s="223"/>
      <c r="DM217" s="223"/>
      <c r="DN217" s="223"/>
      <c r="DO217" s="223"/>
      <c r="DP217" s="223"/>
      <c r="DQ217" s="223"/>
      <c r="DR217" s="223"/>
      <c r="DS217" s="223"/>
      <c r="DT217" s="223"/>
      <c r="DU217" s="223"/>
      <c r="DV217" s="223"/>
      <c r="DW217" s="223"/>
      <c r="DX217" s="223"/>
      <c r="DY217" s="223"/>
    </row>
    <row r="218" spans="4:130" x14ac:dyDescent="0.2">
      <c r="D218" s="3">
        <f t="shared" ca="1" si="67"/>
        <v>-2</v>
      </c>
      <c r="E218" s="3">
        <f t="shared" ca="1" si="66"/>
        <v>0.57400676614644308</v>
      </c>
      <c r="BA218" s="90"/>
      <c r="BB218" s="223"/>
      <c r="BC218" s="223"/>
      <c r="BD218" s="223"/>
      <c r="BE218" s="223"/>
      <c r="BF218" s="223"/>
      <c r="BG218" s="223"/>
      <c r="BH218" s="223"/>
      <c r="BI218" s="223"/>
      <c r="BJ218" s="223"/>
      <c r="BK218" s="223"/>
      <c r="BL218" s="223"/>
      <c r="BM218" s="223"/>
      <c r="BN218" s="223"/>
      <c r="BO218" s="223"/>
      <c r="BP218" s="223"/>
      <c r="BQ218" s="223"/>
      <c r="BR218" s="223"/>
      <c r="BS218" s="223"/>
      <c r="BT218" s="223"/>
      <c r="BU218" s="223"/>
      <c r="BV218" s="223"/>
      <c r="BW218" s="223"/>
      <c r="BX218" s="223"/>
      <c r="BY218" s="223"/>
      <c r="BZ218" s="223"/>
      <c r="CA218" s="223"/>
      <c r="CB218" s="223"/>
      <c r="CC218" s="223"/>
      <c r="CD218" s="223"/>
      <c r="CE218" s="223"/>
      <c r="CF218" s="223"/>
      <c r="CG218" s="223"/>
      <c r="CH218" s="223"/>
      <c r="CI218" s="223"/>
      <c r="CJ218" s="223"/>
      <c r="CK218" s="223"/>
      <c r="CL218" s="223"/>
      <c r="CM218" s="223"/>
      <c r="CN218" s="223"/>
      <c r="CO218" s="223"/>
      <c r="CP218" s="223"/>
      <c r="CQ218" s="223"/>
      <c r="CR218" s="223"/>
      <c r="CS218" s="223"/>
      <c r="CT218" s="223"/>
      <c r="CU218" s="223"/>
      <c r="CV218" s="223"/>
      <c r="CW218" s="223"/>
      <c r="CX218" s="223"/>
      <c r="CY218" s="223"/>
      <c r="CZ218" s="223"/>
      <c r="DA218" s="223"/>
      <c r="DB218" s="223"/>
      <c r="DC218" s="223"/>
      <c r="DD218" s="223"/>
      <c r="DE218" s="223"/>
      <c r="DF218" s="223"/>
      <c r="DG218" s="223"/>
      <c r="DH218" s="223"/>
      <c r="DI218" s="223"/>
      <c r="DJ218" s="223"/>
      <c r="DK218" s="223"/>
      <c r="DL218" s="223"/>
      <c r="DM218" s="223"/>
      <c r="DN218" s="223"/>
      <c r="DO218" s="223"/>
      <c r="DP218" s="223"/>
      <c r="DQ218" s="223"/>
      <c r="DR218" s="223"/>
      <c r="DS218" s="223"/>
      <c r="DT218" s="223"/>
      <c r="DU218" s="223"/>
      <c r="DV218" s="223"/>
      <c r="DW218" s="223"/>
      <c r="DX218" s="223"/>
      <c r="DY218" s="223"/>
    </row>
    <row r="219" spans="4:130" x14ac:dyDescent="0.2">
      <c r="D219" s="3">
        <f t="shared" ca="1" si="67"/>
        <v>-2</v>
      </c>
      <c r="E219" s="3">
        <f t="shared" ca="1" si="66"/>
        <v>0.76473026631160945</v>
      </c>
      <c r="BA219" s="90"/>
      <c r="BB219" s="223"/>
      <c r="BC219" s="223"/>
      <c r="BD219" s="223"/>
      <c r="BE219" s="223"/>
      <c r="BF219" s="223"/>
      <c r="BG219" s="223"/>
      <c r="BH219" s="223"/>
      <c r="BI219" s="223"/>
      <c r="BJ219" s="223"/>
      <c r="BK219" s="223"/>
      <c r="BL219" s="223"/>
      <c r="BM219" s="223"/>
      <c r="BN219" s="223"/>
      <c r="BO219" s="223"/>
      <c r="BP219" s="223"/>
      <c r="BQ219" s="223"/>
      <c r="BR219" s="223"/>
      <c r="BS219" s="223"/>
      <c r="BT219" s="223"/>
      <c r="BU219" s="223"/>
      <c r="BV219" s="223"/>
      <c r="BW219" s="223"/>
      <c r="BX219" s="223"/>
      <c r="BY219" s="223"/>
      <c r="BZ219" s="223"/>
      <c r="CA219" s="223"/>
      <c r="CB219" s="223"/>
      <c r="CC219" s="223"/>
      <c r="CD219" s="223"/>
      <c r="CE219" s="223"/>
      <c r="CF219" s="223"/>
      <c r="CG219" s="223"/>
      <c r="CH219" s="223"/>
      <c r="CI219" s="223"/>
      <c r="CJ219" s="223"/>
      <c r="CK219" s="223"/>
      <c r="CL219" s="223"/>
      <c r="CM219" s="223"/>
      <c r="CN219" s="223"/>
      <c r="CO219" s="223"/>
      <c r="CP219" s="223"/>
      <c r="CQ219" s="223"/>
      <c r="CR219" s="223"/>
      <c r="CS219" s="223"/>
      <c r="CT219" s="223"/>
      <c r="CU219" s="223"/>
      <c r="CV219" s="223"/>
      <c r="CW219" s="223"/>
      <c r="CX219" s="223"/>
      <c r="CY219" s="223"/>
      <c r="CZ219" s="223"/>
      <c r="DA219" s="223"/>
      <c r="DB219" s="223"/>
      <c r="DC219" s="223"/>
      <c r="DD219" s="223"/>
      <c r="DE219" s="223"/>
      <c r="DF219" s="223"/>
      <c r="DG219" s="223"/>
      <c r="DH219" s="223"/>
      <c r="DI219" s="223"/>
      <c r="DJ219" s="223"/>
      <c r="DK219" s="223"/>
      <c r="DL219" s="223"/>
      <c r="DM219" s="223"/>
      <c r="DN219" s="223"/>
      <c r="DO219" s="223"/>
      <c r="DP219" s="223"/>
      <c r="DQ219" s="223"/>
      <c r="DR219" s="223"/>
      <c r="DS219" s="223"/>
      <c r="DT219" s="223"/>
      <c r="DU219" s="223"/>
      <c r="DV219" s="223"/>
      <c r="DW219" s="223"/>
      <c r="DX219" s="223"/>
      <c r="DY219" s="223"/>
    </row>
    <row r="220" spans="4:130" x14ac:dyDescent="0.2">
      <c r="D220" s="3">
        <f t="shared" si="67"/>
        <v>0</v>
      </c>
      <c r="E220" s="3">
        <f t="shared" ca="1" si="66"/>
        <v>0.95492965855137513</v>
      </c>
      <c r="BA220" s="90"/>
      <c r="BB220" s="223"/>
      <c r="BC220" s="223"/>
      <c r="BD220" s="223"/>
      <c r="BE220" s="223"/>
      <c r="BF220" s="223"/>
      <c r="BG220" s="223"/>
      <c r="BH220" s="223"/>
      <c r="BI220" s="223"/>
      <c r="BJ220" s="223"/>
      <c r="BK220" s="223"/>
      <c r="BL220" s="223"/>
      <c r="BM220" s="223"/>
      <c r="BN220" s="223"/>
      <c r="BO220" s="223"/>
      <c r="BP220" s="223"/>
      <c r="BQ220" s="223"/>
      <c r="BR220" s="223"/>
      <c r="BS220" s="223"/>
      <c r="BT220" s="223"/>
      <c r="BU220" s="223"/>
      <c r="BV220" s="223"/>
      <c r="BW220" s="223"/>
      <c r="BX220" s="223"/>
      <c r="BY220" s="223"/>
      <c r="BZ220" s="223"/>
      <c r="CA220" s="223"/>
      <c r="CB220" s="223"/>
      <c r="CC220" s="223"/>
      <c r="CD220" s="223"/>
      <c r="CE220" s="223"/>
      <c r="CF220" s="223"/>
      <c r="CG220" s="223"/>
      <c r="CH220" s="223"/>
      <c r="CI220" s="223"/>
      <c r="CJ220" s="223"/>
      <c r="CK220" s="223"/>
      <c r="CL220" s="223"/>
      <c r="CM220" s="223"/>
      <c r="CN220" s="223"/>
      <c r="CO220" s="223"/>
      <c r="CP220" s="223"/>
      <c r="CQ220" s="223"/>
      <c r="CR220" s="223"/>
      <c r="CS220" s="223"/>
      <c r="CT220" s="223"/>
      <c r="CU220" s="223"/>
      <c r="CV220" s="223"/>
      <c r="CW220" s="223"/>
      <c r="CX220" s="223"/>
      <c r="CY220" s="223"/>
      <c r="CZ220" s="223"/>
      <c r="DA220" s="223"/>
      <c r="DB220" s="223"/>
      <c r="DC220" s="223"/>
      <c r="DD220" s="223"/>
      <c r="DE220" s="223"/>
      <c r="DF220" s="223"/>
      <c r="DG220" s="223"/>
      <c r="DH220" s="223"/>
      <c r="DI220" s="223"/>
      <c r="DJ220" s="223"/>
      <c r="DK220" s="223"/>
      <c r="DL220" s="223"/>
      <c r="DM220" s="223"/>
      <c r="DN220" s="223"/>
      <c r="DO220" s="223"/>
      <c r="DP220" s="223"/>
      <c r="DQ220" s="223"/>
      <c r="DR220" s="223"/>
      <c r="DS220" s="223"/>
      <c r="DT220" s="223"/>
      <c r="DU220" s="223"/>
      <c r="DV220" s="223"/>
      <c r="DW220" s="223"/>
      <c r="DX220" s="223"/>
      <c r="DY220" s="223"/>
    </row>
    <row r="221" spans="4:130" x14ac:dyDescent="0.2">
      <c r="D221" s="3">
        <f t="shared" si="67"/>
        <v>0</v>
      </c>
      <c r="E221" s="3">
        <f t="shared" ca="1" si="66"/>
        <v>1.1444745897029707</v>
      </c>
      <c r="BA221" s="90"/>
      <c r="BB221" s="223"/>
      <c r="BC221" s="223"/>
      <c r="BD221" s="223"/>
      <c r="BE221" s="223"/>
      <c r="BF221" s="223"/>
      <c r="BG221" s="223"/>
      <c r="BH221" s="223"/>
      <c r="BI221" s="223"/>
      <c r="BJ221" s="223"/>
      <c r="BK221" s="223"/>
      <c r="BL221" s="223"/>
      <c r="BM221" s="223"/>
      <c r="BN221" s="223"/>
      <c r="BO221" s="223"/>
      <c r="BP221" s="223"/>
      <c r="BQ221" s="223"/>
      <c r="BR221" s="223"/>
      <c r="BS221" s="223"/>
      <c r="BT221" s="223"/>
      <c r="BU221" s="223"/>
      <c r="BV221" s="223"/>
      <c r="BW221" s="223"/>
      <c r="BX221" s="223"/>
      <c r="BY221" s="223"/>
      <c r="BZ221" s="223"/>
      <c r="CA221" s="223"/>
      <c r="CB221" s="223"/>
      <c r="CC221" s="223"/>
      <c r="CD221" s="223"/>
      <c r="CE221" s="223"/>
      <c r="CF221" s="223"/>
      <c r="CG221" s="223"/>
      <c r="CH221" s="223"/>
      <c r="CI221" s="223"/>
      <c r="CJ221" s="223"/>
      <c r="CK221" s="223"/>
      <c r="CL221" s="223"/>
      <c r="CM221" s="223"/>
      <c r="CN221" s="223"/>
      <c r="CO221" s="223"/>
      <c r="CP221" s="223"/>
      <c r="CQ221" s="223"/>
      <c r="CR221" s="223"/>
      <c r="CS221" s="223"/>
      <c r="CT221" s="223"/>
      <c r="CU221" s="223"/>
      <c r="CV221" s="223"/>
      <c r="CW221" s="223"/>
      <c r="CX221" s="223"/>
      <c r="CY221" s="223"/>
      <c r="CZ221" s="223"/>
      <c r="DA221" s="223"/>
      <c r="DB221" s="223"/>
      <c r="DC221" s="223"/>
      <c r="DD221" s="223"/>
      <c r="DE221" s="223"/>
      <c r="DF221" s="223"/>
      <c r="DG221" s="223"/>
      <c r="DH221" s="223"/>
      <c r="DI221" s="223"/>
      <c r="DJ221" s="223"/>
      <c r="DK221" s="223"/>
      <c r="DL221" s="223"/>
      <c r="DM221" s="223"/>
      <c r="DN221" s="223"/>
      <c r="DO221" s="223"/>
      <c r="DP221" s="223"/>
      <c r="DQ221" s="223"/>
      <c r="DR221" s="223"/>
      <c r="DS221" s="223"/>
      <c r="DT221" s="223"/>
      <c r="DU221" s="223"/>
      <c r="DV221" s="223"/>
      <c r="DW221" s="223"/>
      <c r="DX221" s="223"/>
      <c r="DY221" s="223"/>
    </row>
    <row r="222" spans="4:130" x14ac:dyDescent="0.2">
      <c r="D222" s="3">
        <f t="shared" si="67"/>
        <v>0</v>
      </c>
      <c r="E222" s="3">
        <f t="shared" ca="1" si="66"/>
        <v>1.3332351551385646</v>
      </c>
      <c r="BA222" s="90"/>
      <c r="BB222" s="223"/>
      <c r="BC222" s="223"/>
      <c r="BD222" s="223"/>
      <c r="BE222" s="223"/>
      <c r="BF222" s="223"/>
      <c r="BG222" s="223"/>
      <c r="BH222" s="223"/>
      <c r="BI222" s="223"/>
      <c r="BJ222" s="223"/>
      <c r="BK222" s="223"/>
      <c r="BL222" s="223"/>
      <c r="BM222" s="223"/>
      <c r="BN222" s="223"/>
      <c r="BO222" s="223"/>
      <c r="BP222" s="223"/>
      <c r="BQ222" s="223"/>
      <c r="BR222" s="223"/>
      <c r="BS222" s="223"/>
      <c r="BT222" s="223"/>
      <c r="BU222" s="223"/>
      <c r="BV222" s="223"/>
      <c r="BW222" s="223"/>
      <c r="BX222" s="223"/>
      <c r="BY222" s="223"/>
      <c r="BZ222" s="223"/>
      <c r="CA222" s="223"/>
      <c r="CB222" s="223"/>
      <c r="CC222" s="223"/>
      <c r="CD222" s="223"/>
      <c r="CE222" s="223"/>
      <c r="CF222" s="223"/>
      <c r="CG222" s="223"/>
      <c r="CH222" s="223"/>
      <c r="CI222" s="223"/>
      <c r="CJ222" s="223"/>
      <c r="CK222" s="223"/>
      <c r="CL222" s="223"/>
      <c r="CM222" s="223"/>
      <c r="CN222" s="223"/>
      <c r="CO222" s="223"/>
      <c r="CP222" s="223"/>
      <c r="CQ222" s="223"/>
      <c r="CR222" s="223"/>
      <c r="CS222" s="223"/>
      <c r="CT222" s="223"/>
      <c r="CU222" s="223"/>
      <c r="CV222" s="223"/>
      <c r="CW222" s="223"/>
      <c r="CX222" s="223"/>
      <c r="CY222" s="223"/>
      <c r="CZ222" s="223"/>
      <c r="DA222" s="223"/>
      <c r="DB222" s="223"/>
      <c r="DC222" s="223"/>
      <c r="DD222" s="223"/>
      <c r="DE222" s="223"/>
      <c r="DF222" s="223"/>
      <c r="DG222" s="223"/>
      <c r="DH222" s="223"/>
      <c r="DI222" s="223"/>
      <c r="DJ222" s="223"/>
      <c r="DK222" s="223"/>
      <c r="DL222" s="223"/>
      <c r="DM222" s="223"/>
      <c r="DN222" s="223"/>
      <c r="DO222" s="223"/>
      <c r="DP222" s="223"/>
      <c r="DQ222" s="223"/>
      <c r="DR222" s="223"/>
      <c r="DS222" s="223"/>
      <c r="DT222" s="223"/>
      <c r="DU222" s="223"/>
      <c r="DV222" s="223"/>
      <c r="DW222" s="223"/>
      <c r="DX222" s="223"/>
      <c r="DY222" s="223"/>
    </row>
    <row r="223" spans="4:130" x14ac:dyDescent="0.2">
      <c r="D223" s="3">
        <f t="shared" si="67"/>
        <v>0</v>
      </c>
      <c r="E223" s="3">
        <f t="shared" ca="1" si="66"/>
        <v>1.5210819877954092</v>
      </c>
      <c r="BA223" s="90"/>
      <c r="BB223" s="223"/>
      <c r="BC223" s="223"/>
      <c r="BD223" s="223"/>
      <c r="BE223" s="223"/>
      <c r="BF223" s="223"/>
      <c r="BG223" s="223"/>
      <c r="BH223" s="223"/>
      <c r="BI223" s="223"/>
      <c r="BJ223" s="223"/>
      <c r="BK223" s="223"/>
      <c r="BL223" s="223"/>
      <c r="BM223" s="223"/>
      <c r="BN223" s="223"/>
      <c r="BO223" s="223"/>
      <c r="BP223" s="223"/>
      <c r="BQ223" s="223"/>
      <c r="BR223" s="223"/>
      <c r="BS223" s="223"/>
      <c r="BT223" s="223"/>
      <c r="BU223" s="223"/>
      <c r="BV223" s="223"/>
      <c r="BW223" s="223"/>
      <c r="BX223" s="223"/>
      <c r="BY223" s="223"/>
      <c r="BZ223" s="223"/>
      <c r="CA223" s="223"/>
      <c r="CB223" s="223"/>
      <c r="CC223" s="223"/>
      <c r="CD223" s="223"/>
      <c r="CE223" s="223"/>
      <c r="CF223" s="223"/>
      <c r="CG223" s="223"/>
      <c r="CH223" s="223"/>
      <c r="CI223" s="223"/>
      <c r="CJ223" s="223"/>
      <c r="CK223" s="223"/>
      <c r="CL223" s="223"/>
      <c r="CM223" s="223"/>
      <c r="CN223" s="223"/>
      <c r="CO223" s="223"/>
      <c r="CP223" s="223"/>
      <c r="CQ223" s="223"/>
      <c r="CR223" s="223"/>
      <c r="CS223" s="223"/>
      <c r="CT223" s="223"/>
      <c r="CU223" s="223"/>
      <c r="CV223" s="223"/>
      <c r="CW223" s="223"/>
      <c r="CX223" s="223"/>
      <c r="CY223" s="223"/>
      <c r="CZ223" s="223"/>
      <c r="DA223" s="223"/>
      <c r="DB223" s="223"/>
      <c r="DC223" s="223"/>
      <c r="DD223" s="223"/>
      <c r="DE223" s="223"/>
      <c r="DF223" s="223"/>
      <c r="DG223" s="223"/>
      <c r="DH223" s="223"/>
      <c r="DI223" s="223"/>
      <c r="DJ223" s="223"/>
      <c r="DK223" s="223"/>
      <c r="DL223" s="223"/>
      <c r="DM223" s="223"/>
      <c r="DN223" s="223"/>
      <c r="DO223" s="223"/>
      <c r="DP223" s="223"/>
      <c r="DQ223" s="223"/>
      <c r="DR223" s="223"/>
      <c r="DS223" s="223"/>
      <c r="DT223" s="223"/>
      <c r="DU223" s="223"/>
      <c r="DV223" s="223"/>
      <c r="DW223" s="223"/>
      <c r="DX223" s="223"/>
      <c r="DY223" s="223"/>
    </row>
    <row r="224" spans="4:130" x14ac:dyDescent="0.2">
      <c r="D224" s="3">
        <f t="shared" si="67"/>
        <v>0</v>
      </c>
      <c r="E224" s="3">
        <f t="shared" ca="1" si="66"/>
        <v>1.7078863468375589</v>
      </c>
      <c r="BA224" s="90"/>
      <c r="BB224" s="223"/>
      <c r="BC224" s="223"/>
      <c r="BD224" s="223"/>
      <c r="BE224" s="223"/>
      <c r="BF224" s="223"/>
      <c r="BG224" s="223"/>
      <c r="BH224" s="223"/>
      <c r="BI224" s="223"/>
      <c r="BJ224" s="223"/>
      <c r="BK224" s="223"/>
      <c r="BL224" s="223"/>
      <c r="BM224" s="223"/>
      <c r="BN224" s="223"/>
      <c r="BO224" s="223"/>
      <c r="BP224" s="223"/>
      <c r="BQ224" s="223"/>
      <c r="BR224" s="223"/>
      <c r="BS224" s="223"/>
      <c r="BT224" s="223"/>
      <c r="BU224" s="223"/>
      <c r="BV224" s="223"/>
      <c r="BW224" s="223"/>
      <c r="BX224" s="223"/>
      <c r="BY224" s="223"/>
      <c r="BZ224" s="223"/>
      <c r="CA224" s="223"/>
      <c r="CB224" s="223"/>
      <c r="CC224" s="223"/>
      <c r="CD224" s="223"/>
      <c r="CE224" s="223"/>
      <c r="CF224" s="223"/>
      <c r="CG224" s="223"/>
      <c r="CH224" s="223"/>
      <c r="CI224" s="223"/>
      <c r="CJ224" s="223"/>
      <c r="CK224" s="223"/>
      <c r="CL224" s="223"/>
      <c r="CM224" s="223"/>
      <c r="CN224" s="223"/>
      <c r="CO224" s="223"/>
      <c r="CP224" s="223"/>
      <c r="CQ224" s="223"/>
      <c r="CR224" s="223"/>
      <c r="CS224" s="223"/>
      <c r="CT224" s="223"/>
      <c r="CU224" s="223"/>
      <c r="CV224" s="223"/>
      <c r="CW224" s="223"/>
      <c r="CX224" s="223"/>
      <c r="CY224" s="223"/>
      <c r="CZ224" s="223"/>
      <c r="DA224" s="223"/>
      <c r="DB224" s="223"/>
      <c r="DC224" s="223"/>
      <c r="DD224" s="223"/>
      <c r="DE224" s="223"/>
      <c r="DF224" s="223"/>
      <c r="DG224" s="223"/>
      <c r="DH224" s="223"/>
      <c r="DI224" s="223"/>
      <c r="DJ224" s="223"/>
      <c r="DK224" s="223"/>
      <c r="DL224" s="223"/>
      <c r="DM224" s="223"/>
      <c r="DN224" s="223"/>
      <c r="DO224" s="223"/>
      <c r="DP224" s="223"/>
      <c r="DQ224" s="223"/>
      <c r="DR224" s="223"/>
      <c r="DS224" s="223"/>
      <c r="DT224" s="223"/>
      <c r="DU224" s="223"/>
      <c r="DV224" s="223"/>
      <c r="DW224" s="223"/>
      <c r="DX224" s="223"/>
      <c r="DY224" s="223"/>
    </row>
    <row r="225" spans="4:129" x14ac:dyDescent="0.2">
      <c r="D225" s="3">
        <f t="shared" si="67"/>
        <v>0</v>
      </c>
      <c r="E225" s="3">
        <f t="shared" ca="1" si="66"/>
        <v>1.8935202058884129</v>
      </c>
      <c r="BA225" s="90"/>
      <c r="BB225" s="223"/>
      <c r="BC225" s="223"/>
      <c r="BD225" s="223"/>
      <c r="BE225" s="223"/>
      <c r="BF225" s="223"/>
      <c r="BG225" s="223"/>
      <c r="BH225" s="223"/>
      <c r="BI225" s="223"/>
      <c r="BJ225" s="223"/>
      <c r="BK225" s="223"/>
      <c r="BL225" s="223"/>
      <c r="BM225" s="223"/>
      <c r="BN225" s="223"/>
      <c r="BO225" s="223"/>
      <c r="BP225" s="223"/>
      <c r="BQ225" s="223"/>
      <c r="BR225" s="223"/>
      <c r="BS225" s="223"/>
      <c r="BT225" s="223"/>
      <c r="BU225" s="223"/>
      <c r="BV225" s="223"/>
      <c r="BW225" s="223"/>
      <c r="BX225" s="223"/>
      <c r="BY225" s="223"/>
      <c r="BZ225" s="223"/>
      <c r="CA225" s="223"/>
      <c r="CB225" s="223"/>
      <c r="CC225" s="223"/>
      <c r="CD225" s="223"/>
      <c r="CE225" s="223"/>
      <c r="CF225" s="223"/>
      <c r="CG225" s="223"/>
      <c r="CH225" s="223"/>
      <c r="CI225" s="223"/>
      <c r="CJ225" s="223"/>
      <c r="CK225" s="223"/>
      <c r="CL225" s="223"/>
      <c r="CM225" s="223"/>
      <c r="CN225" s="223"/>
      <c r="CO225" s="223"/>
      <c r="CP225" s="223"/>
      <c r="CQ225" s="223"/>
      <c r="CR225" s="223"/>
      <c r="CS225" s="223"/>
      <c r="CT225" s="223"/>
      <c r="CU225" s="223"/>
      <c r="CV225" s="223"/>
      <c r="CW225" s="223"/>
      <c r="CX225" s="223"/>
      <c r="CY225" s="223"/>
      <c r="CZ225" s="223"/>
      <c r="DA225" s="223"/>
      <c r="DB225" s="223"/>
      <c r="DC225" s="223"/>
      <c r="DD225" s="223"/>
      <c r="DE225" s="223"/>
      <c r="DF225" s="223"/>
      <c r="DG225" s="223"/>
      <c r="DH225" s="223"/>
      <c r="DI225" s="223"/>
      <c r="DJ225" s="223"/>
      <c r="DK225" s="223"/>
      <c r="DL225" s="223"/>
      <c r="DM225" s="223"/>
      <c r="DN225" s="223"/>
      <c r="DO225" s="223"/>
      <c r="DP225" s="223"/>
      <c r="DQ225" s="223"/>
      <c r="DR225" s="223"/>
      <c r="DS225" s="223"/>
      <c r="DT225" s="223"/>
      <c r="DU225" s="223"/>
      <c r="DV225" s="223"/>
      <c r="DW225" s="223"/>
      <c r="DX225" s="223"/>
      <c r="DY225" s="223"/>
    </row>
    <row r="226" spans="4:129" x14ac:dyDescent="0.2">
      <c r="D226" s="3">
        <f t="shared" si="67"/>
        <v>0</v>
      </c>
      <c r="E226" s="3">
        <f t="shared" ca="1" si="66"/>
        <v>2.0778563407735953</v>
      </c>
      <c r="BA226" s="90"/>
      <c r="BB226" s="223"/>
      <c r="BC226" s="223"/>
      <c r="BD226" s="223"/>
      <c r="BE226" s="223"/>
      <c r="BF226" s="223"/>
      <c r="BG226" s="223"/>
      <c r="BH226" s="223"/>
      <c r="BI226" s="223"/>
      <c r="BJ226" s="223"/>
      <c r="BK226" s="223"/>
      <c r="BL226" s="223"/>
      <c r="BM226" s="223"/>
      <c r="BN226" s="223"/>
      <c r="BO226" s="223"/>
      <c r="BP226" s="223"/>
      <c r="BQ226" s="223"/>
      <c r="BR226" s="223"/>
      <c r="BS226" s="223"/>
      <c r="BT226" s="223"/>
      <c r="BU226" s="223"/>
      <c r="BV226" s="223"/>
      <c r="BW226" s="223"/>
      <c r="BX226" s="223"/>
      <c r="BY226" s="223"/>
      <c r="BZ226" s="223"/>
      <c r="CA226" s="223"/>
      <c r="CB226" s="223"/>
      <c r="CC226" s="223"/>
      <c r="CD226" s="223"/>
      <c r="CE226" s="223"/>
      <c r="CF226" s="223"/>
      <c r="CG226" s="223"/>
      <c r="CH226" s="223"/>
      <c r="CI226" s="223"/>
      <c r="CJ226" s="223"/>
      <c r="CK226" s="223"/>
      <c r="CL226" s="223"/>
      <c r="CM226" s="223"/>
      <c r="CN226" s="223"/>
      <c r="CO226" s="223"/>
      <c r="CP226" s="223"/>
      <c r="CQ226" s="223"/>
      <c r="CR226" s="223"/>
      <c r="CS226" s="223"/>
      <c r="CT226" s="223"/>
      <c r="CU226" s="223"/>
      <c r="CV226" s="223"/>
      <c r="CW226" s="223"/>
      <c r="CX226" s="223"/>
      <c r="CY226" s="223"/>
      <c r="CZ226" s="223"/>
      <c r="DA226" s="223"/>
      <c r="DB226" s="223"/>
      <c r="DC226" s="223"/>
      <c r="DD226" s="223"/>
      <c r="DE226" s="223"/>
      <c r="DF226" s="223"/>
      <c r="DG226" s="223"/>
      <c r="DH226" s="223"/>
      <c r="DI226" s="223"/>
      <c r="DJ226" s="223"/>
      <c r="DK226" s="223"/>
      <c r="DL226" s="223"/>
      <c r="DM226" s="223"/>
      <c r="DN226" s="223"/>
      <c r="DO226" s="223"/>
      <c r="DP226" s="223"/>
      <c r="DQ226" s="223"/>
      <c r="DR226" s="223"/>
      <c r="DS226" s="223"/>
      <c r="DT226" s="223"/>
      <c r="DU226" s="223"/>
      <c r="DV226" s="223"/>
      <c r="DW226" s="223"/>
      <c r="DX226" s="223"/>
      <c r="DY226" s="223"/>
    </row>
    <row r="227" spans="4:129" x14ac:dyDescent="0.2">
      <c r="D227" s="3">
        <f t="shared" si="67"/>
        <v>0</v>
      </c>
      <c r="E227" s="3">
        <f t="shared" ca="1" si="66"/>
        <v>2.2607684167140523</v>
      </c>
      <c r="BA227" s="90"/>
      <c r="BB227" s="223"/>
      <c r="BC227" s="223"/>
      <c r="BD227" s="223"/>
      <c r="BE227" s="223"/>
      <c r="BF227" s="223"/>
      <c r="BG227" s="223"/>
      <c r="BH227" s="223"/>
      <c r="BI227" s="223"/>
      <c r="BJ227" s="223"/>
      <c r="BK227" s="223"/>
      <c r="BL227" s="223"/>
      <c r="BM227" s="223"/>
      <c r="BN227" s="223"/>
      <c r="BO227" s="223"/>
      <c r="BP227" s="223"/>
      <c r="BQ227" s="223"/>
      <c r="BR227" s="223"/>
      <c r="BS227" s="223"/>
      <c r="BT227" s="223"/>
      <c r="BU227" s="223"/>
      <c r="BV227" s="223"/>
      <c r="BW227" s="223"/>
      <c r="BX227" s="223"/>
      <c r="BY227" s="223"/>
      <c r="BZ227" s="223"/>
      <c r="CA227" s="223"/>
      <c r="CB227" s="223"/>
      <c r="CC227" s="223"/>
      <c r="CD227" s="223"/>
      <c r="CE227" s="223"/>
      <c r="CF227" s="223"/>
      <c r="CG227" s="223"/>
      <c r="CH227" s="223"/>
      <c r="CI227" s="223"/>
      <c r="CJ227" s="223"/>
      <c r="CK227" s="223"/>
      <c r="CL227" s="223"/>
      <c r="CM227" s="223"/>
      <c r="CN227" s="223"/>
      <c r="CO227" s="223"/>
      <c r="CP227" s="223"/>
      <c r="CQ227" s="223"/>
      <c r="CR227" s="223"/>
      <c r="CS227" s="223"/>
      <c r="CT227" s="223"/>
      <c r="CU227" s="223"/>
      <c r="CV227" s="223"/>
      <c r="CW227" s="223"/>
      <c r="CX227" s="223"/>
      <c r="CY227" s="223"/>
      <c r="CZ227" s="223"/>
      <c r="DA227" s="223"/>
      <c r="DB227" s="223"/>
      <c r="DC227" s="223"/>
      <c r="DD227" s="223"/>
      <c r="DE227" s="223"/>
      <c r="DF227" s="223"/>
      <c r="DG227" s="223"/>
      <c r="DH227" s="223"/>
      <c r="DI227" s="223"/>
      <c r="DJ227" s="223"/>
      <c r="DK227" s="223"/>
      <c r="DL227" s="223"/>
      <c r="DM227" s="223"/>
      <c r="DN227" s="223"/>
      <c r="DO227" s="223"/>
      <c r="DP227" s="223"/>
      <c r="DQ227" s="223"/>
      <c r="DR227" s="223"/>
      <c r="DS227" s="223"/>
      <c r="DT227" s="223"/>
      <c r="DU227" s="223"/>
      <c r="DV227" s="223"/>
      <c r="DW227" s="223"/>
      <c r="DX227" s="223"/>
      <c r="DY227" s="223"/>
    </row>
    <row r="228" spans="4:129" x14ac:dyDescent="0.2">
      <c r="D228" s="3">
        <f t="shared" si="67"/>
        <v>0</v>
      </c>
      <c r="E228" s="3">
        <f t="shared" ca="1" si="66"/>
        <v>2.4421310749095952</v>
      </c>
      <c r="BA228" s="90"/>
      <c r="BB228" s="223"/>
      <c r="BC228" s="223"/>
      <c r="BD228" s="223"/>
      <c r="BE228" s="223"/>
      <c r="BF228" s="223"/>
      <c r="BG228" s="223"/>
      <c r="BH228" s="223"/>
      <c r="BI228" s="223"/>
      <c r="BJ228" s="223"/>
      <c r="BK228" s="223"/>
      <c r="BL228" s="223"/>
      <c r="BM228" s="223"/>
      <c r="BN228" s="223"/>
      <c r="BO228" s="223"/>
      <c r="BP228" s="223"/>
      <c r="BQ228" s="223"/>
      <c r="BR228" s="223"/>
      <c r="BS228" s="223"/>
      <c r="BT228" s="223"/>
      <c r="BU228" s="223"/>
      <c r="BV228" s="223"/>
      <c r="BW228" s="223"/>
      <c r="BX228" s="223"/>
      <c r="BY228" s="223"/>
      <c r="BZ228" s="223"/>
      <c r="CA228" s="223"/>
      <c r="CB228" s="223"/>
      <c r="CC228" s="223"/>
      <c r="CD228" s="223"/>
      <c r="CE228" s="223"/>
      <c r="CF228" s="223"/>
      <c r="CG228" s="223"/>
      <c r="CH228" s="223"/>
      <c r="CI228" s="223"/>
      <c r="CJ228" s="223"/>
      <c r="CK228" s="223"/>
      <c r="CL228" s="223"/>
      <c r="CM228" s="223"/>
      <c r="CN228" s="223"/>
      <c r="CO228" s="223"/>
      <c r="CP228" s="223"/>
      <c r="CQ228" s="223"/>
      <c r="CR228" s="223"/>
      <c r="CS228" s="223"/>
      <c r="CT228" s="223"/>
      <c r="CU228" s="223"/>
      <c r="CV228" s="223"/>
      <c r="CW228" s="223"/>
      <c r="CX228" s="223"/>
      <c r="CY228" s="223"/>
      <c r="CZ228" s="223"/>
      <c r="DA228" s="223"/>
      <c r="DB228" s="223"/>
      <c r="DC228" s="223"/>
      <c r="DD228" s="223"/>
      <c r="DE228" s="223"/>
      <c r="DF228" s="223"/>
      <c r="DG228" s="223"/>
      <c r="DH228" s="223"/>
      <c r="DI228" s="223"/>
      <c r="DJ228" s="223"/>
      <c r="DK228" s="223"/>
      <c r="DL228" s="223"/>
      <c r="DM228" s="223"/>
      <c r="DN228" s="223"/>
      <c r="DO228" s="223"/>
      <c r="DP228" s="223"/>
      <c r="DQ228" s="223"/>
      <c r="DR228" s="223"/>
      <c r="DS228" s="223"/>
      <c r="DT228" s="223"/>
      <c r="DU228" s="223"/>
      <c r="DV228" s="223"/>
      <c r="DW228" s="223"/>
      <c r="DX228" s="223"/>
      <c r="DY228" s="223"/>
    </row>
    <row r="229" spans="4:129" x14ac:dyDescent="0.2">
      <c r="D229" s="3">
        <f t="shared" si="67"/>
        <v>0</v>
      </c>
      <c r="E229" s="3">
        <f t="shared" ca="1" si="66"/>
        <v>2.6218200184535649</v>
      </c>
      <c r="BA229" s="90"/>
      <c r="BB229" s="223"/>
      <c r="BC229" s="223"/>
      <c r="BD229" s="223"/>
      <c r="BE229" s="223"/>
      <c r="BF229" s="223"/>
      <c r="BG229" s="223"/>
      <c r="BH229" s="223"/>
      <c r="BI229" s="223"/>
      <c r="BJ229" s="223"/>
      <c r="BK229" s="223"/>
      <c r="BL229" s="223"/>
      <c r="BM229" s="223"/>
      <c r="BN229" s="223"/>
      <c r="BO229" s="223"/>
      <c r="BP229" s="223"/>
      <c r="BQ229" s="223"/>
      <c r="BR229" s="223"/>
      <c r="BS229" s="223"/>
      <c r="BT229" s="223"/>
      <c r="BU229" s="223"/>
      <c r="BV229" s="223"/>
      <c r="BW229" s="223"/>
      <c r="BX229" s="223"/>
      <c r="BY229" s="223"/>
      <c r="BZ229" s="223"/>
      <c r="CA229" s="223"/>
      <c r="CB229" s="223"/>
      <c r="CC229" s="223"/>
      <c r="CD229" s="223"/>
      <c r="CE229" s="223"/>
      <c r="CF229" s="223"/>
      <c r="CG229" s="223"/>
      <c r="CH229" s="223"/>
      <c r="CI229" s="223"/>
      <c r="CJ229" s="223"/>
      <c r="CK229" s="223"/>
      <c r="CL229" s="223"/>
      <c r="CM229" s="223"/>
      <c r="CN229" s="223"/>
      <c r="CO229" s="223"/>
      <c r="CP229" s="223"/>
      <c r="CQ229" s="223"/>
      <c r="CR229" s="223"/>
      <c r="CS229" s="223"/>
      <c r="CT229" s="223"/>
      <c r="CU229" s="223"/>
      <c r="CV229" s="223"/>
      <c r="CW229" s="223"/>
      <c r="CX229" s="223"/>
      <c r="CY229" s="223"/>
      <c r="CZ229" s="223"/>
      <c r="DA229" s="223"/>
      <c r="DB229" s="223"/>
      <c r="DC229" s="223"/>
      <c r="DD229" s="223"/>
      <c r="DE229" s="223"/>
      <c r="DF229" s="223"/>
      <c r="DG229" s="223"/>
      <c r="DH229" s="223"/>
      <c r="DI229" s="223"/>
      <c r="DJ229" s="223"/>
      <c r="DK229" s="223"/>
      <c r="DL229" s="223"/>
      <c r="DM229" s="223"/>
      <c r="DN229" s="223"/>
      <c r="DO229" s="223"/>
      <c r="DP229" s="223"/>
      <c r="DQ229" s="223"/>
      <c r="DR229" s="223"/>
      <c r="DS229" s="223"/>
      <c r="DT229" s="223"/>
      <c r="DU229" s="223"/>
      <c r="DV229" s="223"/>
      <c r="DW229" s="223"/>
      <c r="DX229" s="223"/>
      <c r="DY229" s="223"/>
    </row>
    <row r="230" spans="4:129" x14ac:dyDescent="0.2">
      <c r="D230" s="3">
        <f t="shared" si="67"/>
        <v>2</v>
      </c>
      <c r="E230" s="3">
        <f t="shared" ca="1" si="66"/>
        <v>2.7997120975197176</v>
      </c>
      <c r="BA230" s="90"/>
      <c r="BB230" s="223"/>
      <c r="BC230" s="223"/>
      <c r="BD230" s="223"/>
      <c r="BE230" s="223"/>
      <c r="BF230" s="223"/>
      <c r="BG230" s="223"/>
      <c r="BH230" s="223"/>
      <c r="BI230" s="223"/>
      <c r="BJ230" s="223"/>
      <c r="BK230" s="223"/>
      <c r="BL230" s="223"/>
      <c r="BM230" s="223"/>
      <c r="BN230" s="223"/>
      <c r="BO230" s="223"/>
      <c r="BP230" s="223"/>
      <c r="BQ230" s="223"/>
      <c r="BR230" s="223"/>
      <c r="BS230" s="223"/>
      <c r="BT230" s="223"/>
      <c r="BU230" s="223"/>
      <c r="BV230" s="223"/>
      <c r="BW230" s="223"/>
      <c r="BX230" s="223"/>
      <c r="BY230" s="223"/>
      <c r="BZ230" s="223"/>
      <c r="CA230" s="223"/>
      <c r="CB230" s="223"/>
      <c r="CC230" s="223"/>
      <c r="CD230" s="223"/>
      <c r="CE230" s="223"/>
      <c r="CF230" s="223"/>
      <c r="CG230" s="223"/>
      <c r="CH230" s="223"/>
      <c r="CI230" s="223"/>
      <c r="CJ230" s="223"/>
      <c r="CK230" s="223"/>
      <c r="CL230" s="223"/>
      <c r="CM230" s="223"/>
      <c r="CN230" s="223"/>
      <c r="CO230" s="223"/>
      <c r="CP230" s="223"/>
      <c r="CQ230" s="223"/>
      <c r="CR230" s="223"/>
      <c r="CS230" s="223"/>
      <c r="CT230" s="223"/>
      <c r="CU230" s="223"/>
      <c r="CV230" s="223"/>
      <c r="CW230" s="223"/>
      <c r="CX230" s="223"/>
      <c r="CY230" s="223"/>
      <c r="CZ230" s="223"/>
      <c r="DA230" s="223"/>
      <c r="DB230" s="223"/>
      <c r="DC230" s="223"/>
      <c r="DD230" s="223"/>
      <c r="DE230" s="223"/>
      <c r="DF230" s="223"/>
      <c r="DG230" s="223"/>
      <c r="DH230" s="223"/>
      <c r="DI230" s="223"/>
      <c r="DJ230" s="223"/>
      <c r="DK230" s="223"/>
      <c r="DL230" s="223"/>
      <c r="DM230" s="223"/>
      <c r="DN230" s="223"/>
      <c r="DO230" s="223"/>
      <c r="DP230" s="223"/>
      <c r="DQ230" s="223"/>
      <c r="DR230" s="223"/>
      <c r="DS230" s="223"/>
      <c r="DT230" s="223"/>
      <c r="DU230" s="223"/>
      <c r="DV230" s="223"/>
      <c r="DW230" s="223"/>
      <c r="DX230" s="223"/>
      <c r="DY230" s="223"/>
    </row>
    <row r="231" spans="4:129" x14ac:dyDescent="0.2">
      <c r="D231" s="3">
        <f t="shared" si="67"/>
        <v>2</v>
      </c>
      <c r="E231" s="3">
        <f t="shared" ca="1" si="66"/>
        <v>2.9756853937629706</v>
      </c>
      <c r="BA231" s="90"/>
      <c r="BB231" s="223"/>
      <c r="BC231" s="223"/>
      <c r="BD231" s="223"/>
      <c r="BE231" s="223"/>
      <c r="BF231" s="223"/>
      <c r="BG231" s="223"/>
      <c r="BH231" s="223"/>
      <c r="BI231" s="223"/>
      <c r="BJ231" s="223"/>
      <c r="BK231" s="223"/>
      <c r="BL231" s="223"/>
      <c r="BM231" s="223"/>
      <c r="BN231" s="223"/>
      <c r="BO231" s="223"/>
      <c r="BP231" s="223"/>
      <c r="BQ231" s="223"/>
      <c r="BR231" s="223"/>
      <c r="BS231" s="223"/>
      <c r="BT231" s="223"/>
      <c r="BU231" s="223"/>
      <c r="BV231" s="223"/>
      <c r="BW231" s="223"/>
      <c r="BX231" s="223"/>
      <c r="BY231" s="223"/>
      <c r="BZ231" s="223"/>
      <c r="CA231" s="223"/>
      <c r="CB231" s="223"/>
      <c r="CC231" s="223"/>
      <c r="CD231" s="223"/>
      <c r="CE231" s="223"/>
      <c r="CF231" s="223"/>
      <c r="CG231" s="223"/>
      <c r="CH231" s="223"/>
      <c r="CI231" s="223"/>
      <c r="CJ231" s="223"/>
      <c r="CK231" s="223"/>
      <c r="CL231" s="223"/>
      <c r="CM231" s="223"/>
      <c r="CN231" s="223"/>
      <c r="CO231" s="223"/>
      <c r="CP231" s="223"/>
      <c r="CQ231" s="223"/>
      <c r="CR231" s="223"/>
      <c r="CS231" s="223"/>
      <c r="CT231" s="223"/>
      <c r="CU231" s="223"/>
      <c r="CV231" s="223"/>
      <c r="CW231" s="223"/>
      <c r="CX231" s="223"/>
      <c r="CY231" s="223"/>
      <c r="CZ231" s="223"/>
      <c r="DA231" s="223"/>
      <c r="DB231" s="223"/>
      <c r="DC231" s="223"/>
      <c r="DD231" s="223"/>
      <c r="DE231" s="223"/>
      <c r="DF231" s="223"/>
      <c r="DG231" s="223"/>
      <c r="DH231" s="223"/>
      <c r="DI231" s="223"/>
      <c r="DJ231" s="223"/>
      <c r="DK231" s="223"/>
      <c r="DL231" s="223"/>
      <c r="DM231" s="223"/>
      <c r="DN231" s="223"/>
      <c r="DO231" s="223"/>
      <c r="DP231" s="223"/>
      <c r="DQ231" s="223"/>
      <c r="DR231" s="223"/>
      <c r="DS231" s="223"/>
      <c r="DT231" s="223"/>
      <c r="DU231" s="223"/>
      <c r="DV231" s="223"/>
      <c r="DW231" s="223"/>
      <c r="DX231" s="223"/>
      <c r="DY231" s="223"/>
    </row>
    <row r="232" spans="4:129" x14ac:dyDescent="0.2">
      <c r="D232" s="3">
        <f t="shared" si="67"/>
        <v>2</v>
      </c>
      <c r="E232" s="3">
        <f t="shared" ca="1" si="66"/>
        <v>3.1496193038761398</v>
      </c>
      <c r="BA232" s="90"/>
      <c r="BB232" s="223"/>
      <c r="BC232" s="223"/>
      <c r="BD232" s="223"/>
      <c r="BE232" s="223"/>
      <c r="BF232" s="223"/>
      <c r="BG232" s="223"/>
      <c r="BH232" s="223"/>
      <c r="BI232" s="223"/>
      <c r="BJ232" s="223"/>
      <c r="BK232" s="223"/>
      <c r="BL232" s="223"/>
      <c r="BM232" s="223"/>
      <c r="BN232" s="223"/>
      <c r="BO232" s="223"/>
      <c r="BP232" s="223"/>
      <c r="BQ232" s="223"/>
      <c r="BR232" s="223"/>
      <c r="BS232" s="223"/>
      <c r="BT232" s="223"/>
      <c r="BU232" s="223"/>
      <c r="BV232" s="223"/>
      <c r="BW232" s="223"/>
      <c r="BX232" s="223"/>
      <c r="BY232" s="223"/>
      <c r="BZ232" s="223"/>
      <c r="CA232" s="223"/>
      <c r="CB232" s="223"/>
      <c r="CC232" s="223"/>
      <c r="CD232" s="223"/>
      <c r="CE232" s="223"/>
      <c r="CF232" s="223"/>
      <c r="CG232" s="223"/>
      <c r="CH232" s="223"/>
      <c r="CI232" s="223"/>
      <c r="CJ232" s="223"/>
      <c r="CK232" s="223"/>
      <c r="CL232" s="223"/>
      <c r="CM232" s="223"/>
      <c r="CN232" s="223"/>
      <c r="CO232" s="223"/>
      <c r="CP232" s="223"/>
      <c r="CQ232" s="223"/>
      <c r="CR232" s="223"/>
      <c r="CS232" s="223"/>
      <c r="CT232" s="223"/>
      <c r="CU232" s="223"/>
      <c r="CV232" s="223"/>
      <c r="CW232" s="223"/>
      <c r="CX232" s="223"/>
      <c r="CY232" s="223"/>
      <c r="CZ232" s="223"/>
      <c r="DA232" s="223"/>
      <c r="DB232" s="223"/>
      <c r="DC232" s="223"/>
      <c r="DD232" s="223"/>
      <c r="DE232" s="223"/>
      <c r="DF232" s="223"/>
      <c r="DG232" s="223"/>
      <c r="DH232" s="223"/>
      <c r="DI232" s="223"/>
      <c r="DJ232" s="223"/>
      <c r="DK232" s="223"/>
      <c r="DL232" s="223"/>
      <c r="DM232" s="223"/>
      <c r="DN232" s="223"/>
      <c r="DO232" s="223"/>
      <c r="DP232" s="223"/>
      <c r="DQ232" s="223"/>
      <c r="DR232" s="223"/>
      <c r="DS232" s="223"/>
      <c r="DT232" s="223"/>
      <c r="DU232" s="223"/>
      <c r="DV232" s="223"/>
      <c r="DW232" s="223"/>
      <c r="DX232" s="223"/>
      <c r="DY232" s="223"/>
    </row>
    <row r="233" spans="4:129" x14ac:dyDescent="0.2">
      <c r="D233" s="3">
        <f t="shared" si="67"/>
        <v>2</v>
      </c>
      <c r="E233" s="3">
        <f t="shared" ca="1" si="66"/>
        <v>3.3213946222454283</v>
      </c>
      <c r="BA233" s="90"/>
      <c r="BB233" s="223"/>
      <c r="BC233" s="223"/>
      <c r="BD233" s="223"/>
      <c r="BE233" s="223"/>
      <c r="BF233" s="223"/>
      <c r="BG233" s="223"/>
      <c r="BH233" s="223"/>
      <c r="BI233" s="223"/>
      <c r="BJ233" s="223"/>
      <c r="BK233" s="223"/>
      <c r="BL233" s="223"/>
      <c r="BM233" s="223"/>
      <c r="BN233" s="223"/>
      <c r="BO233" s="223"/>
      <c r="BP233" s="223"/>
      <c r="BQ233" s="223"/>
      <c r="BR233" s="223"/>
      <c r="BS233" s="223"/>
      <c r="BT233" s="223"/>
      <c r="BU233" s="223"/>
      <c r="BV233" s="223"/>
      <c r="BW233" s="223"/>
      <c r="BX233" s="223"/>
      <c r="BY233" s="223"/>
      <c r="BZ233" s="223"/>
      <c r="CA233" s="223"/>
      <c r="CB233" s="223"/>
      <c r="CC233" s="223"/>
      <c r="CD233" s="223"/>
      <c r="CE233" s="223"/>
      <c r="CF233" s="223"/>
      <c r="CG233" s="223"/>
      <c r="CH233" s="223"/>
      <c r="CI233" s="223"/>
      <c r="CJ233" s="223"/>
      <c r="CK233" s="223"/>
      <c r="CL233" s="223"/>
      <c r="CM233" s="223"/>
      <c r="CN233" s="223"/>
      <c r="CO233" s="223"/>
      <c r="CP233" s="223"/>
      <c r="CQ233" s="223"/>
      <c r="CR233" s="223"/>
      <c r="CS233" s="223"/>
      <c r="CT233" s="223"/>
      <c r="CU233" s="223"/>
      <c r="CV233" s="223"/>
      <c r="CW233" s="223"/>
      <c r="CX233" s="223"/>
      <c r="CY233" s="223"/>
      <c r="CZ233" s="223"/>
      <c r="DA233" s="223"/>
      <c r="DB233" s="223"/>
      <c r="DC233" s="223"/>
      <c r="DD233" s="223"/>
      <c r="DE233" s="223"/>
      <c r="DF233" s="223"/>
      <c r="DG233" s="223"/>
      <c r="DH233" s="223"/>
      <c r="DI233" s="223"/>
      <c r="DJ233" s="223"/>
      <c r="DK233" s="223"/>
      <c r="DL233" s="223"/>
      <c r="DM233" s="223"/>
      <c r="DN233" s="223"/>
      <c r="DO233" s="223"/>
      <c r="DP233" s="223"/>
      <c r="DQ233" s="223"/>
      <c r="DR233" s="223"/>
      <c r="DS233" s="223"/>
      <c r="DT233" s="223"/>
      <c r="DU233" s="223"/>
      <c r="DV233" s="223"/>
      <c r="DW233" s="223"/>
      <c r="DX233" s="223"/>
      <c r="DY233" s="223"/>
    </row>
    <row r="234" spans="4:129" x14ac:dyDescent="0.2">
      <c r="D234" s="3">
        <f t="shared" si="67"/>
        <v>2</v>
      </c>
      <c r="E234" s="3">
        <f t="shared" ca="1" si="66"/>
        <v>3.4908936226479921</v>
      </c>
      <c r="BA234" s="90"/>
      <c r="BB234" s="223"/>
      <c r="BC234" s="223"/>
      <c r="BD234" s="223"/>
      <c r="BE234" s="223"/>
      <c r="BF234" s="223"/>
      <c r="BG234" s="223"/>
      <c r="BH234" s="223"/>
      <c r="BI234" s="223"/>
      <c r="BJ234" s="223"/>
      <c r="BK234" s="223"/>
      <c r="BL234" s="223"/>
      <c r="BM234" s="223"/>
      <c r="BN234" s="223"/>
      <c r="BO234" s="223"/>
      <c r="BP234" s="223"/>
      <c r="BQ234" s="223"/>
      <c r="BR234" s="223"/>
      <c r="BS234" s="223"/>
      <c r="BT234" s="223"/>
      <c r="BU234" s="223"/>
      <c r="BV234" s="223"/>
      <c r="BW234" s="223"/>
      <c r="BX234" s="223"/>
      <c r="BY234" s="223"/>
      <c r="BZ234" s="223"/>
      <c r="CA234" s="223"/>
      <c r="CB234" s="223"/>
      <c r="CC234" s="223"/>
      <c r="CD234" s="223"/>
      <c r="CE234" s="223"/>
      <c r="CF234" s="223"/>
      <c r="CG234" s="223"/>
      <c r="CH234" s="223"/>
      <c r="CI234" s="223"/>
      <c r="CJ234" s="223"/>
      <c r="CK234" s="223"/>
      <c r="CL234" s="223"/>
      <c r="CM234" s="223"/>
      <c r="CN234" s="223"/>
      <c r="CO234" s="223"/>
      <c r="CP234" s="223"/>
      <c r="CQ234" s="223"/>
      <c r="CR234" s="223"/>
      <c r="CS234" s="223"/>
      <c r="CT234" s="223"/>
      <c r="CU234" s="223"/>
      <c r="CV234" s="223"/>
      <c r="CW234" s="223"/>
      <c r="CX234" s="223"/>
      <c r="CY234" s="223"/>
      <c r="CZ234" s="223"/>
      <c r="DA234" s="223"/>
      <c r="DB234" s="223"/>
      <c r="DC234" s="223"/>
      <c r="DD234" s="223"/>
      <c r="DE234" s="223"/>
      <c r="DF234" s="223"/>
      <c r="DG234" s="223"/>
      <c r="DH234" s="223"/>
      <c r="DI234" s="223"/>
      <c r="DJ234" s="223"/>
      <c r="DK234" s="223"/>
      <c r="DL234" s="223"/>
      <c r="DM234" s="223"/>
      <c r="DN234" s="223"/>
      <c r="DO234" s="223"/>
      <c r="DP234" s="223"/>
      <c r="DQ234" s="223"/>
      <c r="DR234" s="223"/>
      <c r="DS234" s="223"/>
      <c r="DT234" s="223"/>
      <c r="DU234" s="223"/>
      <c r="DV234" s="223"/>
      <c r="DW234" s="223"/>
      <c r="DX234" s="223"/>
      <c r="DY234" s="223"/>
    </row>
    <row r="235" spans="4:129" x14ac:dyDescent="0.2">
      <c r="D235" s="3">
        <f t="shared" si="67"/>
        <v>2</v>
      </c>
      <c r="E235" s="3">
        <f t="shared" ca="1" si="66"/>
        <v>3.6580001389356203</v>
      </c>
      <c r="BA235" s="90"/>
      <c r="BB235" s="223"/>
      <c r="BC235" s="223"/>
      <c r="BD235" s="223"/>
      <c r="BE235" s="223"/>
      <c r="BF235" s="223"/>
      <c r="BG235" s="223"/>
      <c r="BH235" s="223"/>
      <c r="BI235" s="223"/>
      <c r="BJ235" s="223"/>
      <c r="BK235" s="223"/>
      <c r="BL235" s="223"/>
      <c r="BM235" s="223"/>
      <c r="BN235" s="223"/>
      <c r="BO235" s="223"/>
      <c r="BP235" s="223"/>
      <c r="BQ235" s="223"/>
      <c r="BR235" s="223"/>
      <c r="BS235" s="223"/>
      <c r="BT235" s="223"/>
      <c r="BU235" s="223"/>
      <c r="BV235" s="223"/>
      <c r="BW235" s="223"/>
      <c r="BX235" s="223"/>
      <c r="BY235" s="223"/>
      <c r="BZ235" s="223"/>
      <c r="CA235" s="223"/>
      <c r="CB235" s="223"/>
      <c r="CC235" s="223"/>
      <c r="CD235" s="223"/>
      <c r="CE235" s="223"/>
      <c r="CF235" s="223"/>
      <c r="CG235" s="223"/>
      <c r="CH235" s="223"/>
      <c r="CI235" s="223"/>
      <c r="CJ235" s="223"/>
      <c r="CK235" s="223"/>
      <c r="CL235" s="223"/>
      <c r="CM235" s="223"/>
      <c r="CN235" s="223"/>
      <c r="CO235" s="223"/>
      <c r="CP235" s="223"/>
      <c r="CQ235" s="223"/>
      <c r="CR235" s="223"/>
      <c r="CS235" s="223"/>
      <c r="CT235" s="223"/>
      <c r="CU235" s="223"/>
      <c r="CV235" s="223"/>
      <c r="CW235" s="223"/>
      <c r="CX235" s="223"/>
      <c r="CY235" s="223"/>
      <c r="CZ235" s="223"/>
      <c r="DA235" s="223"/>
      <c r="DB235" s="223"/>
      <c r="DC235" s="223"/>
      <c r="DD235" s="223"/>
      <c r="DE235" s="223"/>
      <c r="DF235" s="223"/>
      <c r="DG235" s="223"/>
      <c r="DH235" s="223"/>
      <c r="DI235" s="223"/>
      <c r="DJ235" s="223"/>
      <c r="DK235" s="223"/>
      <c r="DL235" s="223"/>
      <c r="DM235" s="223"/>
      <c r="DN235" s="223"/>
      <c r="DO235" s="223"/>
      <c r="DP235" s="223"/>
      <c r="DQ235" s="223"/>
      <c r="DR235" s="223"/>
      <c r="DS235" s="223"/>
      <c r="DT235" s="223"/>
      <c r="DU235" s="223"/>
      <c r="DV235" s="223"/>
      <c r="DW235" s="223"/>
      <c r="DX235" s="223"/>
      <c r="DY235" s="223"/>
    </row>
    <row r="236" spans="4:129" x14ac:dyDescent="0.2">
      <c r="D236" s="3">
        <f t="shared" si="67"/>
        <v>2</v>
      </c>
      <c r="E236" s="3">
        <f t="shared" ca="1" si="66"/>
        <v>3.8225996446492068</v>
      </c>
      <c r="BA236" s="90"/>
      <c r="BB236" s="223"/>
      <c r="BC236" s="223"/>
      <c r="BD236" s="223"/>
      <c r="BE236" s="223"/>
      <c r="BF236" s="223"/>
      <c r="BG236" s="223"/>
      <c r="BH236" s="223"/>
      <c r="BI236" s="223"/>
      <c r="BJ236" s="223"/>
      <c r="BK236" s="223"/>
      <c r="BL236" s="223"/>
      <c r="BM236" s="223"/>
      <c r="BN236" s="223"/>
      <c r="BO236" s="223"/>
      <c r="BP236" s="223"/>
      <c r="BQ236" s="223"/>
      <c r="BR236" s="223"/>
      <c r="BS236" s="223"/>
      <c r="BT236" s="223"/>
      <c r="BU236" s="223"/>
      <c r="BV236" s="223"/>
      <c r="BW236" s="223"/>
      <c r="BX236" s="223"/>
      <c r="BY236" s="223"/>
      <c r="BZ236" s="223"/>
      <c r="CA236" s="223"/>
      <c r="CB236" s="223"/>
      <c r="CC236" s="223"/>
      <c r="CD236" s="223"/>
      <c r="CE236" s="223"/>
      <c r="CF236" s="223"/>
      <c r="CG236" s="223"/>
      <c r="CH236" s="223"/>
      <c r="CI236" s="223"/>
      <c r="CJ236" s="223"/>
      <c r="CK236" s="223"/>
      <c r="CL236" s="223"/>
      <c r="CM236" s="223"/>
      <c r="CN236" s="223"/>
      <c r="CO236" s="223"/>
      <c r="CP236" s="223"/>
      <c r="CQ236" s="223"/>
      <c r="CR236" s="223"/>
      <c r="CS236" s="223"/>
      <c r="CT236" s="223"/>
      <c r="CU236" s="223"/>
      <c r="CV236" s="223"/>
      <c r="CW236" s="223"/>
      <c r="CX236" s="223"/>
      <c r="CY236" s="223"/>
      <c r="CZ236" s="223"/>
      <c r="DA236" s="223"/>
      <c r="DB236" s="223"/>
      <c r="DC236" s="223"/>
      <c r="DD236" s="223"/>
      <c r="DE236" s="223"/>
      <c r="DF236" s="223"/>
      <c r="DG236" s="223"/>
      <c r="DH236" s="223"/>
      <c r="DI236" s="223"/>
      <c r="DJ236" s="223"/>
      <c r="DK236" s="223"/>
      <c r="DL236" s="223"/>
      <c r="DM236" s="223"/>
      <c r="DN236" s="223"/>
      <c r="DO236" s="223"/>
      <c r="DP236" s="223"/>
      <c r="DQ236" s="223"/>
      <c r="DR236" s="223"/>
      <c r="DS236" s="223"/>
      <c r="DT236" s="223"/>
      <c r="DU236" s="223"/>
      <c r="DV236" s="223"/>
      <c r="DW236" s="223"/>
      <c r="DX236" s="223"/>
      <c r="DY236" s="223"/>
    </row>
    <row r="237" spans="4:129" x14ac:dyDescent="0.2">
      <c r="D237" s="3">
        <f t="shared" si="67"/>
        <v>2</v>
      </c>
      <c r="E237" s="3">
        <f t="shared" ca="1" si="66"/>
        <v>3.9845793315094613</v>
      </c>
      <c r="BA237" s="90"/>
      <c r="BB237" s="223"/>
      <c r="BC237" s="223"/>
      <c r="BD237" s="223"/>
      <c r="BE237" s="223"/>
      <c r="BF237" s="223"/>
      <c r="BG237" s="223"/>
      <c r="BH237" s="223"/>
      <c r="BI237" s="223"/>
      <c r="BJ237" s="223"/>
      <c r="BK237" s="223"/>
      <c r="BL237" s="223"/>
      <c r="BM237" s="223"/>
      <c r="BN237" s="223"/>
      <c r="BO237" s="223"/>
      <c r="BP237" s="223"/>
      <c r="BQ237" s="223"/>
      <c r="BR237" s="223"/>
      <c r="BS237" s="223"/>
      <c r="BT237" s="223"/>
      <c r="BU237" s="223"/>
      <c r="BV237" s="223"/>
      <c r="BW237" s="223"/>
      <c r="BX237" s="223"/>
      <c r="BY237" s="223"/>
      <c r="BZ237" s="223"/>
      <c r="CA237" s="223"/>
      <c r="CB237" s="223"/>
      <c r="CC237" s="223"/>
      <c r="CD237" s="223"/>
      <c r="CE237" s="223"/>
      <c r="CF237" s="223"/>
      <c r="CG237" s="223"/>
      <c r="CH237" s="223"/>
      <c r="CI237" s="223"/>
      <c r="CJ237" s="223"/>
      <c r="CK237" s="223"/>
      <c r="CL237" s="223"/>
      <c r="CM237" s="223"/>
      <c r="CN237" s="223"/>
      <c r="CO237" s="223"/>
      <c r="CP237" s="223"/>
      <c r="CQ237" s="223"/>
      <c r="CR237" s="223"/>
      <c r="CS237" s="223"/>
      <c r="CT237" s="223"/>
      <c r="CU237" s="223"/>
      <c r="CV237" s="223"/>
      <c r="CW237" s="223"/>
      <c r="CX237" s="223"/>
      <c r="CY237" s="223"/>
      <c r="CZ237" s="223"/>
      <c r="DA237" s="223"/>
      <c r="DB237" s="223"/>
      <c r="DC237" s="223"/>
      <c r="DD237" s="223"/>
      <c r="DE237" s="223"/>
      <c r="DF237" s="223"/>
      <c r="DG237" s="223"/>
      <c r="DH237" s="223"/>
      <c r="DI237" s="223"/>
      <c r="DJ237" s="223"/>
      <c r="DK237" s="223"/>
      <c r="DL237" s="223"/>
      <c r="DM237" s="223"/>
      <c r="DN237" s="223"/>
      <c r="DO237" s="223"/>
      <c r="DP237" s="223"/>
      <c r="DQ237" s="223"/>
      <c r="DR237" s="223"/>
      <c r="DS237" s="223"/>
      <c r="DT237" s="223"/>
      <c r="DU237" s="223"/>
      <c r="DV237" s="223"/>
      <c r="DW237" s="223"/>
      <c r="DX237" s="223"/>
      <c r="DY237" s="223"/>
    </row>
    <row r="238" spans="4:129" x14ac:dyDescent="0.2">
      <c r="D238" s="3">
        <f t="shared" si="67"/>
        <v>2</v>
      </c>
      <c r="E238" s="3">
        <f t="shared" ca="1" si="66"/>
        <v>4.1438281867300804</v>
      </c>
    </row>
    <row r="239" spans="4:129" x14ac:dyDescent="0.2">
      <c r="D239" s="3">
        <f t="shared" si="67"/>
        <v>2</v>
      </c>
      <c r="E239" s="3">
        <f t="shared" ca="1" si="66"/>
        <v>4.3002370691003495</v>
      </c>
    </row>
    <row r="240" spans="4:129" x14ac:dyDescent="0.2">
      <c r="D240" s="3">
        <f t="shared" si="67"/>
        <v>4</v>
      </c>
      <c r="E240" s="3">
        <f t="shared" ca="1" si="66"/>
        <v>4.4536987837850921</v>
      </c>
    </row>
    <row r="241" spans="4:5" x14ac:dyDescent="0.2">
      <c r="D241" s="3">
        <f t="shared" si="67"/>
        <v>4</v>
      </c>
      <c r="E241" s="3">
        <f t="shared" ca="1" si="66"/>
        <v>4.6041081557906471</v>
      </c>
    </row>
    <row r="242" spans="4:5" x14ac:dyDescent="0.2">
      <c r="D242" s="3">
        <f t="shared" si="67"/>
        <v>4</v>
      </c>
      <c r="E242" s="3">
        <f t="shared" ca="1" si="66"/>
        <v>4.7513621020465573</v>
      </c>
    </row>
    <row r="243" spans="4:5" x14ac:dyDescent="0.2">
      <c r="D243" s="3">
        <f t="shared" si="67"/>
        <v>4</v>
      </c>
      <c r="E243" s="3">
        <f t="shared" ca="1" si="66"/>
        <v>4.8953597020535566</v>
      </c>
    </row>
    <row r="244" spans="4:5" x14ac:dyDescent="0.2">
      <c r="D244" s="3">
        <f t="shared" si="67"/>
        <v>4</v>
      </c>
      <c r="E244" s="3">
        <f t="shared" ca="1" si="66"/>
        <v>5.036002267049442</v>
      </c>
    </row>
    <row r="245" spans="4:5" x14ac:dyDescent="0.2">
      <c r="D245" s="3">
        <f t="shared" si="67"/>
        <v>4</v>
      </c>
      <c r="E245" s="3">
        <f t="shared" ca="1" si="66"/>
        <v>5.1731934076454174</v>
      </c>
    </row>
    <row r="246" spans="4:5" x14ac:dyDescent="0.2">
      <c r="D246" s="3">
        <f t="shared" si="67"/>
        <v>4</v>
      </c>
      <c r="E246" s="3">
        <f t="shared" ca="1" si="66"/>
        <v>5.3068390998865711</v>
      </c>
    </row>
    <row r="247" spans="4:5" x14ac:dyDescent="0.2">
      <c r="D247" s="3">
        <f t="shared" si="67"/>
        <v>4</v>
      </c>
      <c r="E247" s="3">
        <f t="shared" ca="1" si="66"/>
        <v>5.4368477496911884</v>
      </c>
    </row>
    <row r="248" spans="4:5" x14ac:dyDescent="0.2">
      <c r="D248" s="3">
        <f t="shared" si="67"/>
        <v>4</v>
      </c>
      <c r="E248" s="3">
        <f t="shared" ca="1" si="66"/>
        <v>5.563130255624773</v>
      </c>
    </row>
    <row r="249" spans="4:5" x14ac:dyDescent="0.2">
      <c r="D249" s="3">
        <f t="shared" si="67"/>
        <v>4</v>
      </c>
      <c r="E249" s="3">
        <f t="shared" ca="1" si="66"/>
        <v>5.6856000699657079</v>
      </c>
    </row>
    <row r="250" spans="4:5" x14ac:dyDescent="0.2">
      <c r="D250" s="3">
        <f t="shared" si="67"/>
        <v>5</v>
      </c>
      <c r="E250" s="3">
        <f t="shared" ca="1" si="66"/>
        <v>5.804173258020751</v>
      </c>
    </row>
    <row r="251" spans="4:5" x14ac:dyDescent="0.2">
      <c r="D251" s="3">
        <f t="shared" si="67"/>
        <v>5</v>
      </c>
      <c r="E251" s="3">
        <f t="shared" ca="1" si="66"/>
        <v>5.9187685556496676</v>
      </c>
    </row>
    <row r="252" spans="4:5" x14ac:dyDescent="0.2">
      <c r="D252" s="3">
        <f t="shared" si="67"/>
        <v>5</v>
      </c>
      <c r="E252" s="3">
        <f t="shared" ca="1" si="66"/>
        <v>6.0293074249596295</v>
      </c>
    </row>
    <row r="253" spans="4:5" x14ac:dyDescent="0.2">
      <c r="D253" s="3">
        <f t="shared" si="67"/>
        <v>5</v>
      </c>
      <c r="E253" s="3">
        <f t="shared" ca="1" si="66"/>
        <v>6.1357141081311495</v>
      </c>
    </row>
    <row r="254" spans="4:5" x14ac:dyDescent="0.2">
      <c r="D254" s="3">
        <f t="shared" si="67"/>
        <v>5</v>
      </c>
      <c r="E254" s="3">
        <f t="shared" ca="1" si="66"/>
        <v>6.2379156793387152</v>
      </c>
    </row>
    <row r="255" spans="4:5" x14ac:dyDescent="0.2">
      <c r="D255" s="3">
        <f t="shared" si="67"/>
        <v>5</v>
      </c>
      <c r="E255" s="3">
        <f t="shared" ca="1" si="66"/>
        <v>6.335842094730503</v>
      </c>
    </row>
    <row r="256" spans="4:5" x14ac:dyDescent="0.2">
      <c r="D256" s="3">
        <f t="shared" si="67"/>
        <v>5</v>
      </c>
      <c r="E256" s="3">
        <f t="shared" ca="1" si="66"/>
        <v>6.4294262404329361</v>
      </c>
    </row>
    <row r="257" spans="4:5" x14ac:dyDescent="0.2">
      <c r="D257" s="3">
        <f t="shared" si="67"/>
        <v>5</v>
      </c>
      <c r="E257" s="3">
        <f t="shared" ca="1" si="66"/>
        <v>6.5186039785471834</v>
      </c>
    </row>
    <row r="258" spans="4:5" x14ac:dyDescent="0.2">
      <c r="D258" s="3">
        <f t="shared" si="67"/>
        <v>5</v>
      </c>
      <c r="E258" s="3">
        <f t="shared" ca="1" si="66"/>
        <v>6.603314191106068</v>
      </c>
    </row>
    <row r="259" spans="4:5" x14ac:dyDescent="0.2">
      <c r="D259" s="3">
        <f t="shared" si="67"/>
        <v>5</v>
      </c>
      <c r="E259" s="3">
        <f t="shared" ca="1" si="66"/>
        <v>6.6834988219612734</v>
      </c>
    </row>
    <row r="260" spans="4:5" x14ac:dyDescent="0.2">
      <c r="D260" s="3">
        <f t="shared" si="67"/>
        <v>6</v>
      </c>
      <c r="E260" s="3">
        <f t="shared" ca="1" si="66"/>
        <v>6.7591029165721217</v>
      </c>
    </row>
    <row r="261" spans="4:5" x14ac:dyDescent="0.2">
      <c r="D261" s="3">
        <f t="shared" si="67"/>
        <v>6</v>
      </c>
      <c r="E261" s="3">
        <f t="shared" ca="1" si="66"/>
        <v>6.830074659668675</v>
      </c>
    </row>
    <row r="262" spans="4:5" x14ac:dyDescent="0.2">
      <c r="D262" s="3">
        <f t="shared" si="67"/>
        <v>6</v>
      </c>
      <c r="E262" s="3">
        <f t="shared" ca="1" si="66"/>
        <v>6.896365410763333</v>
      </c>
    </row>
    <row r="263" spans="4:5" x14ac:dyDescent="0.2">
      <c r="D263" s="3">
        <f t="shared" si="67"/>
        <v>6</v>
      </c>
      <c r="E263" s="3">
        <f t="shared" ca="1" si="66"/>
        <v>6.9579297374865918</v>
      </c>
    </row>
    <row r="264" spans="4:5" x14ac:dyDescent="0.2">
      <c r="D264" s="3">
        <f t="shared" si="67"/>
        <v>6</v>
      </c>
      <c r="E264" s="3">
        <f t="shared" ca="1" si="66"/>
        <v>7.0147254467241247</v>
      </c>
    </row>
    <row r="265" spans="4:5" x14ac:dyDescent="0.2">
      <c r="D265" s="3">
        <f t="shared" si="67"/>
        <v>6</v>
      </c>
      <c r="E265" s="3">
        <f t="shared" ca="1" si="66"/>
        <v>7.0667136135338264</v>
      </c>
    </row>
    <row r="266" spans="4:5" x14ac:dyDescent="0.2">
      <c r="D266" s="3">
        <f t="shared" si="67"/>
        <v>6</v>
      </c>
      <c r="E266" s="3">
        <f t="shared" ref="E266:E329" ca="1" si="68">RAND()*0+IF($P$28="Igen",(SIN((360/$H$30*(ROW()-200)*0.1/2*$J$30+$P$31)*PI()/180)*$N$31*IF($J$30=$J$31,1,$E$18)),0)</f>
        <v>7.1138586078230324</v>
      </c>
    </row>
    <row r="267" spans="4:5" x14ac:dyDescent="0.2">
      <c r="D267" s="3">
        <f t="shared" si="67"/>
        <v>6</v>
      </c>
      <c r="E267" s="3">
        <f t="shared" ca="1" si="68"/>
        <v>7.1561281187676036</v>
      </c>
    </row>
    <row r="268" spans="4:5" x14ac:dyDescent="0.2">
      <c r="D268" s="3">
        <f t="shared" si="67"/>
        <v>6</v>
      </c>
      <c r="E268" s="3">
        <f t="shared" ca="1" si="68"/>
        <v>7.1934931769561468</v>
      </c>
    </row>
    <row r="269" spans="4:5" x14ac:dyDescent="0.2">
      <c r="D269" s="3">
        <f t="shared" si="67"/>
        <v>6</v>
      </c>
      <c r="E269" s="3">
        <f t="shared" ca="1" si="68"/>
        <v>7.2259281742442063</v>
      </c>
    </row>
    <row r="270" spans="4:5" x14ac:dyDescent="0.2">
      <c r="D270" s="3">
        <f t="shared" si="67"/>
        <v>7</v>
      </c>
      <c r="E270" s="3">
        <f t="shared" ca="1" si="68"/>
        <v>7.2534108813048048</v>
      </c>
    </row>
    <row r="271" spans="4:5" x14ac:dyDescent="0.2">
      <c r="D271" s="3">
        <f t="shared" si="67"/>
        <v>7</v>
      </c>
      <c r="E271" s="3">
        <f t="shared" ca="1" si="68"/>
        <v>7.2759224628633152</v>
      </c>
    </row>
    <row r="272" spans="4:5" x14ac:dyDescent="0.2">
      <c r="D272" s="3">
        <f t="shared" si="67"/>
        <v>7</v>
      </c>
      <c r="E272" s="3">
        <f t="shared" ca="1" si="68"/>
        <v>7.2934474906062148</v>
      </c>
    </row>
    <row r="273" spans="4:5" x14ac:dyDescent="0.2">
      <c r="D273" s="3">
        <f t="shared" si="67"/>
        <v>7</v>
      </c>
      <c r="E273" s="3">
        <f t="shared" ca="1" si="68"/>
        <v>7.3059739537548847</v>
      </c>
    </row>
    <row r="274" spans="4:5" x14ac:dyDescent="0.2">
      <c r="D274" s="3">
        <f t="shared" si="67"/>
        <v>7</v>
      </c>
      <c r="E274" s="3">
        <f t="shared" ca="1" si="68"/>
        <v>7.3134932672971917</v>
      </c>
    </row>
    <row r="275" spans="4:5" x14ac:dyDescent="0.2">
      <c r="D275" s="3">
        <f t="shared" si="67"/>
        <v>7</v>
      </c>
      <c r="E275" s="3">
        <f t="shared" ca="1" si="68"/>
        <v>7.3160002778712343</v>
      </c>
    </row>
    <row r="276" spans="4:5" x14ac:dyDescent="0.2">
      <c r="D276" s="3">
        <f t="shared" ref="D276:D339" si="69">INDEX($O$34:$O$105,INT((ROW()-200)*0.1))</f>
        <v>7</v>
      </c>
      <c r="E276" s="3">
        <f t="shared" ca="1" si="68"/>
        <v>7.3134932672971917</v>
      </c>
    </row>
    <row r="277" spans="4:5" x14ac:dyDescent="0.2">
      <c r="D277" s="3">
        <f t="shared" si="69"/>
        <v>7</v>
      </c>
      <c r="E277" s="3">
        <f t="shared" ca="1" si="68"/>
        <v>7.3059739537548838</v>
      </c>
    </row>
    <row r="278" spans="4:5" x14ac:dyDescent="0.2">
      <c r="D278" s="3">
        <f t="shared" si="69"/>
        <v>7</v>
      </c>
      <c r="E278" s="3">
        <f t="shared" ca="1" si="68"/>
        <v>7.2934474906062139</v>
      </c>
    </row>
    <row r="279" spans="4:5" x14ac:dyDescent="0.2">
      <c r="D279" s="3">
        <f t="shared" si="69"/>
        <v>7</v>
      </c>
      <c r="E279" s="3">
        <f t="shared" ca="1" si="68"/>
        <v>7.2759224628633143</v>
      </c>
    </row>
    <row r="280" spans="4:5" x14ac:dyDescent="0.2">
      <c r="D280" s="3">
        <f t="shared" si="69"/>
        <v>8</v>
      </c>
      <c r="E280" s="3">
        <f t="shared" ca="1" si="68"/>
        <v>7.2534108813048039</v>
      </c>
    </row>
    <row r="281" spans="4:5" x14ac:dyDescent="0.2">
      <c r="D281" s="3">
        <f t="shared" si="69"/>
        <v>8</v>
      </c>
      <c r="E281" s="3">
        <f t="shared" ca="1" si="68"/>
        <v>7.2259281742442054</v>
      </c>
    </row>
    <row r="282" spans="4:5" x14ac:dyDescent="0.2">
      <c r="D282" s="3">
        <f t="shared" si="69"/>
        <v>8</v>
      </c>
      <c r="E282" s="3">
        <f t="shared" ca="1" si="68"/>
        <v>7.1934931769561459</v>
      </c>
    </row>
    <row r="283" spans="4:5" x14ac:dyDescent="0.2">
      <c r="D283" s="3">
        <f t="shared" si="69"/>
        <v>8</v>
      </c>
      <c r="E283" s="3">
        <f t="shared" ca="1" si="68"/>
        <v>7.1561281187676027</v>
      </c>
    </row>
    <row r="284" spans="4:5" x14ac:dyDescent="0.2">
      <c r="D284" s="3">
        <f t="shared" si="69"/>
        <v>8</v>
      </c>
      <c r="E284" s="3">
        <f t="shared" ca="1" si="68"/>
        <v>7.1138586078230315</v>
      </c>
    </row>
    <row r="285" spans="4:5" x14ac:dyDescent="0.2">
      <c r="D285" s="3">
        <f t="shared" si="69"/>
        <v>8</v>
      </c>
      <c r="E285" s="3">
        <f t="shared" ca="1" si="68"/>
        <v>7.0667136135338247</v>
      </c>
    </row>
    <row r="286" spans="4:5" x14ac:dyDescent="0.2">
      <c r="D286" s="3">
        <f t="shared" si="69"/>
        <v>8</v>
      </c>
      <c r="E286" s="3">
        <f t="shared" ca="1" si="68"/>
        <v>7.014725446724122</v>
      </c>
    </row>
    <row r="287" spans="4:5" x14ac:dyDescent="0.2">
      <c r="D287" s="3">
        <f t="shared" si="69"/>
        <v>8</v>
      </c>
      <c r="E287" s="3">
        <f t="shared" ca="1" si="68"/>
        <v>6.9579297374865909</v>
      </c>
    </row>
    <row r="288" spans="4:5" x14ac:dyDescent="0.2">
      <c r="D288" s="3">
        <f t="shared" si="69"/>
        <v>8</v>
      </c>
      <c r="E288" s="3">
        <f t="shared" ca="1" si="68"/>
        <v>6.8963654107633312</v>
      </c>
    </row>
    <row r="289" spans="4:5" x14ac:dyDescent="0.2">
      <c r="D289" s="3">
        <f t="shared" si="69"/>
        <v>8</v>
      </c>
      <c r="E289" s="3">
        <f t="shared" ca="1" si="68"/>
        <v>6.8300746596686723</v>
      </c>
    </row>
    <row r="290" spans="4:5" x14ac:dyDescent="0.2">
      <c r="D290" s="3">
        <f t="shared" si="69"/>
        <v>7</v>
      </c>
      <c r="E290" s="3">
        <f t="shared" ca="1" si="68"/>
        <v>6.7591029165721181</v>
      </c>
    </row>
    <row r="291" spans="4:5" x14ac:dyDescent="0.2">
      <c r="D291" s="3">
        <f t="shared" si="69"/>
        <v>7</v>
      </c>
      <c r="E291" s="3">
        <f t="shared" ca="1" si="68"/>
        <v>6.6834988219612699</v>
      </c>
    </row>
    <row r="292" spans="4:5" x14ac:dyDescent="0.2">
      <c r="D292" s="3">
        <f t="shared" si="69"/>
        <v>7</v>
      </c>
      <c r="E292" s="3">
        <f t="shared" ca="1" si="68"/>
        <v>6.6033141911060662</v>
      </c>
    </row>
    <row r="293" spans="4:5" x14ac:dyDescent="0.2">
      <c r="D293" s="3">
        <f t="shared" si="69"/>
        <v>7</v>
      </c>
      <c r="E293" s="3">
        <f t="shared" ca="1" si="68"/>
        <v>6.5186039785471808</v>
      </c>
    </row>
    <row r="294" spans="4:5" x14ac:dyDescent="0.2">
      <c r="D294" s="3">
        <f t="shared" si="69"/>
        <v>7</v>
      </c>
      <c r="E294" s="3">
        <f t="shared" ca="1" si="68"/>
        <v>6.4294262404329325</v>
      </c>
    </row>
    <row r="295" spans="4:5" x14ac:dyDescent="0.2">
      <c r="D295" s="3">
        <f t="shared" si="69"/>
        <v>7</v>
      </c>
      <c r="E295" s="3">
        <f t="shared" ca="1" si="68"/>
        <v>6.3358420947304994</v>
      </c>
    </row>
    <row r="296" spans="4:5" x14ac:dyDescent="0.2">
      <c r="D296" s="3">
        <f t="shared" si="69"/>
        <v>7</v>
      </c>
      <c r="E296" s="3">
        <f t="shared" ca="1" si="68"/>
        <v>6.2379156793387125</v>
      </c>
    </row>
    <row r="297" spans="4:5" x14ac:dyDescent="0.2">
      <c r="D297" s="3">
        <f t="shared" si="69"/>
        <v>7</v>
      </c>
      <c r="E297" s="3">
        <f t="shared" ca="1" si="68"/>
        <v>6.1357141081311459</v>
      </c>
    </row>
    <row r="298" spans="4:5" x14ac:dyDescent="0.2">
      <c r="D298" s="3">
        <f t="shared" si="69"/>
        <v>7</v>
      </c>
      <c r="E298" s="3">
        <f t="shared" ca="1" si="68"/>
        <v>6.029307424959625</v>
      </c>
    </row>
    <row r="299" spans="4:5" x14ac:dyDescent="0.2">
      <c r="D299" s="3">
        <f t="shared" si="69"/>
        <v>7</v>
      </c>
      <c r="E299" s="3">
        <f t="shared" ca="1" si="68"/>
        <v>5.918768555649665</v>
      </c>
    </row>
    <row r="300" spans="4:5" x14ac:dyDescent="0.2">
      <c r="D300" s="3">
        <f t="shared" si="69"/>
        <v>6</v>
      </c>
      <c r="E300" s="3">
        <f t="shared" ca="1" si="68"/>
        <v>5.8041732580207483</v>
      </c>
    </row>
    <row r="301" spans="4:5" x14ac:dyDescent="0.2">
      <c r="D301" s="3">
        <f t="shared" si="69"/>
        <v>6</v>
      </c>
      <c r="E301" s="3">
        <f t="shared" ca="1" si="68"/>
        <v>5.6856000699657034</v>
      </c>
    </row>
    <row r="302" spans="4:5" x14ac:dyDescent="0.2">
      <c r="D302" s="3">
        <f t="shared" si="69"/>
        <v>6</v>
      </c>
      <c r="E302" s="3">
        <f t="shared" ca="1" si="68"/>
        <v>5.5631302556247686</v>
      </c>
    </row>
    <row r="303" spans="4:5" x14ac:dyDescent="0.2">
      <c r="D303" s="3">
        <f t="shared" si="69"/>
        <v>6</v>
      </c>
      <c r="E303" s="3">
        <f t="shared" ca="1" si="68"/>
        <v>5.436847749691184</v>
      </c>
    </row>
    <row r="304" spans="4:5" x14ac:dyDescent="0.2">
      <c r="D304" s="3">
        <f t="shared" si="69"/>
        <v>6</v>
      </c>
      <c r="E304" s="3">
        <f t="shared" ca="1" si="68"/>
        <v>5.3068390998865649</v>
      </c>
    </row>
    <row r="305" spans="4:5" x14ac:dyDescent="0.2">
      <c r="D305" s="3">
        <f t="shared" si="69"/>
        <v>6</v>
      </c>
      <c r="E305" s="3">
        <f t="shared" ca="1" si="68"/>
        <v>5.1731934076454138</v>
      </c>
    </row>
    <row r="306" spans="4:5" x14ac:dyDescent="0.2">
      <c r="D306" s="3">
        <f t="shared" si="69"/>
        <v>6</v>
      </c>
      <c r="E306" s="3">
        <f t="shared" ca="1" si="68"/>
        <v>5.0360022670494367</v>
      </c>
    </row>
    <row r="307" spans="4:5" x14ac:dyDescent="0.2">
      <c r="D307" s="3">
        <f t="shared" si="69"/>
        <v>6</v>
      </c>
      <c r="E307" s="3">
        <f t="shared" ca="1" si="68"/>
        <v>4.8953597020535531</v>
      </c>
    </row>
    <row r="308" spans="4:5" x14ac:dyDescent="0.2">
      <c r="D308" s="3">
        <f t="shared" si="69"/>
        <v>6</v>
      </c>
      <c r="E308" s="3">
        <f t="shared" ca="1" si="68"/>
        <v>4.7513621020465528</v>
      </c>
    </row>
    <row r="309" spans="4:5" x14ac:dyDescent="0.2">
      <c r="D309" s="3">
        <f t="shared" si="69"/>
        <v>6</v>
      </c>
      <c r="E309" s="3">
        <f t="shared" ca="1" si="68"/>
        <v>4.6041081557906418</v>
      </c>
    </row>
    <row r="310" spans="4:5" x14ac:dyDescent="0.2">
      <c r="D310" s="3">
        <f t="shared" si="69"/>
        <v>5</v>
      </c>
      <c r="E310" s="3">
        <f t="shared" ca="1" si="68"/>
        <v>4.4536987837850885</v>
      </c>
    </row>
    <row r="311" spans="4:5" x14ac:dyDescent="0.2">
      <c r="D311" s="3">
        <f t="shared" si="69"/>
        <v>5</v>
      </c>
      <c r="E311" s="3">
        <f t="shared" ca="1" si="68"/>
        <v>4.3002370691003442</v>
      </c>
    </row>
    <row r="312" spans="4:5" x14ac:dyDescent="0.2">
      <c r="D312" s="3">
        <f t="shared" si="69"/>
        <v>5</v>
      </c>
      <c r="E312" s="3">
        <f t="shared" ca="1" si="68"/>
        <v>4.1438281867300741</v>
      </c>
    </row>
    <row r="313" spans="4:5" x14ac:dyDescent="0.2">
      <c r="D313" s="3">
        <f t="shared" si="69"/>
        <v>5</v>
      </c>
      <c r="E313" s="3">
        <f t="shared" ca="1" si="68"/>
        <v>3.9845793315094582</v>
      </c>
    </row>
    <row r="314" spans="4:5" x14ac:dyDescent="0.2">
      <c r="D314" s="3">
        <f t="shared" si="69"/>
        <v>5</v>
      </c>
      <c r="E314" s="3">
        <f t="shared" ca="1" si="68"/>
        <v>3.822599644649201</v>
      </c>
    </row>
    <row r="315" spans="4:5" x14ac:dyDescent="0.2">
      <c r="D315" s="3">
        <f t="shared" si="69"/>
        <v>5</v>
      </c>
      <c r="E315" s="3">
        <f t="shared" ca="1" si="68"/>
        <v>3.658000138935614</v>
      </c>
    </row>
    <row r="316" spans="4:5" x14ac:dyDescent="0.2">
      <c r="D316" s="3">
        <f t="shared" si="69"/>
        <v>5</v>
      </c>
      <c r="E316" s="3">
        <f t="shared" ca="1" si="68"/>
        <v>3.4908936226479876</v>
      </c>
    </row>
    <row r="317" spans="4:5" x14ac:dyDescent="0.2">
      <c r="D317" s="3">
        <f t="shared" si="69"/>
        <v>5</v>
      </c>
      <c r="E317" s="3">
        <f t="shared" ca="1" si="68"/>
        <v>3.3213946222454225</v>
      </c>
    </row>
    <row r="318" spans="4:5" x14ac:dyDescent="0.2">
      <c r="D318" s="3">
        <f t="shared" si="69"/>
        <v>5</v>
      </c>
      <c r="E318" s="3">
        <f t="shared" ca="1" si="68"/>
        <v>3.149619303876134</v>
      </c>
    </row>
    <row r="319" spans="4:5" x14ac:dyDescent="0.2">
      <c r="D319" s="3">
        <f t="shared" si="69"/>
        <v>5</v>
      </c>
      <c r="E319" s="3">
        <f t="shared" ca="1" si="68"/>
        <v>2.9756853937629635</v>
      </c>
    </row>
    <row r="320" spans="4:5" x14ac:dyDescent="0.2">
      <c r="D320" s="3">
        <f t="shared" si="69"/>
        <v>4</v>
      </c>
      <c r="E320" s="3">
        <f t="shared" ca="1" si="68"/>
        <v>2.7997120975197123</v>
      </c>
    </row>
    <row r="321" spans="4:5" x14ac:dyDescent="0.2">
      <c r="D321" s="3">
        <f t="shared" si="69"/>
        <v>4</v>
      </c>
      <c r="E321" s="3">
        <f t="shared" ca="1" si="68"/>
        <v>2.6218200184535578</v>
      </c>
    </row>
    <row r="322" spans="4:5" x14ac:dyDescent="0.2">
      <c r="D322" s="3">
        <f t="shared" si="69"/>
        <v>4</v>
      </c>
      <c r="E322" s="3">
        <f t="shared" ca="1" si="68"/>
        <v>2.4421310749095877</v>
      </c>
    </row>
    <row r="323" spans="4:5" x14ac:dyDescent="0.2">
      <c r="D323" s="3">
        <f t="shared" si="69"/>
        <v>4</v>
      </c>
      <c r="E323" s="3">
        <f t="shared" ca="1" si="68"/>
        <v>2.2607684167140469</v>
      </c>
    </row>
    <row r="324" spans="4:5" x14ac:dyDescent="0.2">
      <c r="D324" s="3">
        <f t="shared" si="69"/>
        <v>4</v>
      </c>
      <c r="E324" s="3">
        <f t="shared" ca="1" si="68"/>
        <v>2.0778563407735886</v>
      </c>
    </row>
    <row r="325" spans="4:5" x14ac:dyDescent="0.2">
      <c r="D325" s="3">
        <f t="shared" si="69"/>
        <v>4</v>
      </c>
      <c r="E325" s="3">
        <f t="shared" ca="1" si="68"/>
        <v>1.893520205888408</v>
      </c>
    </row>
    <row r="326" spans="4:5" x14ac:dyDescent="0.2">
      <c r="D326" s="3">
        <f t="shared" si="69"/>
        <v>4</v>
      </c>
      <c r="E326" s="3">
        <f t="shared" ca="1" si="68"/>
        <v>1.7078863468375529</v>
      </c>
    </row>
    <row r="327" spans="4:5" x14ac:dyDescent="0.2">
      <c r="D327" s="3">
        <f t="shared" si="69"/>
        <v>4</v>
      </c>
      <c r="E327" s="3">
        <f t="shared" ca="1" si="68"/>
        <v>1.521081987795402</v>
      </c>
    </row>
    <row r="328" spans="4:5" x14ac:dyDescent="0.2">
      <c r="D328" s="3">
        <f t="shared" si="69"/>
        <v>4</v>
      </c>
      <c r="E328" s="3">
        <f t="shared" ca="1" si="68"/>
        <v>1.3332351551385599</v>
      </c>
    </row>
    <row r="329" spans="4:5" x14ac:dyDescent="0.2">
      <c r="D329" s="3">
        <f t="shared" si="69"/>
        <v>4</v>
      </c>
      <c r="E329" s="3">
        <f t="shared" ca="1" si="68"/>
        <v>1.1444745897029645</v>
      </c>
    </row>
    <row r="330" spans="4:5" x14ac:dyDescent="0.2">
      <c r="D330" s="3">
        <f t="shared" si="69"/>
        <v>2</v>
      </c>
      <c r="E330" s="3">
        <f t="shared" ref="E330:E393" ca="1" si="70">RAND()*0+IF($P$28="Igen",(SIN((360/$H$30*(ROW()-200)*0.1/2*$J$30+$P$31)*PI()/180)*$N$31*IF($J$30=$J$31,1,$E$18)),0)</f>
        <v>0.95492965855137146</v>
      </c>
    </row>
    <row r="331" spans="4:5" x14ac:dyDescent="0.2">
      <c r="D331" s="3">
        <f t="shared" si="69"/>
        <v>2</v>
      </c>
      <c r="E331" s="3">
        <f t="shared" ca="1" si="70"/>
        <v>0.76473026631160457</v>
      </c>
    </row>
    <row r="332" spans="4:5" x14ac:dyDescent="0.2">
      <c r="D332" s="3">
        <f t="shared" si="69"/>
        <v>2</v>
      </c>
      <c r="E332" s="3">
        <f t="shared" ca="1" si="70"/>
        <v>0.57400676614643709</v>
      </c>
    </row>
    <row r="333" spans="4:5" x14ac:dyDescent="0.2">
      <c r="D333" s="3">
        <f t="shared" si="69"/>
        <v>2</v>
      </c>
      <c r="E333" s="3">
        <f t="shared" ca="1" si="70"/>
        <v>0.38288987041603367</v>
      </c>
    </row>
    <row r="334" spans="4:5" x14ac:dyDescent="0.2">
      <c r="D334" s="3">
        <f t="shared" si="69"/>
        <v>2</v>
      </c>
      <c r="E334" s="3">
        <f t="shared" ca="1" si="70"/>
        <v>0.19151056109421966</v>
      </c>
    </row>
    <row r="335" spans="4:5" x14ac:dyDescent="0.2">
      <c r="D335" s="3">
        <f t="shared" si="69"/>
        <v>2</v>
      </c>
      <c r="E335" s="3">
        <f t="shared" ca="1" si="70"/>
        <v>-5.6015949216708518E-15</v>
      </c>
    </row>
    <row r="336" spans="4:5" x14ac:dyDescent="0.2">
      <c r="D336" s="3">
        <f t="shared" si="69"/>
        <v>2</v>
      </c>
      <c r="E336" s="3">
        <f t="shared" ca="1" si="70"/>
        <v>-0.1915105610942211</v>
      </c>
    </row>
    <row r="337" spans="4:5" x14ac:dyDescent="0.2">
      <c r="D337" s="3">
        <f t="shared" si="69"/>
        <v>2</v>
      </c>
      <c r="E337" s="3">
        <f t="shared" ca="1" si="70"/>
        <v>-0.38288987041603834</v>
      </c>
    </row>
    <row r="338" spans="4:5" x14ac:dyDescent="0.2">
      <c r="D338" s="3">
        <f t="shared" si="69"/>
        <v>2</v>
      </c>
      <c r="E338" s="3">
        <f t="shared" ca="1" si="70"/>
        <v>-0.57400676614644497</v>
      </c>
    </row>
    <row r="339" spans="4:5" x14ac:dyDescent="0.2">
      <c r="D339" s="3">
        <f t="shared" si="69"/>
        <v>2</v>
      </c>
      <c r="E339" s="3">
        <f t="shared" ca="1" si="70"/>
        <v>-0.76473026631160612</v>
      </c>
    </row>
    <row r="340" spans="4:5" x14ac:dyDescent="0.2">
      <c r="D340" s="3">
        <f t="shared" ref="D340:D403" si="71">INDEX($O$34:$O$105,INT((ROW()-200)*0.1))</f>
        <v>0</v>
      </c>
      <c r="E340" s="3">
        <f t="shared" ca="1" si="70"/>
        <v>-0.95492965855137613</v>
      </c>
    </row>
    <row r="341" spans="4:5" x14ac:dyDescent="0.2">
      <c r="D341" s="3">
        <f t="shared" si="71"/>
        <v>0</v>
      </c>
      <c r="E341" s="3">
        <f t="shared" ca="1" si="70"/>
        <v>-1.1444745897029724</v>
      </c>
    </row>
    <row r="342" spans="4:5" x14ac:dyDescent="0.2">
      <c r="D342" s="3">
        <f t="shared" si="71"/>
        <v>0</v>
      </c>
      <c r="E342" s="3">
        <f t="shared" ca="1" si="70"/>
        <v>-1.3332351551385646</v>
      </c>
    </row>
    <row r="343" spans="4:5" x14ac:dyDescent="0.2">
      <c r="D343" s="3">
        <f t="shared" si="71"/>
        <v>0</v>
      </c>
      <c r="E343" s="3">
        <f t="shared" ca="1" si="70"/>
        <v>-1.5210819877954098</v>
      </c>
    </row>
    <row r="344" spans="4:5" x14ac:dyDescent="0.2">
      <c r="D344" s="3">
        <f t="shared" si="71"/>
        <v>0</v>
      </c>
      <c r="E344" s="3">
        <f t="shared" ca="1" si="70"/>
        <v>-1.7078863468375576</v>
      </c>
    </row>
    <row r="345" spans="4:5" x14ac:dyDescent="0.2">
      <c r="D345" s="3">
        <f t="shared" si="71"/>
        <v>0</v>
      </c>
      <c r="E345" s="3">
        <f t="shared" ca="1" si="70"/>
        <v>-1.8935202058884124</v>
      </c>
    </row>
    <row r="346" spans="4:5" x14ac:dyDescent="0.2">
      <c r="D346" s="3">
        <f t="shared" si="71"/>
        <v>0</v>
      </c>
      <c r="E346" s="3">
        <f t="shared" ca="1" si="70"/>
        <v>-2.0778563407735966</v>
      </c>
    </row>
    <row r="347" spans="4:5" x14ac:dyDescent="0.2">
      <c r="D347" s="3">
        <f t="shared" si="71"/>
        <v>0</v>
      </c>
      <c r="E347" s="3">
        <f t="shared" ca="1" si="70"/>
        <v>-2.2607684167140514</v>
      </c>
    </row>
    <row r="348" spans="4:5" x14ac:dyDescent="0.2">
      <c r="D348" s="3">
        <f t="shared" si="71"/>
        <v>0</v>
      </c>
      <c r="E348" s="3">
        <f t="shared" ca="1" si="70"/>
        <v>-2.4421310749095952</v>
      </c>
    </row>
    <row r="349" spans="4:5" x14ac:dyDescent="0.2">
      <c r="D349" s="3">
        <f t="shared" si="71"/>
        <v>0</v>
      </c>
      <c r="E349" s="3">
        <f t="shared" ca="1" si="70"/>
        <v>-2.6218200184535654</v>
      </c>
    </row>
    <row r="350" spans="4:5" x14ac:dyDescent="0.2">
      <c r="D350" s="3">
        <f t="shared" si="71"/>
        <v>-2</v>
      </c>
      <c r="E350" s="3">
        <f t="shared" ca="1" si="70"/>
        <v>-2.7997120975197167</v>
      </c>
    </row>
    <row r="351" spans="4:5" x14ac:dyDescent="0.2">
      <c r="D351" s="3">
        <f t="shared" si="71"/>
        <v>-2</v>
      </c>
      <c r="E351" s="3">
        <f t="shared" ca="1" si="70"/>
        <v>-2.9756853937629701</v>
      </c>
    </row>
    <row r="352" spans="4:5" x14ac:dyDescent="0.2">
      <c r="D352" s="3">
        <f t="shared" si="71"/>
        <v>-2</v>
      </c>
      <c r="E352" s="3">
        <f t="shared" ca="1" si="70"/>
        <v>-3.1496193038761411</v>
      </c>
    </row>
    <row r="353" spans="4:5" x14ac:dyDescent="0.2">
      <c r="D353" s="3">
        <f t="shared" si="71"/>
        <v>-2</v>
      </c>
      <c r="E353" s="3">
        <f t="shared" ca="1" si="70"/>
        <v>-3.3213946222454269</v>
      </c>
    </row>
    <row r="354" spans="4:5" x14ac:dyDescent="0.2">
      <c r="D354" s="3">
        <f t="shared" si="71"/>
        <v>-2</v>
      </c>
      <c r="E354" s="3">
        <f t="shared" ca="1" si="70"/>
        <v>-3.4908936226479916</v>
      </c>
    </row>
    <row r="355" spans="4:5" x14ac:dyDescent="0.2">
      <c r="D355" s="3">
        <f t="shared" si="71"/>
        <v>-2</v>
      </c>
      <c r="E355" s="3">
        <f t="shared" ca="1" si="70"/>
        <v>-3.658000138935618</v>
      </c>
    </row>
    <row r="356" spans="4:5" x14ac:dyDescent="0.2">
      <c r="D356" s="3">
        <f t="shared" si="71"/>
        <v>-2</v>
      </c>
      <c r="E356" s="3">
        <f t="shared" ca="1" si="70"/>
        <v>-3.822599644649205</v>
      </c>
    </row>
    <row r="357" spans="4:5" x14ac:dyDescent="0.2">
      <c r="D357" s="3">
        <f t="shared" si="71"/>
        <v>-2</v>
      </c>
      <c r="E357" s="3">
        <f t="shared" ca="1" si="70"/>
        <v>-3.9845793315094613</v>
      </c>
    </row>
    <row r="358" spans="4:5" x14ac:dyDescent="0.2">
      <c r="D358" s="3">
        <f t="shared" si="71"/>
        <v>-2</v>
      </c>
      <c r="E358" s="3">
        <f t="shared" ca="1" si="70"/>
        <v>-4.1438281867300777</v>
      </c>
    </row>
    <row r="359" spans="4:5" x14ac:dyDescent="0.2">
      <c r="D359" s="3">
        <f t="shared" si="71"/>
        <v>-2</v>
      </c>
      <c r="E359" s="3">
        <f t="shared" ca="1" si="70"/>
        <v>-4.3002370691003486</v>
      </c>
    </row>
    <row r="360" spans="4:5" x14ac:dyDescent="0.2">
      <c r="D360" s="3">
        <f t="shared" si="71"/>
        <v>-4</v>
      </c>
      <c r="E360" s="3">
        <f t="shared" ca="1" si="70"/>
        <v>-4.4536987837850921</v>
      </c>
    </row>
    <row r="361" spans="4:5" x14ac:dyDescent="0.2">
      <c r="D361" s="3">
        <f t="shared" si="71"/>
        <v>-4</v>
      </c>
      <c r="E361" s="3">
        <f t="shared" ca="1" si="70"/>
        <v>-4.6041081557906463</v>
      </c>
    </row>
    <row r="362" spans="4:5" x14ac:dyDescent="0.2">
      <c r="D362" s="3">
        <f t="shared" si="71"/>
        <v>-4</v>
      </c>
      <c r="E362" s="3">
        <f t="shared" ca="1" si="70"/>
        <v>-4.7513621020465564</v>
      </c>
    </row>
    <row r="363" spans="4:5" x14ac:dyDescent="0.2">
      <c r="D363" s="3">
        <f t="shared" si="71"/>
        <v>-4</v>
      </c>
      <c r="E363" s="3">
        <f t="shared" ca="1" si="70"/>
        <v>-4.8953597020535566</v>
      </c>
    </row>
    <row r="364" spans="4:5" x14ac:dyDescent="0.2">
      <c r="D364" s="3">
        <f t="shared" si="71"/>
        <v>-4</v>
      </c>
      <c r="E364" s="3">
        <f t="shared" ca="1" si="70"/>
        <v>-5.0360022670494411</v>
      </c>
    </row>
    <row r="365" spans="4:5" x14ac:dyDescent="0.2">
      <c r="D365" s="3">
        <f t="shared" si="71"/>
        <v>-4</v>
      </c>
      <c r="E365" s="3">
        <f t="shared" ca="1" si="70"/>
        <v>-5.1731934076454174</v>
      </c>
    </row>
    <row r="366" spans="4:5" x14ac:dyDescent="0.2">
      <c r="D366" s="3">
        <f t="shared" si="71"/>
        <v>-4</v>
      </c>
      <c r="E366" s="3">
        <f t="shared" ca="1" si="70"/>
        <v>-5.3068390998865702</v>
      </c>
    </row>
    <row r="367" spans="4:5" x14ac:dyDescent="0.2">
      <c r="D367" s="3">
        <f t="shared" si="71"/>
        <v>-4</v>
      </c>
      <c r="E367" s="3">
        <f t="shared" ca="1" si="70"/>
        <v>-5.4368477496911867</v>
      </c>
    </row>
    <row r="368" spans="4:5" x14ac:dyDescent="0.2">
      <c r="D368" s="3">
        <f t="shared" si="71"/>
        <v>-4</v>
      </c>
      <c r="E368" s="3">
        <f t="shared" ca="1" si="70"/>
        <v>-5.5631302556247721</v>
      </c>
    </row>
    <row r="369" spans="4:5" x14ac:dyDescent="0.2">
      <c r="D369" s="3">
        <f t="shared" si="71"/>
        <v>-4</v>
      </c>
      <c r="E369" s="3">
        <f t="shared" ca="1" si="70"/>
        <v>-5.6856000699657079</v>
      </c>
    </row>
    <row r="370" spans="4:5" x14ac:dyDescent="0.2">
      <c r="D370" s="3">
        <f t="shared" si="71"/>
        <v>-5</v>
      </c>
      <c r="E370" s="3">
        <f t="shared" ca="1" si="70"/>
        <v>-5.804173258020751</v>
      </c>
    </row>
    <row r="371" spans="4:5" x14ac:dyDescent="0.2">
      <c r="D371" s="3">
        <f t="shared" si="71"/>
        <v>-5</v>
      </c>
      <c r="E371" s="3">
        <f t="shared" ca="1" si="70"/>
        <v>-5.9187685556496694</v>
      </c>
    </row>
    <row r="372" spans="4:5" x14ac:dyDescent="0.2">
      <c r="D372" s="3">
        <f t="shared" si="71"/>
        <v>-5</v>
      </c>
      <c r="E372" s="3">
        <f t="shared" ca="1" si="70"/>
        <v>-6.0293074249596277</v>
      </c>
    </row>
    <row r="373" spans="4:5" x14ac:dyDescent="0.2">
      <c r="D373" s="3">
        <f t="shared" si="71"/>
        <v>-5</v>
      </c>
      <c r="E373" s="3">
        <f t="shared" ca="1" si="70"/>
        <v>-6.1357141081311486</v>
      </c>
    </row>
    <row r="374" spans="4:5" x14ac:dyDescent="0.2">
      <c r="D374" s="3">
        <f t="shared" si="71"/>
        <v>-5</v>
      </c>
      <c r="E374" s="3">
        <f t="shared" ca="1" si="70"/>
        <v>-6.2379156793387152</v>
      </c>
    </row>
    <row r="375" spans="4:5" x14ac:dyDescent="0.2">
      <c r="D375" s="3">
        <f t="shared" si="71"/>
        <v>-5</v>
      </c>
      <c r="E375" s="3">
        <f t="shared" ca="1" si="70"/>
        <v>-6.3358420947305021</v>
      </c>
    </row>
    <row r="376" spans="4:5" x14ac:dyDescent="0.2">
      <c r="D376" s="3">
        <f t="shared" si="71"/>
        <v>-5</v>
      </c>
      <c r="E376" s="3">
        <f t="shared" ca="1" si="70"/>
        <v>-6.4294262404329361</v>
      </c>
    </row>
    <row r="377" spans="4:5" x14ac:dyDescent="0.2">
      <c r="D377" s="3">
        <f t="shared" si="71"/>
        <v>-5</v>
      </c>
      <c r="E377" s="3">
        <f t="shared" ca="1" si="70"/>
        <v>-6.5186039785471843</v>
      </c>
    </row>
    <row r="378" spans="4:5" x14ac:dyDescent="0.2">
      <c r="D378" s="3">
        <f t="shared" si="71"/>
        <v>-5</v>
      </c>
      <c r="E378" s="3">
        <f t="shared" ca="1" si="70"/>
        <v>-6.6033141911060671</v>
      </c>
    </row>
    <row r="379" spans="4:5" x14ac:dyDescent="0.2">
      <c r="D379" s="3">
        <f t="shared" si="71"/>
        <v>-5</v>
      </c>
      <c r="E379" s="3">
        <f t="shared" ca="1" si="70"/>
        <v>-6.6834988219612725</v>
      </c>
    </row>
    <row r="380" spans="4:5" x14ac:dyDescent="0.2">
      <c r="D380" s="3">
        <f t="shared" si="71"/>
        <v>-5.9999999999999991</v>
      </c>
      <c r="E380" s="3">
        <f t="shared" ca="1" si="70"/>
        <v>-6.7591029165721208</v>
      </c>
    </row>
    <row r="381" spans="4:5" x14ac:dyDescent="0.2">
      <c r="D381" s="3">
        <f t="shared" si="71"/>
        <v>-5.9999999999999991</v>
      </c>
      <c r="E381" s="3">
        <f t="shared" ca="1" si="70"/>
        <v>-6.8300746596686741</v>
      </c>
    </row>
    <row r="382" spans="4:5" x14ac:dyDescent="0.2">
      <c r="D382" s="3">
        <f t="shared" si="71"/>
        <v>-5.9999999999999991</v>
      </c>
      <c r="E382" s="3">
        <f t="shared" ca="1" si="70"/>
        <v>-6.896365410763333</v>
      </c>
    </row>
    <row r="383" spans="4:5" x14ac:dyDescent="0.2">
      <c r="D383" s="3">
        <f t="shared" si="71"/>
        <v>-5.9999999999999991</v>
      </c>
      <c r="E383" s="3">
        <f t="shared" ca="1" si="70"/>
        <v>-6.9579297374865909</v>
      </c>
    </row>
    <row r="384" spans="4:5" x14ac:dyDescent="0.2">
      <c r="D384" s="3">
        <f t="shared" si="71"/>
        <v>-5.9999999999999991</v>
      </c>
      <c r="E384" s="3">
        <f t="shared" ca="1" si="70"/>
        <v>-7.0147254467241238</v>
      </c>
    </row>
    <row r="385" spans="4:5" x14ac:dyDescent="0.2">
      <c r="D385" s="3">
        <f t="shared" si="71"/>
        <v>-5.9999999999999991</v>
      </c>
      <c r="E385" s="3">
        <f t="shared" ca="1" si="70"/>
        <v>-7.0667136135338255</v>
      </c>
    </row>
    <row r="386" spans="4:5" x14ac:dyDescent="0.2">
      <c r="D386" s="3">
        <f t="shared" si="71"/>
        <v>-5.9999999999999991</v>
      </c>
      <c r="E386" s="3">
        <f t="shared" ca="1" si="70"/>
        <v>-7.1138586078230324</v>
      </c>
    </row>
    <row r="387" spans="4:5" x14ac:dyDescent="0.2">
      <c r="D387" s="3">
        <f t="shared" si="71"/>
        <v>-5.9999999999999991</v>
      </c>
      <c r="E387" s="3">
        <f t="shared" ca="1" si="70"/>
        <v>-7.1561281187676027</v>
      </c>
    </row>
    <row r="388" spans="4:5" x14ac:dyDescent="0.2">
      <c r="D388" s="3">
        <f t="shared" si="71"/>
        <v>-5.9999999999999991</v>
      </c>
      <c r="E388" s="3">
        <f t="shared" ca="1" si="70"/>
        <v>-7.1934931769561459</v>
      </c>
    </row>
    <row r="389" spans="4:5" x14ac:dyDescent="0.2">
      <c r="D389" s="3">
        <f t="shared" si="71"/>
        <v>-5.9999999999999991</v>
      </c>
      <c r="E389" s="3">
        <f t="shared" ca="1" si="70"/>
        <v>-7.2259281742442054</v>
      </c>
    </row>
    <row r="390" spans="4:5" x14ac:dyDescent="0.2">
      <c r="D390" s="3">
        <f t="shared" si="71"/>
        <v>-6.9999999999999982</v>
      </c>
      <c r="E390" s="3">
        <f t="shared" ca="1" si="70"/>
        <v>-7.2534108813048039</v>
      </c>
    </row>
    <row r="391" spans="4:5" x14ac:dyDescent="0.2">
      <c r="D391" s="3">
        <f t="shared" si="71"/>
        <v>-6.9999999999999982</v>
      </c>
      <c r="E391" s="3">
        <f t="shared" ca="1" si="70"/>
        <v>-7.2759224628633152</v>
      </c>
    </row>
    <row r="392" spans="4:5" x14ac:dyDescent="0.2">
      <c r="D392" s="3">
        <f t="shared" si="71"/>
        <v>-6.9999999999999982</v>
      </c>
      <c r="E392" s="3">
        <f t="shared" ca="1" si="70"/>
        <v>-7.2934474906062139</v>
      </c>
    </row>
    <row r="393" spans="4:5" x14ac:dyDescent="0.2">
      <c r="D393" s="3">
        <f t="shared" si="71"/>
        <v>-6.9999999999999982</v>
      </c>
      <c r="E393" s="3">
        <f t="shared" ca="1" si="70"/>
        <v>-7.3059739537548838</v>
      </c>
    </row>
    <row r="394" spans="4:5" x14ac:dyDescent="0.2">
      <c r="D394" s="3">
        <f t="shared" si="71"/>
        <v>-6.9999999999999982</v>
      </c>
      <c r="E394" s="3">
        <f t="shared" ref="E394:E457" ca="1" si="72">RAND()*0+IF($P$28="Igen",(SIN((360/$H$30*(ROW()-200)*0.1/2*$J$30+$P$31)*PI()/180)*$N$31*IF($J$30=$J$31,1,$E$18)),0)</f>
        <v>-7.3134932672971917</v>
      </c>
    </row>
    <row r="395" spans="4:5" x14ac:dyDescent="0.2">
      <c r="D395" s="3">
        <f t="shared" si="71"/>
        <v>-6.9999999999999982</v>
      </c>
      <c r="E395" s="3">
        <f t="shared" ca="1" si="72"/>
        <v>-7.3160002778712343</v>
      </c>
    </row>
    <row r="396" spans="4:5" x14ac:dyDescent="0.2">
      <c r="D396" s="3">
        <f t="shared" si="71"/>
        <v>-6.9999999999999982</v>
      </c>
      <c r="E396" s="3">
        <f t="shared" ca="1" si="72"/>
        <v>-7.3134932672971917</v>
      </c>
    </row>
    <row r="397" spans="4:5" x14ac:dyDescent="0.2">
      <c r="D397" s="3">
        <f t="shared" si="71"/>
        <v>-6.9999999999999982</v>
      </c>
      <c r="E397" s="3">
        <f t="shared" ca="1" si="72"/>
        <v>-7.3059739537548838</v>
      </c>
    </row>
    <row r="398" spans="4:5" x14ac:dyDescent="0.2">
      <c r="D398" s="3">
        <f t="shared" si="71"/>
        <v>-6.9999999999999982</v>
      </c>
      <c r="E398" s="3">
        <f t="shared" ca="1" si="72"/>
        <v>-7.2934474906062148</v>
      </c>
    </row>
    <row r="399" spans="4:5" x14ac:dyDescent="0.2">
      <c r="D399" s="3">
        <f t="shared" si="71"/>
        <v>-6.9999999999999982</v>
      </c>
      <c r="E399" s="3">
        <f t="shared" ca="1" si="72"/>
        <v>-7.2759224628633152</v>
      </c>
    </row>
    <row r="400" spans="4:5" x14ac:dyDescent="0.2">
      <c r="D400" s="3">
        <f t="shared" si="71"/>
        <v>-7.9999999999999982</v>
      </c>
      <c r="E400" s="3">
        <f t="shared" ca="1" si="72"/>
        <v>-7.2534108813048039</v>
      </c>
    </row>
    <row r="401" spans="4:5" x14ac:dyDescent="0.2">
      <c r="D401" s="3">
        <f t="shared" si="71"/>
        <v>-7.9999999999999982</v>
      </c>
      <c r="E401" s="3">
        <f t="shared" ca="1" si="72"/>
        <v>-7.2259281742442063</v>
      </c>
    </row>
    <row r="402" spans="4:5" x14ac:dyDescent="0.2">
      <c r="D402" s="3">
        <f t="shared" si="71"/>
        <v>-7.9999999999999982</v>
      </c>
      <c r="E402" s="3">
        <f t="shared" ca="1" si="72"/>
        <v>-7.1934931769561468</v>
      </c>
    </row>
    <row r="403" spans="4:5" x14ac:dyDescent="0.2">
      <c r="D403" s="3">
        <f t="shared" si="71"/>
        <v>-7.9999999999999982</v>
      </c>
      <c r="E403" s="3">
        <f t="shared" ca="1" si="72"/>
        <v>-7.1561281187676045</v>
      </c>
    </row>
    <row r="404" spans="4:5" x14ac:dyDescent="0.2">
      <c r="D404" s="3">
        <f t="shared" ref="D404:D467" si="73">INDEX($O$34:$O$105,INT((ROW()-200)*0.1))</f>
        <v>-7.9999999999999982</v>
      </c>
      <c r="E404" s="3">
        <f t="shared" ca="1" si="72"/>
        <v>-7.1138586078230333</v>
      </c>
    </row>
    <row r="405" spans="4:5" x14ac:dyDescent="0.2">
      <c r="D405" s="3">
        <f t="shared" si="73"/>
        <v>-7.9999999999999982</v>
      </c>
      <c r="E405" s="3">
        <f t="shared" ca="1" si="72"/>
        <v>-7.0667136135338247</v>
      </c>
    </row>
    <row r="406" spans="4:5" x14ac:dyDescent="0.2">
      <c r="D406" s="3">
        <f t="shared" si="73"/>
        <v>-7.9999999999999982</v>
      </c>
      <c r="E406" s="3">
        <f t="shared" ca="1" si="72"/>
        <v>-7.0147254467241247</v>
      </c>
    </row>
    <row r="407" spans="4:5" x14ac:dyDescent="0.2">
      <c r="D407" s="3">
        <f t="shared" si="73"/>
        <v>-7.9999999999999982</v>
      </c>
      <c r="E407" s="3">
        <f t="shared" ca="1" si="72"/>
        <v>-6.9579297374865918</v>
      </c>
    </row>
    <row r="408" spans="4:5" x14ac:dyDescent="0.2">
      <c r="D408" s="3">
        <f t="shared" si="73"/>
        <v>-7.9999999999999982</v>
      </c>
      <c r="E408" s="3">
        <f t="shared" ca="1" si="72"/>
        <v>-6.8963654107633321</v>
      </c>
    </row>
    <row r="409" spans="4:5" x14ac:dyDescent="0.2">
      <c r="D409" s="3">
        <f t="shared" si="73"/>
        <v>-7.9999999999999982</v>
      </c>
      <c r="E409" s="3">
        <f t="shared" ca="1" si="72"/>
        <v>-6.8300746596686759</v>
      </c>
    </row>
    <row r="410" spans="4:5" x14ac:dyDescent="0.2">
      <c r="D410" s="3">
        <f t="shared" si="73"/>
        <v>-6.9999999999999991</v>
      </c>
      <c r="E410" s="3">
        <f t="shared" ca="1" si="72"/>
        <v>-6.759102916572119</v>
      </c>
    </row>
    <row r="411" spans="4:5" x14ac:dyDescent="0.2">
      <c r="D411" s="3">
        <f t="shared" si="73"/>
        <v>-6.9999999999999991</v>
      </c>
      <c r="E411" s="3">
        <f t="shared" ca="1" si="72"/>
        <v>-6.6834988219612708</v>
      </c>
    </row>
    <row r="412" spans="4:5" x14ac:dyDescent="0.2">
      <c r="D412" s="3">
        <f t="shared" si="73"/>
        <v>-6.9999999999999991</v>
      </c>
      <c r="E412" s="3">
        <f t="shared" ca="1" si="72"/>
        <v>-6.603314191106068</v>
      </c>
    </row>
    <row r="413" spans="4:5" x14ac:dyDescent="0.2">
      <c r="D413" s="3">
        <f t="shared" si="73"/>
        <v>-6.9999999999999991</v>
      </c>
      <c r="E413" s="3">
        <f t="shared" ca="1" si="72"/>
        <v>-6.5186039785471825</v>
      </c>
    </row>
    <row r="414" spans="4:5" x14ac:dyDescent="0.2">
      <c r="D414" s="3">
        <f t="shared" si="73"/>
        <v>-6.9999999999999991</v>
      </c>
      <c r="E414" s="3">
        <f t="shared" ca="1" si="72"/>
        <v>-6.4294262404329379</v>
      </c>
    </row>
    <row r="415" spans="4:5" x14ac:dyDescent="0.2">
      <c r="D415" s="3">
        <f t="shared" si="73"/>
        <v>-6.9999999999999991</v>
      </c>
      <c r="E415" s="3">
        <f t="shared" ca="1" si="72"/>
        <v>-6.3358420947305003</v>
      </c>
    </row>
    <row r="416" spans="4:5" x14ac:dyDescent="0.2">
      <c r="D416" s="3">
        <f t="shared" si="73"/>
        <v>-6.9999999999999991</v>
      </c>
      <c r="E416" s="3">
        <f t="shared" ca="1" si="72"/>
        <v>-6.2379156793387125</v>
      </c>
    </row>
    <row r="417" spans="4:5" x14ac:dyDescent="0.2">
      <c r="D417" s="3">
        <f t="shared" si="73"/>
        <v>-6.9999999999999991</v>
      </c>
      <c r="E417" s="3">
        <f t="shared" ca="1" si="72"/>
        <v>-6.1357141081311495</v>
      </c>
    </row>
    <row r="418" spans="4:5" x14ac:dyDescent="0.2">
      <c r="D418" s="3">
        <f t="shared" si="73"/>
        <v>-6.9999999999999991</v>
      </c>
      <c r="E418" s="3">
        <f t="shared" ca="1" si="72"/>
        <v>-6.0293074249596286</v>
      </c>
    </row>
    <row r="419" spans="4:5" x14ac:dyDescent="0.2">
      <c r="D419" s="3">
        <f t="shared" si="73"/>
        <v>-6.9999999999999991</v>
      </c>
      <c r="E419" s="3">
        <f t="shared" ca="1" si="72"/>
        <v>-5.9187685556496668</v>
      </c>
    </row>
    <row r="420" spans="4:5" x14ac:dyDescent="0.2">
      <c r="D420" s="3">
        <f t="shared" si="73"/>
        <v>-6</v>
      </c>
      <c r="E420" s="3">
        <f t="shared" ca="1" si="72"/>
        <v>-5.8041732580207483</v>
      </c>
    </row>
    <row r="421" spans="4:5" x14ac:dyDescent="0.2">
      <c r="D421" s="3">
        <f t="shared" si="73"/>
        <v>-6</v>
      </c>
      <c r="E421" s="3">
        <f t="shared" ca="1" si="72"/>
        <v>-5.6856000699657061</v>
      </c>
    </row>
    <row r="422" spans="4:5" x14ac:dyDescent="0.2">
      <c r="D422" s="3">
        <f t="shared" si="73"/>
        <v>-6</v>
      </c>
      <c r="E422" s="3">
        <f t="shared" ca="1" si="72"/>
        <v>-5.5631302556247695</v>
      </c>
    </row>
    <row r="423" spans="4:5" x14ac:dyDescent="0.2">
      <c r="D423" s="3">
        <f t="shared" si="73"/>
        <v>-6</v>
      </c>
      <c r="E423" s="3">
        <f t="shared" ca="1" si="72"/>
        <v>-5.4368477496911884</v>
      </c>
    </row>
    <row r="424" spans="4:5" x14ac:dyDescent="0.2">
      <c r="D424" s="3">
        <f t="shared" si="73"/>
        <v>-6</v>
      </c>
      <c r="E424" s="3">
        <f t="shared" ca="1" si="72"/>
        <v>-5.3068390998865693</v>
      </c>
    </row>
    <row r="425" spans="4:5" x14ac:dyDescent="0.2">
      <c r="D425" s="3">
        <f t="shared" si="73"/>
        <v>-6</v>
      </c>
      <c r="E425" s="3">
        <f t="shared" ca="1" si="72"/>
        <v>-5.1731934076454174</v>
      </c>
    </row>
    <row r="426" spans="4:5" x14ac:dyDescent="0.2">
      <c r="D426" s="3">
        <f t="shared" si="73"/>
        <v>-6</v>
      </c>
      <c r="E426" s="3">
        <f t="shared" ca="1" si="72"/>
        <v>-5.0360022670494402</v>
      </c>
    </row>
    <row r="427" spans="4:5" x14ac:dyDescent="0.2">
      <c r="D427" s="3">
        <f t="shared" si="73"/>
        <v>-6</v>
      </c>
      <c r="E427" s="3">
        <f t="shared" ca="1" si="72"/>
        <v>-4.895359702053554</v>
      </c>
    </row>
    <row r="428" spans="4:5" x14ac:dyDescent="0.2">
      <c r="D428" s="3">
        <f t="shared" si="73"/>
        <v>-6</v>
      </c>
      <c r="E428" s="3">
        <f t="shared" ca="1" si="72"/>
        <v>-4.7513621020465582</v>
      </c>
    </row>
    <row r="429" spans="4:5" x14ac:dyDescent="0.2">
      <c r="D429" s="3">
        <f t="shared" si="73"/>
        <v>-6</v>
      </c>
      <c r="E429" s="3">
        <f t="shared" ca="1" si="72"/>
        <v>-4.6041081557906471</v>
      </c>
    </row>
    <row r="430" spans="4:5" x14ac:dyDescent="0.2">
      <c r="D430" s="3">
        <f t="shared" si="73"/>
        <v>-5.0000000000000009</v>
      </c>
      <c r="E430" s="3">
        <f t="shared" ca="1" si="72"/>
        <v>-4.4536987837850912</v>
      </c>
    </row>
    <row r="431" spans="4:5" x14ac:dyDescent="0.2">
      <c r="D431" s="3">
        <f t="shared" si="73"/>
        <v>-5.0000000000000009</v>
      </c>
      <c r="E431" s="3">
        <f t="shared" ca="1" si="72"/>
        <v>-4.3002370691003486</v>
      </c>
    </row>
    <row r="432" spans="4:5" x14ac:dyDescent="0.2">
      <c r="D432" s="3">
        <f t="shared" si="73"/>
        <v>-5.0000000000000009</v>
      </c>
      <c r="E432" s="3">
        <f t="shared" ca="1" si="72"/>
        <v>-4.1438281867300777</v>
      </c>
    </row>
    <row r="433" spans="4:5" x14ac:dyDescent="0.2">
      <c r="D433" s="3">
        <f t="shared" si="73"/>
        <v>-5.0000000000000009</v>
      </c>
      <c r="E433" s="3">
        <f t="shared" ca="1" si="72"/>
        <v>-3.9845793315094582</v>
      </c>
    </row>
    <row r="434" spans="4:5" x14ac:dyDescent="0.2">
      <c r="D434" s="3">
        <f t="shared" si="73"/>
        <v>-5.0000000000000009</v>
      </c>
      <c r="E434" s="3">
        <f t="shared" ca="1" si="72"/>
        <v>-3.8225996446492019</v>
      </c>
    </row>
    <row r="435" spans="4:5" x14ac:dyDescent="0.2">
      <c r="D435" s="3">
        <f t="shared" si="73"/>
        <v>-5.0000000000000009</v>
      </c>
      <c r="E435" s="3">
        <f t="shared" ca="1" si="72"/>
        <v>-3.6580001389356203</v>
      </c>
    </row>
    <row r="436" spans="4:5" x14ac:dyDescent="0.2">
      <c r="D436" s="3">
        <f t="shared" si="73"/>
        <v>-5.0000000000000009</v>
      </c>
      <c r="E436" s="3">
        <f t="shared" ca="1" si="72"/>
        <v>-3.4908936226479912</v>
      </c>
    </row>
    <row r="437" spans="4:5" x14ac:dyDescent="0.2">
      <c r="D437" s="3">
        <f t="shared" si="73"/>
        <v>-5.0000000000000009</v>
      </c>
      <c r="E437" s="3">
        <f t="shared" ca="1" si="72"/>
        <v>-3.321394622245426</v>
      </c>
    </row>
    <row r="438" spans="4:5" x14ac:dyDescent="0.2">
      <c r="D438" s="3">
        <f t="shared" si="73"/>
        <v>-5.0000000000000009</v>
      </c>
      <c r="E438" s="3">
        <f t="shared" ca="1" si="72"/>
        <v>-3.1496193038761375</v>
      </c>
    </row>
    <row r="439" spans="4:5" x14ac:dyDescent="0.2">
      <c r="D439" s="3">
        <f t="shared" si="73"/>
        <v>-5.0000000000000009</v>
      </c>
      <c r="E439" s="3">
        <f t="shared" ca="1" si="72"/>
        <v>-2.975685393762967</v>
      </c>
    </row>
    <row r="440" spans="4:5" x14ac:dyDescent="0.2">
      <c r="D440" s="3">
        <f t="shared" si="73"/>
        <v>-4</v>
      </c>
      <c r="E440" s="3">
        <f t="shared" ca="1" si="72"/>
        <v>-2.7997120975197127</v>
      </c>
    </row>
    <row r="441" spans="4:5" x14ac:dyDescent="0.2">
      <c r="D441" s="3">
        <f t="shared" si="73"/>
        <v>-4</v>
      </c>
      <c r="E441" s="3">
        <f t="shared" ca="1" si="72"/>
        <v>-2.6218200184535649</v>
      </c>
    </row>
    <row r="442" spans="4:5" x14ac:dyDescent="0.2">
      <c r="D442" s="3">
        <f t="shared" si="73"/>
        <v>-4</v>
      </c>
      <c r="E442" s="3">
        <f t="shared" ca="1" si="72"/>
        <v>-2.4421310749095948</v>
      </c>
    </row>
    <row r="443" spans="4:5" x14ac:dyDescent="0.2">
      <c r="D443" s="3">
        <f t="shared" si="73"/>
        <v>-4</v>
      </c>
      <c r="E443" s="3">
        <f t="shared" ca="1" si="72"/>
        <v>-2.2607684167140505</v>
      </c>
    </row>
    <row r="444" spans="4:5" x14ac:dyDescent="0.2">
      <c r="D444" s="3">
        <f t="shared" si="73"/>
        <v>-4</v>
      </c>
      <c r="E444" s="3">
        <f t="shared" ca="1" si="72"/>
        <v>-2.077856340773593</v>
      </c>
    </row>
    <row r="445" spans="4:5" x14ac:dyDescent="0.2">
      <c r="D445" s="3">
        <f t="shared" si="73"/>
        <v>-4</v>
      </c>
      <c r="E445" s="3">
        <f t="shared" ca="1" si="72"/>
        <v>-1.8935202058884089</v>
      </c>
    </row>
    <row r="446" spans="4:5" x14ac:dyDescent="0.2">
      <c r="D446" s="3">
        <f t="shared" si="73"/>
        <v>-4</v>
      </c>
      <c r="E446" s="3">
        <f t="shared" ca="1" si="72"/>
        <v>-1.7078863468375602</v>
      </c>
    </row>
    <row r="447" spans="4:5" x14ac:dyDescent="0.2">
      <c r="D447" s="3">
        <f t="shared" si="73"/>
        <v>-4</v>
      </c>
      <c r="E447" s="3">
        <f t="shared" ca="1" si="72"/>
        <v>-1.5210819877954094</v>
      </c>
    </row>
    <row r="448" spans="4:5" x14ac:dyDescent="0.2">
      <c r="D448" s="3">
        <f t="shared" si="73"/>
        <v>-4</v>
      </c>
      <c r="E448" s="3">
        <f t="shared" ca="1" si="72"/>
        <v>-1.3332351551385639</v>
      </c>
    </row>
    <row r="449" spans="4:5" x14ac:dyDescent="0.2">
      <c r="D449" s="3">
        <f t="shared" si="73"/>
        <v>-4</v>
      </c>
      <c r="E449" s="3">
        <f t="shared" ca="1" si="72"/>
        <v>-1.1444745897029687</v>
      </c>
    </row>
    <row r="450" spans="4:5" x14ac:dyDescent="0.2">
      <c r="D450" s="3">
        <f t="shared" si="73"/>
        <v>-2.0000000000000018</v>
      </c>
      <c r="E450" s="3">
        <f t="shared" ca="1" si="72"/>
        <v>-0.95492965855137224</v>
      </c>
    </row>
    <row r="451" spans="4:5" x14ac:dyDescent="0.2">
      <c r="D451" s="3">
        <f t="shared" si="73"/>
        <v>-2.0000000000000018</v>
      </c>
      <c r="E451" s="3">
        <f t="shared" ca="1" si="72"/>
        <v>-0.76473026631160546</v>
      </c>
    </row>
    <row r="452" spans="4:5" x14ac:dyDescent="0.2">
      <c r="D452" s="3">
        <f t="shared" si="73"/>
        <v>-2.0000000000000018</v>
      </c>
      <c r="E452" s="3">
        <f t="shared" ca="1" si="72"/>
        <v>-0.5740067661464443</v>
      </c>
    </row>
    <row r="453" spans="4:5" x14ac:dyDescent="0.2">
      <c r="D453" s="3">
        <f t="shared" si="73"/>
        <v>-2.0000000000000018</v>
      </c>
      <c r="E453" s="3">
        <f t="shared" ca="1" si="72"/>
        <v>-0.38288987041603778</v>
      </c>
    </row>
    <row r="454" spans="4:5" x14ac:dyDescent="0.2">
      <c r="D454" s="3">
        <f t="shared" si="73"/>
        <v>-2.0000000000000018</v>
      </c>
      <c r="E454" s="3">
        <f t="shared" ca="1" si="72"/>
        <v>-0.19151056109422379</v>
      </c>
    </row>
    <row r="455" spans="4:5" x14ac:dyDescent="0.2">
      <c r="D455" s="3">
        <f t="shared" si="73"/>
        <v>-2.0000000000000018</v>
      </c>
      <c r="E455" s="3">
        <f t="shared" ca="1" si="72"/>
        <v>-1.7926372873089954E-15</v>
      </c>
    </row>
    <row r="456" spans="4:5" x14ac:dyDescent="0.2">
      <c r="D456" s="3">
        <f t="shared" si="73"/>
        <v>-2.0000000000000018</v>
      </c>
      <c r="E456" s="3">
        <f t="shared" ca="1" si="72"/>
        <v>0.19151056109422021</v>
      </c>
    </row>
    <row r="457" spans="4:5" x14ac:dyDescent="0.2">
      <c r="D457" s="3">
        <f t="shared" si="73"/>
        <v>-2.0000000000000018</v>
      </c>
      <c r="E457" s="3">
        <f t="shared" ca="1" si="72"/>
        <v>0.38288987041603423</v>
      </c>
    </row>
    <row r="458" spans="4:5" x14ac:dyDescent="0.2">
      <c r="D458" s="3">
        <f t="shared" si="73"/>
        <v>-2.0000000000000018</v>
      </c>
      <c r="E458" s="3">
        <f t="shared" ref="E458:E521" ca="1" si="74">RAND()*0+IF($P$28="Igen",(SIN((360/$H$30*(ROW()-200)*0.1/2*$J$30+$P$31)*PI()/180)*$N$31*IF($J$30=$J$31,1,$E$18)),0)</f>
        <v>0.57400676614643431</v>
      </c>
    </row>
    <row r="459" spans="4:5" x14ac:dyDescent="0.2">
      <c r="D459" s="3">
        <f t="shared" si="73"/>
        <v>-2.0000000000000018</v>
      </c>
      <c r="E459" s="3">
        <f t="shared" ca="1" si="74"/>
        <v>0.7647302663116019</v>
      </c>
    </row>
    <row r="460" spans="4:5" x14ac:dyDescent="0.2">
      <c r="D460" s="3">
        <f t="shared" si="73"/>
        <v>0</v>
      </c>
      <c r="E460" s="3">
        <f t="shared" ca="1" si="74"/>
        <v>0.95492965855136858</v>
      </c>
    </row>
    <row r="461" spans="4:5" x14ac:dyDescent="0.2">
      <c r="D461" s="3">
        <f t="shared" si="73"/>
        <v>0</v>
      </c>
      <c r="E461" s="3">
        <f t="shared" ca="1" si="74"/>
        <v>1.1444745897029651</v>
      </c>
    </row>
    <row r="462" spans="4:5" x14ac:dyDescent="0.2">
      <c r="D462" s="3">
        <f t="shared" si="73"/>
        <v>0</v>
      </c>
      <c r="E462" s="3">
        <f t="shared" ca="1" si="74"/>
        <v>1.3332351551385604</v>
      </c>
    </row>
    <row r="463" spans="4:5" x14ac:dyDescent="0.2">
      <c r="D463" s="3">
        <f t="shared" si="73"/>
        <v>0</v>
      </c>
      <c r="E463" s="3">
        <f t="shared" ca="1" si="74"/>
        <v>1.5210819877953994</v>
      </c>
    </row>
    <row r="464" spans="4:5" x14ac:dyDescent="0.2">
      <c r="D464" s="3">
        <f t="shared" si="73"/>
        <v>0</v>
      </c>
      <c r="E464" s="3">
        <f t="shared" ca="1" si="74"/>
        <v>1.7078863468375505</v>
      </c>
    </row>
    <row r="465" spans="4:5" x14ac:dyDescent="0.2">
      <c r="D465" s="3">
        <f t="shared" si="73"/>
        <v>0</v>
      </c>
      <c r="E465" s="3">
        <f t="shared" ca="1" si="74"/>
        <v>1.8935202058884055</v>
      </c>
    </row>
    <row r="466" spans="4:5" x14ac:dyDescent="0.2">
      <c r="D466" s="3">
        <f t="shared" si="73"/>
        <v>0</v>
      </c>
      <c r="E466" s="3">
        <f t="shared" ca="1" si="74"/>
        <v>2.0778563407735895</v>
      </c>
    </row>
    <row r="467" spans="4:5" x14ac:dyDescent="0.2">
      <c r="D467" s="3">
        <f t="shared" si="73"/>
        <v>0</v>
      </c>
      <c r="E467" s="3">
        <f t="shared" ca="1" si="74"/>
        <v>2.2607684167140474</v>
      </c>
    </row>
    <row r="468" spans="4:5" x14ac:dyDescent="0.2">
      <c r="D468" s="3">
        <f t="shared" ref="D468:D531" si="75">INDEX($O$34:$O$105,INT((ROW()-200)*0.1))</f>
        <v>0</v>
      </c>
      <c r="E468" s="3">
        <f t="shared" ca="1" si="74"/>
        <v>2.4421310749095917</v>
      </c>
    </row>
    <row r="469" spans="4:5" x14ac:dyDescent="0.2">
      <c r="D469" s="3">
        <f t="shared" si="75"/>
        <v>0</v>
      </c>
      <c r="E469" s="3">
        <f t="shared" ca="1" si="74"/>
        <v>2.6218200184535556</v>
      </c>
    </row>
    <row r="470" spans="4:5" x14ac:dyDescent="0.2">
      <c r="D470" s="3">
        <f t="shared" si="75"/>
        <v>1.9999999999999982</v>
      </c>
      <c r="E470" s="3">
        <f t="shared" ca="1" si="74"/>
        <v>2.7997120975197096</v>
      </c>
    </row>
    <row r="471" spans="4:5" x14ac:dyDescent="0.2">
      <c r="D471" s="3">
        <f t="shared" si="75"/>
        <v>1.9999999999999982</v>
      </c>
      <c r="E471" s="3">
        <f t="shared" ca="1" si="74"/>
        <v>2.9756853937629639</v>
      </c>
    </row>
    <row r="472" spans="4:5" x14ac:dyDescent="0.2">
      <c r="D472" s="3">
        <f t="shared" si="75"/>
        <v>1.9999999999999982</v>
      </c>
      <c r="E472" s="3">
        <f t="shared" ca="1" si="74"/>
        <v>3.1496193038761344</v>
      </c>
    </row>
    <row r="473" spans="4:5" x14ac:dyDescent="0.2">
      <c r="D473" s="3">
        <f t="shared" si="75"/>
        <v>1.9999999999999982</v>
      </c>
      <c r="E473" s="3">
        <f t="shared" ca="1" si="74"/>
        <v>3.3213946222454291</v>
      </c>
    </row>
    <row r="474" spans="4:5" x14ac:dyDescent="0.2">
      <c r="D474" s="3">
        <f t="shared" si="75"/>
        <v>1.9999999999999982</v>
      </c>
      <c r="E474" s="3">
        <f t="shared" ca="1" si="74"/>
        <v>3.4908936226479823</v>
      </c>
    </row>
    <row r="475" spans="4:5" x14ac:dyDescent="0.2">
      <c r="D475" s="3">
        <f t="shared" si="75"/>
        <v>1.9999999999999982</v>
      </c>
      <c r="E475" s="3">
        <f t="shared" ca="1" si="74"/>
        <v>3.6580001389356118</v>
      </c>
    </row>
    <row r="476" spans="4:5" x14ac:dyDescent="0.2">
      <c r="D476" s="3">
        <f t="shared" si="75"/>
        <v>1.9999999999999982</v>
      </c>
      <c r="E476" s="3">
        <f t="shared" ca="1" si="74"/>
        <v>3.8225996446491983</v>
      </c>
    </row>
    <row r="477" spans="4:5" x14ac:dyDescent="0.2">
      <c r="D477" s="3">
        <f t="shared" si="75"/>
        <v>1.9999999999999982</v>
      </c>
      <c r="E477" s="3">
        <f t="shared" ca="1" si="74"/>
        <v>3.984579331509456</v>
      </c>
    </row>
    <row r="478" spans="4:5" x14ac:dyDescent="0.2">
      <c r="D478" s="3">
        <f t="shared" si="75"/>
        <v>1.9999999999999982</v>
      </c>
      <c r="E478" s="3">
        <f t="shared" ca="1" si="74"/>
        <v>4.1438281867300804</v>
      </c>
    </row>
    <row r="479" spans="4:5" x14ac:dyDescent="0.2">
      <c r="D479" s="3">
        <f t="shared" si="75"/>
        <v>1.9999999999999982</v>
      </c>
      <c r="E479" s="3">
        <f t="shared" ca="1" si="74"/>
        <v>4.3002370691003504</v>
      </c>
    </row>
    <row r="480" spans="4:5" x14ac:dyDescent="0.2">
      <c r="D480" s="3">
        <f t="shared" si="75"/>
        <v>3.9999999999999982</v>
      </c>
      <c r="E480" s="3">
        <f t="shared" ca="1" si="74"/>
        <v>4.4536987837850841</v>
      </c>
    </row>
    <row r="481" spans="4:5" x14ac:dyDescent="0.2">
      <c r="D481" s="3">
        <f t="shared" si="75"/>
        <v>3.9999999999999982</v>
      </c>
      <c r="E481" s="3">
        <f t="shared" ca="1" si="74"/>
        <v>4.60410815579064</v>
      </c>
    </row>
    <row r="482" spans="4:5" x14ac:dyDescent="0.2">
      <c r="D482" s="3">
        <f t="shared" si="75"/>
        <v>3.9999999999999982</v>
      </c>
      <c r="E482" s="3">
        <f t="shared" ca="1" si="74"/>
        <v>4.7513621020465502</v>
      </c>
    </row>
    <row r="483" spans="4:5" x14ac:dyDescent="0.2">
      <c r="D483" s="3">
        <f t="shared" si="75"/>
        <v>3.9999999999999982</v>
      </c>
      <c r="E483" s="3">
        <f t="shared" ca="1" si="74"/>
        <v>4.8953597020535558</v>
      </c>
    </row>
    <row r="484" spans="4:5" x14ac:dyDescent="0.2">
      <c r="D484" s="3">
        <f t="shared" si="75"/>
        <v>3.9999999999999982</v>
      </c>
      <c r="E484" s="3">
        <f t="shared" ca="1" si="74"/>
        <v>5.0360022670494429</v>
      </c>
    </row>
    <row r="485" spans="4:5" x14ac:dyDescent="0.2">
      <c r="D485" s="3">
        <f t="shared" si="75"/>
        <v>3.9999999999999982</v>
      </c>
      <c r="E485" s="3">
        <f t="shared" ca="1" si="74"/>
        <v>5.1731934076454094</v>
      </c>
    </row>
    <row r="486" spans="4:5" x14ac:dyDescent="0.2">
      <c r="D486" s="3">
        <f t="shared" si="75"/>
        <v>3.9999999999999982</v>
      </c>
      <c r="E486" s="3">
        <f t="shared" ca="1" si="74"/>
        <v>5.3068390998865631</v>
      </c>
    </row>
    <row r="487" spans="4:5" x14ac:dyDescent="0.2">
      <c r="D487" s="3">
        <f t="shared" si="75"/>
        <v>3.9999999999999982</v>
      </c>
      <c r="E487" s="3">
        <f t="shared" ca="1" si="74"/>
        <v>5.4368477496911822</v>
      </c>
    </row>
    <row r="488" spans="4:5" x14ac:dyDescent="0.2">
      <c r="D488" s="3">
        <f t="shared" si="75"/>
        <v>3.9999999999999982</v>
      </c>
      <c r="E488" s="3">
        <f t="shared" ca="1" si="74"/>
        <v>5.5631302556247713</v>
      </c>
    </row>
    <row r="489" spans="4:5" x14ac:dyDescent="0.2">
      <c r="D489" s="3">
        <f t="shared" si="75"/>
        <v>3.9999999999999982</v>
      </c>
      <c r="E489" s="3">
        <f t="shared" ca="1" si="74"/>
        <v>5.6856000699657079</v>
      </c>
    </row>
    <row r="490" spans="4:5" x14ac:dyDescent="0.2">
      <c r="D490" s="3">
        <f t="shared" si="75"/>
        <v>4.9999999999999982</v>
      </c>
      <c r="E490" s="3">
        <f t="shared" ca="1" si="74"/>
        <v>5.804173258020751</v>
      </c>
    </row>
    <row r="491" spans="4:5" x14ac:dyDescent="0.2">
      <c r="D491" s="3">
        <f t="shared" si="75"/>
        <v>4.9999999999999982</v>
      </c>
      <c r="E491" s="3">
        <f t="shared" ca="1" si="74"/>
        <v>5.9187685556496614</v>
      </c>
    </row>
    <row r="492" spans="4:5" x14ac:dyDescent="0.2">
      <c r="D492" s="3">
        <f t="shared" si="75"/>
        <v>4.9999999999999982</v>
      </c>
      <c r="E492" s="3">
        <f t="shared" ca="1" si="74"/>
        <v>6.0293074249596277</v>
      </c>
    </row>
    <row r="493" spans="4:5" x14ac:dyDescent="0.2">
      <c r="D493" s="3">
        <f t="shared" si="75"/>
        <v>4.9999999999999982</v>
      </c>
      <c r="E493" s="3">
        <f t="shared" ca="1" si="74"/>
        <v>6.1357141081311486</v>
      </c>
    </row>
    <row r="494" spans="4:5" x14ac:dyDescent="0.2">
      <c r="D494" s="3">
        <f t="shared" si="75"/>
        <v>4.9999999999999982</v>
      </c>
      <c r="E494" s="3">
        <f t="shared" ca="1" si="74"/>
        <v>6.2379156793387143</v>
      </c>
    </row>
    <row r="495" spans="4:5" x14ac:dyDescent="0.2">
      <c r="D495" s="3">
        <f t="shared" si="75"/>
        <v>4.9999999999999982</v>
      </c>
      <c r="E495" s="3">
        <f t="shared" ca="1" si="74"/>
        <v>6.3358420947305021</v>
      </c>
    </row>
    <row r="496" spans="4:5" x14ac:dyDescent="0.2">
      <c r="D496" s="3">
        <f t="shared" si="75"/>
        <v>4.9999999999999982</v>
      </c>
      <c r="E496" s="3">
        <f t="shared" ca="1" si="74"/>
        <v>6.4294262404329361</v>
      </c>
    </row>
    <row r="497" spans="4:129" x14ac:dyDescent="0.2">
      <c r="D497" s="3">
        <f t="shared" si="75"/>
        <v>4.9999999999999982</v>
      </c>
      <c r="E497" s="3">
        <f t="shared" ca="1" si="74"/>
        <v>6.5186039785471808</v>
      </c>
    </row>
    <row r="498" spans="4:129" x14ac:dyDescent="0.2">
      <c r="D498" s="3">
        <f t="shared" si="75"/>
        <v>4.9999999999999982</v>
      </c>
      <c r="E498" s="3">
        <f t="shared" ca="1" si="74"/>
        <v>6.6033141911060662</v>
      </c>
    </row>
    <row r="499" spans="4:129" x14ac:dyDescent="0.2">
      <c r="D499" s="3">
        <f t="shared" si="75"/>
        <v>4.9999999999999982</v>
      </c>
      <c r="E499" s="3">
        <f t="shared" ca="1" si="74"/>
        <v>6.6834988219612717</v>
      </c>
    </row>
    <row r="500" spans="4:129" x14ac:dyDescent="0.2">
      <c r="D500" s="3">
        <f t="shared" si="75"/>
        <v>5.9999999999999982</v>
      </c>
      <c r="E500" s="3">
        <f t="shared" ca="1" si="74"/>
        <v>6.7591029165721208</v>
      </c>
    </row>
    <row r="501" spans="4:129" x14ac:dyDescent="0.2">
      <c r="D501" s="3">
        <f t="shared" si="75"/>
        <v>5.9999999999999982</v>
      </c>
      <c r="E501" s="3">
        <f t="shared" ca="1" si="74"/>
        <v>6.8300746596686741</v>
      </c>
    </row>
    <row r="502" spans="4:129" x14ac:dyDescent="0.2">
      <c r="D502" s="3">
        <f t="shared" si="75"/>
        <v>5.9999999999999982</v>
      </c>
      <c r="E502" s="3">
        <f t="shared" ca="1" si="74"/>
        <v>6.8963654107633303</v>
      </c>
    </row>
    <row r="503" spans="4:129" x14ac:dyDescent="0.2">
      <c r="D503" s="3">
        <f t="shared" si="75"/>
        <v>5.9999999999999982</v>
      </c>
      <c r="E503" s="3">
        <f t="shared" ca="1" si="74"/>
        <v>6.9579297374865909</v>
      </c>
    </row>
    <row r="504" spans="4:129" x14ac:dyDescent="0.2">
      <c r="D504" s="3">
        <f t="shared" si="75"/>
        <v>5.9999999999999982</v>
      </c>
      <c r="E504" s="3">
        <f t="shared" ca="1" si="74"/>
        <v>7.0147254467241238</v>
      </c>
    </row>
    <row r="505" spans="4:129" x14ac:dyDescent="0.2">
      <c r="D505" s="3">
        <f t="shared" si="75"/>
        <v>5.9999999999999982</v>
      </c>
      <c r="E505" s="3">
        <f t="shared" ca="1" si="74"/>
        <v>7.0667136135338255</v>
      </c>
      <c r="BA505" s="90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</row>
    <row r="506" spans="4:129" x14ac:dyDescent="0.2">
      <c r="D506" s="3">
        <f t="shared" si="75"/>
        <v>5.9999999999999982</v>
      </c>
      <c r="E506" s="3">
        <f t="shared" ca="1" si="74"/>
        <v>7.1138586078230324</v>
      </c>
      <c r="BA506" s="90"/>
    </row>
    <row r="507" spans="4:129" x14ac:dyDescent="0.2">
      <c r="D507" s="3">
        <f t="shared" si="75"/>
        <v>5.9999999999999982</v>
      </c>
      <c r="E507" s="3">
        <f t="shared" ca="1" si="74"/>
        <v>7.1561281187676036</v>
      </c>
      <c r="BA507" s="90"/>
    </row>
    <row r="508" spans="4:129" x14ac:dyDescent="0.2">
      <c r="D508" s="3">
        <f t="shared" si="75"/>
        <v>5.9999999999999982</v>
      </c>
      <c r="E508" s="3">
        <f t="shared" ca="1" si="74"/>
        <v>7.1934931769561459</v>
      </c>
      <c r="BA508" s="90"/>
    </row>
    <row r="509" spans="4:129" x14ac:dyDescent="0.2">
      <c r="D509" s="3">
        <f t="shared" si="75"/>
        <v>5.9999999999999982</v>
      </c>
      <c r="E509" s="3">
        <f t="shared" ca="1" si="74"/>
        <v>7.2259281742442054</v>
      </c>
      <c r="BA509" s="90"/>
    </row>
    <row r="510" spans="4:129" x14ac:dyDescent="0.2">
      <c r="D510" s="3">
        <f t="shared" si="75"/>
        <v>6.9999999999999982</v>
      </c>
      <c r="E510" s="3">
        <f t="shared" ca="1" si="74"/>
        <v>7.2534108813048039</v>
      </c>
      <c r="BA510" s="90"/>
    </row>
    <row r="511" spans="4:129" x14ac:dyDescent="0.2">
      <c r="D511" s="3">
        <f t="shared" si="75"/>
        <v>6.9999999999999982</v>
      </c>
      <c r="E511" s="3">
        <f t="shared" ca="1" si="74"/>
        <v>7.2759224628633143</v>
      </c>
      <c r="BA511" s="90"/>
    </row>
    <row r="512" spans="4:129" x14ac:dyDescent="0.2">
      <c r="D512" s="3">
        <f t="shared" si="75"/>
        <v>6.9999999999999982</v>
      </c>
      <c r="E512" s="3">
        <f t="shared" ca="1" si="74"/>
        <v>7.2934474906062139</v>
      </c>
      <c r="BA512" s="90"/>
    </row>
    <row r="513" spans="4:53" x14ac:dyDescent="0.2">
      <c r="D513" s="3">
        <f t="shared" si="75"/>
        <v>6.9999999999999982</v>
      </c>
      <c r="E513" s="3">
        <f t="shared" ca="1" si="74"/>
        <v>7.3059739537548838</v>
      </c>
      <c r="BA513" s="90"/>
    </row>
    <row r="514" spans="4:53" x14ac:dyDescent="0.2">
      <c r="D514" s="3">
        <f t="shared" si="75"/>
        <v>6.9999999999999982</v>
      </c>
      <c r="E514" s="3">
        <f t="shared" ca="1" si="74"/>
        <v>7.3134932672971917</v>
      </c>
      <c r="BA514" s="90"/>
    </row>
    <row r="515" spans="4:53" x14ac:dyDescent="0.2">
      <c r="D515" s="3">
        <f t="shared" si="75"/>
        <v>6.9999999999999982</v>
      </c>
      <c r="E515" s="3">
        <f t="shared" ca="1" si="74"/>
        <v>7.3160002778712343</v>
      </c>
      <c r="BA515" s="90"/>
    </row>
    <row r="516" spans="4:53" x14ac:dyDescent="0.2">
      <c r="D516" s="3">
        <f t="shared" si="75"/>
        <v>6.9999999999999982</v>
      </c>
      <c r="E516" s="3">
        <f t="shared" ca="1" si="74"/>
        <v>7.3134932672971917</v>
      </c>
      <c r="BA516" s="90"/>
    </row>
    <row r="517" spans="4:53" x14ac:dyDescent="0.2">
      <c r="D517" s="3">
        <f t="shared" si="75"/>
        <v>6.9999999999999982</v>
      </c>
      <c r="E517" s="3">
        <f t="shared" ca="1" si="74"/>
        <v>7.3059739537548838</v>
      </c>
      <c r="BA517" s="90"/>
    </row>
    <row r="518" spans="4:53" x14ac:dyDescent="0.2">
      <c r="D518" s="3">
        <f t="shared" si="75"/>
        <v>6.9999999999999982</v>
      </c>
      <c r="E518" s="3">
        <f t="shared" ca="1" si="74"/>
        <v>7.2934474906062139</v>
      </c>
      <c r="BA518" s="90"/>
    </row>
    <row r="519" spans="4:53" x14ac:dyDescent="0.2">
      <c r="D519" s="3">
        <f t="shared" si="75"/>
        <v>6.9999999999999982</v>
      </c>
      <c r="E519" s="3">
        <f t="shared" ca="1" si="74"/>
        <v>7.2759224628633152</v>
      </c>
      <c r="BA519" s="90"/>
    </row>
    <row r="520" spans="4:53" x14ac:dyDescent="0.2">
      <c r="D520" s="3">
        <f t="shared" si="75"/>
        <v>7.9999999999999982</v>
      </c>
      <c r="E520" s="3">
        <f t="shared" ca="1" si="74"/>
        <v>7.2534108813048048</v>
      </c>
      <c r="BA520" s="90"/>
    </row>
    <row r="521" spans="4:53" x14ac:dyDescent="0.2">
      <c r="D521" s="3">
        <f t="shared" si="75"/>
        <v>7.9999999999999982</v>
      </c>
      <c r="E521" s="3">
        <f t="shared" ca="1" si="74"/>
        <v>7.2259281742442072</v>
      </c>
      <c r="BA521" s="90"/>
    </row>
    <row r="522" spans="4:53" x14ac:dyDescent="0.2">
      <c r="D522" s="3">
        <f t="shared" si="75"/>
        <v>7.9999999999999982</v>
      </c>
      <c r="E522" s="3">
        <f t="shared" ref="E522:E585" ca="1" si="76">RAND()*0+IF($P$28="Igen",(SIN((360/$H$30*(ROW()-200)*0.1/2*$J$30+$P$31)*PI()/180)*$N$31*IF($J$30=$J$31,1,$E$18)),0)</f>
        <v>7.1934931769561459</v>
      </c>
      <c r="BA522" s="90"/>
    </row>
    <row r="523" spans="4:53" x14ac:dyDescent="0.2">
      <c r="D523" s="3">
        <f t="shared" si="75"/>
        <v>7.9999999999999982</v>
      </c>
      <c r="E523" s="3">
        <f t="shared" ca="1" si="76"/>
        <v>7.1561281187676018</v>
      </c>
      <c r="BA523" s="90"/>
    </row>
    <row r="524" spans="4:53" x14ac:dyDescent="0.2">
      <c r="D524" s="3">
        <f t="shared" si="75"/>
        <v>7.9999999999999982</v>
      </c>
      <c r="E524" s="3">
        <f t="shared" ca="1" si="76"/>
        <v>7.1138586078230333</v>
      </c>
      <c r="BA524" s="90"/>
    </row>
    <row r="525" spans="4:53" x14ac:dyDescent="0.2">
      <c r="D525" s="3">
        <f t="shared" si="75"/>
        <v>7.9999999999999982</v>
      </c>
      <c r="E525" s="3">
        <f t="shared" ca="1" si="76"/>
        <v>7.0667136135338264</v>
      </c>
      <c r="BA525" s="90"/>
    </row>
    <row r="526" spans="4:53" x14ac:dyDescent="0.2">
      <c r="D526" s="3">
        <f t="shared" si="75"/>
        <v>7.9999999999999982</v>
      </c>
      <c r="E526" s="3">
        <f t="shared" ca="1" si="76"/>
        <v>7.0147254467241247</v>
      </c>
      <c r="BA526" s="90"/>
    </row>
    <row r="527" spans="4:53" x14ac:dyDescent="0.2">
      <c r="D527" s="3">
        <f t="shared" si="75"/>
        <v>7.9999999999999982</v>
      </c>
      <c r="E527" s="3">
        <f t="shared" ca="1" si="76"/>
        <v>6.9579297374865918</v>
      </c>
      <c r="BA527" s="90"/>
    </row>
    <row r="528" spans="4:53" x14ac:dyDescent="0.2">
      <c r="D528" s="3">
        <f t="shared" si="75"/>
        <v>7.9999999999999982</v>
      </c>
      <c r="E528" s="3">
        <f t="shared" ca="1" si="76"/>
        <v>6.8963654107633321</v>
      </c>
      <c r="BA528" s="90"/>
    </row>
    <row r="529" spans="4:53" x14ac:dyDescent="0.2">
      <c r="D529" s="3">
        <f t="shared" si="75"/>
        <v>7.9999999999999982</v>
      </c>
      <c r="E529" s="3">
        <f t="shared" ca="1" si="76"/>
        <v>6.8300746596686732</v>
      </c>
      <c r="BA529" s="90"/>
    </row>
    <row r="530" spans="4:53" x14ac:dyDescent="0.2">
      <c r="D530" s="3">
        <f t="shared" si="75"/>
        <v>6.9999999999999982</v>
      </c>
      <c r="E530" s="3">
        <f t="shared" ca="1" si="76"/>
        <v>6.7591029165721244</v>
      </c>
      <c r="BA530" s="90"/>
    </row>
    <row r="531" spans="4:53" x14ac:dyDescent="0.2">
      <c r="D531" s="3">
        <f t="shared" si="75"/>
        <v>6.9999999999999982</v>
      </c>
      <c r="E531" s="3">
        <f t="shared" ca="1" si="76"/>
        <v>6.6834988219612708</v>
      </c>
      <c r="BA531" s="90"/>
    </row>
    <row r="532" spans="4:53" x14ac:dyDescent="0.2">
      <c r="D532" s="3">
        <f t="shared" ref="D532:D595" si="77">INDEX($O$34:$O$105,INT((ROW()-200)*0.1))</f>
        <v>6.9999999999999982</v>
      </c>
      <c r="E532" s="3">
        <f t="shared" ca="1" si="76"/>
        <v>6.6033141911060653</v>
      </c>
      <c r="BA532" s="90"/>
    </row>
    <row r="533" spans="4:53" x14ac:dyDescent="0.2">
      <c r="D533" s="3">
        <f t="shared" si="77"/>
        <v>6.9999999999999982</v>
      </c>
      <c r="E533" s="3">
        <f t="shared" ca="1" si="76"/>
        <v>6.5186039785471799</v>
      </c>
      <c r="BA533" s="90"/>
    </row>
    <row r="534" spans="4:53" x14ac:dyDescent="0.2">
      <c r="D534" s="3">
        <f t="shared" si="77"/>
        <v>6.9999999999999982</v>
      </c>
      <c r="E534" s="3">
        <f t="shared" ca="1" si="76"/>
        <v>6.4294262404329325</v>
      </c>
      <c r="BA534" s="90"/>
    </row>
    <row r="535" spans="4:53" x14ac:dyDescent="0.2">
      <c r="D535" s="3">
        <f t="shared" si="77"/>
        <v>6.9999999999999982</v>
      </c>
      <c r="E535" s="3">
        <f t="shared" ca="1" si="76"/>
        <v>6.3358420947305047</v>
      </c>
      <c r="BA535" s="90"/>
    </row>
    <row r="536" spans="4:53" x14ac:dyDescent="0.2">
      <c r="D536" s="3">
        <f t="shared" si="77"/>
        <v>6.9999999999999982</v>
      </c>
      <c r="E536" s="3">
        <f t="shared" ca="1" si="76"/>
        <v>6.2379156793387169</v>
      </c>
      <c r="BA536" s="90"/>
    </row>
    <row r="537" spans="4:53" x14ac:dyDescent="0.2">
      <c r="D537" s="3">
        <f t="shared" si="77"/>
        <v>6.9999999999999982</v>
      </c>
      <c r="E537" s="3">
        <f t="shared" ca="1" si="76"/>
        <v>6.1357141081311504</v>
      </c>
      <c r="BA537" s="90"/>
    </row>
    <row r="538" spans="4:53" x14ac:dyDescent="0.2">
      <c r="D538" s="3">
        <f t="shared" si="77"/>
        <v>6.9999999999999982</v>
      </c>
      <c r="E538" s="3">
        <f t="shared" ca="1" si="76"/>
        <v>6.0293074249596295</v>
      </c>
      <c r="BA538" s="90"/>
    </row>
    <row r="539" spans="4:53" x14ac:dyDescent="0.2">
      <c r="D539" s="3">
        <f t="shared" si="77"/>
        <v>6.9999999999999982</v>
      </c>
      <c r="E539" s="3">
        <f t="shared" ca="1" si="76"/>
        <v>5.9187685556496676</v>
      </c>
      <c r="BA539" s="90"/>
    </row>
    <row r="540" spans="4:53" x14ac:dyDescent="0.2">
      <c r="D540" s="3">
        <f t="shared" si="77"/>
        <v>5.9999999999999982</v>
      </c>
      <c r="E540" s="3">
        <f t="shared" ca="1" si="76"/>
        <v>5.8041732580207492</v>
      </c>
      <c r="BA540" s="90"/>
    </row>
    <row r="541" spans="4:53" x14ac:dyDescent="0.2">
      <c r="D541" s="3">
        <f t="shared" si="77"/>
        <v>5.9999999999999982</v>
      </c>
      <c r="E541" s="3">
        <f t="shared" ca="1" si="76"/>
        <v>5.685600069965707</v>
      </c>
      <c r="BA541" s="90"/>
    </row>
    <row r="542" spans="4:53" x14ac:dyDescent="0.2">
      <c r="D542" s="3">
        <f t="shared" si="77"/>
        <v>5.9999999999999982</v>
      </c>
      <c r="E542" s="3">
        <f t="shared" ca="1" si="76"/>
        <v>5.5631302556247695</v>
      </c>
      <c r="BA542" s="90"/>
    </row>
    <row r="543" spans="4:53" x14ac:dyDescent="0.2">
      <c r="D543" s="3">
        <f t="shared" si="77"/>
        <v>5.9999999999999982</v>
      </c>
      <c r="E543" s="3">
        <f t="shared" ca="1" si="76"/>
        <v>5.4368477496911849</v>
      </c>
      <c r="BA543" s="90"/>
    </row>
    <row r="544" spans="4:53" x14ac:dyDescent="0.2">
      <c r="D544" s="3">
        <f t="shared" si="77"/>
        <v>5.9999999999999982</v>
      </c>
      <c r="E544" s="3">
        <f t="shared" ca="1" si="76"/>
        <v>5.3068390998865667</v>
      </c>
      <c r="BA544" s="90"/>
    </row>
    <row r="545" spans="4:53" x14ac:dyDescent="0.2">
      <c r="D545" s="3">
        <f t="shared" si="77"/>
        <v>5.9999999999999982</v>
      </c>
      <c r="E545" s="3">
        <f t="shared" ca="1" si="76"/>
        <v>5.1731934076454129</v>
      </c>
      <c r="BA545" s="90"/>
    </row>
    <row r="546" spans="4:53" x14ac:dyDescent="0.2">
      <c r="D546" s="3">
        <f t="shared" si="77"/>
        <v>5.9999999999999982</v>
      </c>
      <c r="E546" s="3">
        <f t="shared" ca="1" si="76"/>
        <v>5.0360022670494358</v>
      </c>
      <c r="BA546" s="90"/>
    </row>
    <row r="547" spans="4:53" x14ac:dyDescent="0.2">
      <c r="D547" s="3">
        <f t="shared" si="77"/>
        <v>5.9999999999999982</v>
      </c>
      <c r="E547" s="3">
        <f t="shared" ca="1" si="76"/>
        <v>4.8953597020535593</v>
      </c>
      <c r="BA547" s="90"/>
    </row>
    <row r="548" spans="4:53" x14ac:dyDescent="0.2">
      <c r="D548" s="3">
        <f t="shared" si="77"/>
        <v>5.9999999999999982</v>
      </c>
      <c r="E548" s="3">
        <f t="shared" ca="1" si="76"/>
        <v>4.7513621020465582</v>
      </c>
      <c r="BA548" s="90"/>
    </row>
    <row r="549" spans="4:53" x14ac:dyDescent="0.2">
      <c r="D549" s="3">
        <f t="shared" si="77"/>
        <v>5.9999999999999982</v>
      </c>
      <c r="E549" s="3">
        <f t="shared" ca="1" si="76"/>
        <v>4.604108155790648</v>
      </c>
      <c r="BA549" s="90"/>
    </row>
    <row r="550" spans="4:53" x14ac:dyDescent="0.2">
      <c r="D550" s="3">
        <f t="shared" si="77"/>
        <v>4.9999999999999982</v>
      </c>
      <c r="E550" s="3">
        <f t="shared" ca="1" si="76"/>
        <v>4.4536987837850921</v>
      </c>
      <c r="BA550" s="90"/>
    </row>
    <row r="551" spans="4:53" x14ac:dyDescent="0.2">
      <c r="D551" s="3">
        <f t="shared" si="77"/>
        <v>4.9999999999999982</v>
      </c>
      <c r="E551" s="3">
        <f t="shared" ca="1" si="76"/>
        <v>4.3002370691003486</v>
      </c>
      <c r="BA551" s="90"/>
    </row>
    <row r="552" spans="4:53" x14ac:dyDescent="0.2">
      <c r="D552" s="3">
        <f t="shared" si="77"/>
        <v>4.9999999999999982</v>
      </c>
      <c r="E552" s="3">
        <f t="shared" ca="1" si="76"/>
        <v>4.1438281867300777</v>
      </c>
      <c r="BA552" s="90"/>
    </row>
    <row r="553" spans="4:53" x14ac:dyDescent="0.2">
      <c r="D553" s="3">
        <f t="shared" si="77"/>
        <v>4.9999999999999982</v>
      </c>
      <c r="E553" s="3">
        <f t="shared" ca="1" si="76"/>
        <v>3.9845793315094591</v>
      </c>
      <c r="BA553" s="90"/>
    </row>
    <row r="554" spans="4:53" x14ac:dyDescent="0.2">
      <c r="D554" s="3">
        <f t="shared" si="77"/>
        <v>4.9999999999999982</v>
      </c>
      <c r="E554" s="3">
        <f t="shared" ca="1" si="76"/>
        <v>3.8225996446492023</v>
      </c>
      <c r="BA554" s="90"/>
    </row>
    <row r="555" spans="4:53" x14ac:dyDescent="0.2">
      <c r="D555" s="3">
        <f t="shared" si="77"/>
        <v>4.9999999999999982</v>
      </c>
      <c r="E555" s="3">
        <f t="shared" ca="1" si="76"/>
        <v>3.6580001389356154</v>
      </c>
      <c r="BA555" s="90"/>
    </row>
    <row r="556" spans="4:53" x14ac:dyDescent="0.2">
      <c r="D556" s="3">
        <f t="shared" si="77"/>
        <v>4.9999999999999982</v>
      </c>
      <c r="E556" s="3">
        <f t="shared" ca="1" si="76"/>
        <v>3.4908936226479863</v>
      </c>
      <c r="BA556" s="90"/>
    </row>
    <row r="557" spans="4:53" x14ac:dyDescent="0.2">
      <c r="D557" s="3">
        <f t="shared" si="77"/>
        <v>4.9999999999999982</v>
      </c>
      <c r="E557" s="3">
        <f t="shared" ca="1" si="76"/>
        <v>3.3213946222454211</v>
      </c>
      <c r="BA557" s="90"/>
    </row>
    <row r="558" spans="4:53" x14ac:dyDescent="0.2">
      <c r="D558" s="3">
        <f t="shared" si="77"/>
        <v>4.9999999999999982</v>
      </c>
      <c r="E558" s="3">
        <f t="shared" ca="1" si="76"/>
        <v>3.1496193038761442</v>
      </c>
      <c r="BA558" s="90"/>
    </row>
    <row r="559" spans="4:53" x14ac:dyDescent="0.2">
      <c r="D559" s="3">
        <f t="shared" si="77"/>
        <v>4.9999999999999982</v>
      </c>
      <c r="E559" s="3">
        <f t="shared" ca="1" si="76"/>
        <v>2.9756853937629737</v>
      </c>
      <c r="BA559" s="90"/>
    </row>
    <row r="560" spans="4:53" x14ac:dyDescent="0.2">
      <c r="D560" s="3">
        <f t="shared" si="77"/>
        <v>3.9999999999999991</v>
      </c>
      <c r="E560" s="3">
        <f t="shared" ca="1" si="76"/>
        <v>2.7997120975197198</v>
      </c>
      <c r="BA560" s="90"/>
    </row>
    <row r="561" spans="4:53" x14ac:dyDescent="0.2">
      <c r="D561" s="3">
        <f t="shared" si="77"/>
        <v>3.9999999999999991</v>
      </c>
      <c r="E561" s="3">
        <f t="shared" ca="1" si="76"/>
        <v>2.6218200184535658</v>
      </c>
      <c r="BA561" s="90"/>
    </row>
    <row r="562" spans="4:53" x14ac:dyDescent="0.2">
      <c r="D562" s="3">
        <f t="shared" si="77"/>
        <v>3.9999999999999991</v>
      </c>
      <c r="E562" s="3">
        <f t="shared" ca="1" si="76"/>
        <v>2.4421310749095957</v>
      </c>
      <c r="BA562" s="90"/>
    </row>
    <row r="563" spans="4:53" x14ac:dyDescent="0.2">
      <c r="D563" s="3">
        <f t="shared" si="77"/>
        <v>3.9999999999999991</v>
      </c>
      <c r="E563" s="3">
        <f t="shared" ca="1" si="76"/>
        <v>2.2607684167140518</v>
      </c>
      <c r="BA563" s="90"/>
    </row>
    <row r="564" spans="4:53" x14ac:dyDescent="0.2">
      <c r="D564" s="3">
        <f t="shared" si="77"/>
        <v>3.9999999999999991</v>
      </c>
      <c r="E564" s="3">
        <f t="shared" ca="1" si="76"/>
        <v>2.0778563407735935</v>
      </c>
      <c r="BA564" s="90"/>
    </row>
    <row r="565" spans="4:53" x14ac:dyDescent="0.2">
      <c r="D565" s="3">
        <f t="shared" si="77"/>
        <v>3.9999999999999991</v>
      </c>
      <c r="E565" s="3">
        <f t="shared" ca="1" si="76"/>
        <v>1.8935202058884097</v>
      </c>
      <c r="BA565" s="90"/>
    </row>
    <row r="566" spans="4:53" x14ac:dyDescent="0.2">
      <c r="D566" s="3">
        <f t="shared" si="77"/>
        <v>3.9999999999999991</v>
      </c>
      <c r="E566" s="3">
        <f t="shared" ca="1" si="76"/>
        <v>1.7078863468375549</v>
      </c>
      <c r="BA566" s="90"/>
    </row>
    <row r="567" spans="4:53" x14ac:dyDescent="0.2">
      <c r="D567" s="3">
        <f t="shared" si="77"/>
        <v>3.9999999999999991</v>
      </c>
      <c r="E567" s="3">
        <f t="shared" ca="1" si="76"/>
        <v>1.5210819877954038</v>
      </c>
      <c r="BA567" s="90"/>
    </row>
    <row r="568" spans="4:53" x14ac:dyDescent="0.2">
      <c r="D568" s="3">
        <f t="shared" si="77"/>
        <v>3.9999999999999991</v>
      </c>
      <c r="E568" s="3">
        <f t="shared" ca="1" si="76"/>
        <v>1.3332351551385584</v>
      </c>
      <c r="BA568" s="90"/>
    </row>
    <row r="569" spans="4:53" x14ac:dyDescent="0.2">
      <c r="D569" s="3">
        <f t="shared" si="77"/>
        <v>3.9999999999999991</v>
      </c>
      <c r="E569" s="3">
        <f t="shared" ca="1" si="76"/>
        <v>1.1444745897029758</v>
      </c>
      <c r="BA569" s="90"/>
    </row>
    <row r="570" spans="4:53" x14ac:dyDescent="0.2">
      <c r="D570" s="3">
        <f t="shared" si="77"/>
        <v>1.9999999999999991</v>
      </c>
      <c r="E570" s="3">
        <f t="shared" ca="1" si="76"/>
        <v>0.95492965855137957</v>
      </c>
      <c r="BA570" s="90"/>
    </row>
    <row r="571" spans="4:53" x14ac:dyDescent="0.2">
      <c r="D571" s="3">
        <f t="shared" si="77"/>
        <v>1.9999999999999991</v>
      </c>
      <c r="E571" s="3">
        <f t="shared" ca="1" si="76"/>
        <v>0.76473026631161289</v>
      </c>
      <c r="BA571" s="90"/>
    </row>
    <row r="572" spans="4:53" x14ac:dyDescent="0.2">
      <c r="D572" s="3">
        <f t="shared" si="77"/>
        <v>1.9999999999999991</v>
      </c>
      <c r="E572" s="3">
        <f t="shared" ca="1" si="76"/>
        <v>0.5740067661464453</v>
      </c>
      <c r="BA572" s="90"/>
    </row>
    <row r="573" spans="4:53" x14ac:dyDescent="0.2">
      <c r="D573" s="3">
        <f t="shared" si="77"/>
        <v>1.9999999999999991</v>
      </c>
      <c r="E573" s="3">
        <f t="shared" ca="1" si="76"/>
        <v>0.38288987041603867</v>
      </c>
      <c r="BA573" s="90"/>
    </row>
    <row r="574" spans="4:53" x14ac:dyDescent="0.2">
      <c r="D574" s="3">
        <f t="shared" si="77"/>
        <v>1.9999999999999991</v>
      </c>
      <c r="E574" s="3">
        <f t="shared" ca="1" si="76"/>
        <v>0.19151056109422468</v>
      </c>
      <c r="BA574" s="90"/>
    </row>
    <row r="575" spans="4:53" x14ac:dyDescent="0.2">
      <c r="D575" s="3">
        <f t="shared" si="77"/>
        <v>1.9999999999999991</v>
      </c>
      <c r="E575" s="3">
        <f t="shared" ca="1" si="76"/>
        <v>2.6889559309634932E-15</v>
      </c>
      <c r="BA575" s="90"/>
    </row>
    <row r="576" spans="4:53" x14ac:dyDescent="0.2">
      <c r="D576" s="3">
        <f t="shared" si="77"/>
        <v>1.9999999999999991</v>
      </c>
      <c r="E576" s="3">
        <f t="shared" ca="1" si="76"/>
        <v>-0.19151056109421929</v>
      </c>
      <c r="BA576" s="90"/>
    </row>
    <row r="577" spans="4:53" x14ac:dyDescent="0.2">
      <c r="D577" s="3">
        <f t="shared" si="77"/>
        <v>1.9999999999999991</v>
      </c>
      <c r="E577" s="3">
        <f t="shared" ca="1" si="76"/>
        <v>-0.38288987041603328</v>
      </c>
      <c r="BA577" s="90"/>
    </row>
    <row r="578" spans="4:53" x14ac:dyDescent="0.2">
      <c r="D578" s="3">
        <f t="shared" si="77"/>
        <v>1.9999999999999991</v>
      </c>
      <c r="E578" s="3">
        <f t="shared" ca="1" si="76"/>
        <v>-0.57400676614643986</v>
      </c>
      <c r="BA578" s="90"/>
    </row>
    <row r="579" spans="4:53" x14ac:dyDescent="0.2">
      <c r="D579" s="3">
        <f t="shared" si="77"/>
        <v>1.9999999999999991</v>
      </c>
      <c r="E579" s="3">
        <f t="shared" ca="1" si="76"/>
        <v>-0.76473026631160756</v>
      </c>
      <c r="BA579" s="90"/>
    </row>
    <row r="580" spans="4:53" x14ac:dyDescent="0.2">
      <c r="D580" s="3">
        <f t="shared" si="77"/>
        <v>0</v>
      </c>
      <c r="E580" s="3">
        <f t="shared" ca="1" si="76"/>
        <v>-0.95492965855136125</v>
      </c>
      <c r="BA580" s="90"/>
    </row>
    <row r="581" spans="4:53" x14ac:dyDescent="0.2">
      <c r="D581" s="3">
        <f t="shared" si="77"/>
        <v>0</v>
      </c>
      <c r="E581" s="3">
        <f t="shared" ca="1" si="76"/>
        <v>-1.1444745897029578</v>
      </c>
      <c r="BA581" s="90"/>
    </row>
    <row r="582" spans="4:53" x14ac:dyDescent="0.2">
      <c r="D582" s="3">
        <f t="shared" si="77"/>
        <v>0</v>
      </c>
      <c r="E582" s="3">
        <f t="shared" ca="1" si="76"/>
        <v>-1.3332351551385533</v>
      </c>
      <c r="BA582" s="90"/>
    </row>
    <row r="583" spans="4:53" x14ac:dyDescent="0.2">
      <c r="D583" s="3">
        <f t="shared" si="77"/>
        <v>0</v>
      </c>
      <c r="E583" s="3">
        <f t="shared" ca="1" si="76"/>
        <v>-1.5210819877953985</v>
      </c>
      <c r="BA583" s="90"/>
    </row>
    <row r="584" spans="4:53" x14ac:dyDescent="0.2">
      <c r="D584" s="3">
        <f t="shared" si="77"/>
        <v>0</v>
      </c>
      <c r="E584" s="3">
        <f t="shared" ca="1" si="76"/>
        <v>-1.7078863468375496</v>
      </c>
      <c r="BA584" s="90"/>
    </row>
    <row r="585" spans="4:53" x14ac:dyDescent="0.2">
      <c r="D585" s="3">
        <f t="shared" si="77"/>
        <v>0</v>
      </c>
      <c r="E585" s="3">
        <f t="shared" ca="1" si="76"/>
        <v>-1.8935202058884173</v>
      </c>
      <c r="BA585" s="90"/>
    </row>
    <row r="586" spans="4:53" x14ac:dyDescent="0.2">
      <c r="D586" s="3">
        <f t="shared" si="77"/>
        <v>0</v>
      </c>
      <c r="E586" s="3">
        <f t="shared" ref="E586:E649" ca="1" si="78">RAND()*0+IF($P$28="Igen",(SIN((360/$H$30*(ROW()-200)*0.1/2*$J$30+$P$31)*PI()/180)*$N$31*IF($J$30=$J$31,1,$E$18)),0)</f>
        <v>-2.0778563407735886</v>
      </c>
      <c r="BA586" s="90"/>
    </row>
    <row r="587" spans="4:53" x14ac:dyDescent="0.2">
      <c r="D587" s="3">
        <f t="shared" si="77"/>
        <v>0</v>
      </c>
      <c r="E587" s="3">
        <f t="shared" ca="1" si="78"/>
        <v>-2.2607684167140465</v>
      </c>
      <c r="BA587" s="90"/>
    </row>
    <row r="588" spans="4:53" x14ac:dyDescent="0.2">
      <c r="D588" s="3">
        <f t="shared" si="77"/>
        <v>0</v>
      </c>
      <c r="E588" s="3">
        <f t="shared" ca="1" si="78"/>
        <v>-2.4421310749095908</v>
      </c>
      <c r="BA588" s="90"/>
    </row>
    <row r="589" spans="4:53" x14ac:dyDescent="0.2">
      <c r="D589" s="3">
        <f t="shared" si="77"/>
        <v>0</v>
      </c>
      <c r="E589" s="3">
        <f t="shared" ca="1" si="78"/>
        <v>-2.6218200184535609</v>
      </c>
      <c r="BA589" s="90"/>
    </row>
    <row r="590" spans="4:53" x14ac:dyDescent="0.2">
      <c r="D590" s="3">
        <f t="shared" si="77"/>
        <v>-2.0000000000000009</v>
      </c>
      <c r="E590" s="3">
        <f t="shared" ca="1" si="78"/>
        <v>-2.7997120975197149</v>
      </c>
      <c r="BA590" s="90"/>
    </row>
    <row r="591" spans="4:53" x14ac:dyDescent="0.2">
      <c r="D591" s="3">
        <f t="shared" si="77"/>
        <v>-2.0000000000000009</v>
      </c>
      <c r="E591" s="3">
        <f t="shared" ca="1" si="78"/>
        <v>-2.9756853937629568</v>
      </c>
      <c r="BA591" s="90"/>
    </row>
    <row r="592" spans="4:53" x14ac:dyDescent="0.2">
      <c r="D592" s="3">
        <f t="shared" si="77"/>
        <v>-2.0000000000000009</v>
      </c>
      <c r="E592" s="3">
        <f t="shared" ca="1" si="78"/>
        <v>-3.1496193038761278</v>
      </c>
      <c r="BA592" s="90"/>
    </row>
    <row r="593" spans="4:53" x14ac:dyDescent="0.2">
      <c r="D593" s="3">
        <f t="shared" si="77"/>
        <v>-2.0000000000000009</v>
      </c>
      <c r="E593" s="3">
        <f t="shared" ca="1" si="78"/>
        <v>-3.3213946222454163</v>
      </c>
      <c r="BA593" s="90"/>
    </row>
    <row r="594" spans="4:53" x14ac:dyDescent="0.2">
      <c r="D594" s="3">
        <f t="shared" si="77"/>
        <v>-2.0000000000000009</v>
      </c>
      <c r="E594" s="3">
        <f t="shared" ca="1" si="78"/>
        <v>-3.4908936226479814</v>
      </c>
      <c r="BA594" s="90"/>
    </row>
    <row r="595" spans="4:53" x14ac:dyDescent="0.2">
      <c r="D595" s="3">
        <f t="shared" si="77"/>
        <v>-2.0000000000000009</v>
      </c>
      <c r="E595" s="3">
        <f t="shared" ca="1" si="78"/>
        <v>-3.658000138935622</v>
      </c>
      <c r="BA595" s="90"/>
    </row>
    <row r="596" spans="4:53" x14ac:dyDescent="0.2">
      <c r="D596" s="3">
        <f t="shared" ref="D596:D659" si="79">INDEX($O$34:$O$105,INT((ROW()-200)*0.1))</f>
        <v>-2.0000000000000009</v>
      </c>
      <c r="E596" s="3">
        <f t="shared" ca="1" si="78"/>
        <v>-3.822599644649209</v>
      </c>
      <c r="BA596" s="90"/>
    </row>
    <row r="597" spans="4:53" x14ac:dyDescent="0.2">
      <c r="D597" s="3">
        <f t="shared" si="79"/>
        <v>-2.0000000000000009</v>
      </c>
      <c r="E597" s="3">
        <f t="shared" ca="1" si="78"/>
        <v>-3.9845793315094551</v>
      </c>
      <c r="BA597" s="90"/>
    </row>
    <row r="598" spans="4:53" x14ac:dyDescent="0.2">
      <c r="D598" s="3">
        <f t="shared" si="79"/>
        <v>-2.0000000000000009</v>
      </c>
      <c r="E598" s="3">
        <f t="shared" ca="1" si="78"/>
        <v>-4.1438281867300741</v>
      </c>
      <c r="BA598" s="90"/>
    </row>
    <row r="599" spans="4:53" x14ac:dyDescent="0.2">
      <c r="D599" s="3">
        <f t="shared" si="79"/>
        <v>-2.0000000000000009</v>
      </c>
      <c r="E599" s="3">
        <f t="shared" ca="1" si="78"/>
        <v>-4.3002370691003442</v>
      </c>
      <c r="BA599" s="90"/>
    </row>
    <row r="600" spans="4:53" x14ac:dyDescent="0.2">
      <c r="D600" s="3">
        <f t="shared" si="79"/>
        <v>-4</v>
      </c>
      <c r="E600" s="3">
        <f t="shared" ca="1" si="78"/>
        <v>-4.4536987837850885</v>
      </c>
      <c r="BA600" s="90"/>
    </row>
    <row r="601" spans="4:53" x14ac:dyDescent="0.2">
      <c r="D601" s="3">
        <f t="shared" si="79"/>
        <v>-4</v>
      </c>
      <c r="E601" s="3">
        <f t="shared" ca="1" si="78"/>
        <v>-4.6041081557906445</v>
      </c>
      <c r="BA601" s="90"/>
    </row>
    <row r="602" spans="4:53" x14ac:dyDescent="0.2">
      <c r="D602" s="3">
        <f t="shared" si="79"/>
        <v>-4</v>
      </c>
      <c r="E602" s="3">
        <f t="shared" ca="1" si="78"/>
        <v>-4.7513621020465449</v>
      </c>
      <c r="BA602" s="90"/>
    </row>
    <row r="603" spans="4:53" x14ac:dyDescent="0.2">
      <c r="D603" s="3">
        <f t="shared" si="79"/>
        <v>-4</v>
      </c>
      <c r="E603" s="3">
        <f t="shared" ca="1" si="78"/>
        <v>-4.8953597020535451</v>
      </c>
      <c r="BA603" s="90"/>
    </row>
    <row r="604" spans="4:53" x14ac:dyDescent="0.2">
      <c r="D604" s="3">
        <f t="shared" si="79"/>
        <v>-4</v>
      </c>
      <c r="E604" s="3">
        <f t="shared" ca="1" si="78"/>
        <v>-5.036002267049442</v>
      </c>
      <c r="BA604" s="90"/>
    </row>
    <row r="605" spans="4:53" x14ac:dyDescent="0.2">
      <c r="D605" s="3">
        <f t="shared" si="79"/>
        <v>-4</v>
      </c>
      <c r="E605" s="3">
        <f t="shared" ca="1" si="78"/>
        <v>-5.1731934076454182</v>
      </c>
      <c r="BA605" s="90"/>
    </row>
    <row r="606" spans="4:53" x14ac:dyDescent="0.2">
      <c r="D606" s="3">
        <f t="shared" si="79"/>
        <v>-4</v>
      </c>
      <c r="E606" s="3">
        <f t="shared" ca="1" si="78"/>
        <v>-5.3068390998865711</v>
      </c>
    </row>
    <row r="607" spans="4:53" x14ac:dyDescent="0.2">
      <c r="D607" s="3">
        <f t="shared" si="79"/>
        <v>-4</v>
      </c>
      <c r="E607" s="3">
        <f t="shared" ca="1" si="78"/>
        <v>-5.4368477496911902</v>
      </c>
    </row>
    <row r="608" spans="4:53" x14ac:dyDescent="0.2">
      <c r="D608" s="3">
        <f t="shared" si="79"/>
        <v>-4</v>
      </c>
      <c r="E608" s="3">
        <f t="shared" ca="1" si="78"/>
        <v>-5.5631302556247668</v>
      </c>
    </row>
    <row r="609" spans="4:5" x14ac:dyDescent="0.2">
      <c r="D609" s="3">
        <f t="shared" si="79"/>
        <v>-4</v>
      </c>
      <c r="E609" s="3">
        <f t="shared" ca="1" si="78"/>
        <v>-5.6856000699657034</v>
      </c>
    </row>
    <row r="610" spans="4:5" x14ac:dyDescent="0.2">
      <c r="D610" s="3">
        <f t="shared" si="79"/>
        <v>-5</v>
      </c>
      <c r="E610" s="3">
        <f t="shared" ca="1" si="78"/>
        <v>-5.8041732580207457</v>
      </c>
    </row>
    <row r="611" spans="4:5" x14ac:dyDescent="0.2">
      <c r="D611" s="3">
        <f t="shared" si="79"/>
        <v>-5</v>
      </c>
      <c r="E611" s="3">
        <f t="shared" ca="1" si="78"/>
        <v>-5.918768555649665</v>
      </c>
    </row>
    <row r="612" spans="4:5" x14ac:dyDescent="0.2">
      <c r="D612" s="3">
        <f t="shared" si="79"/>
        <v>-5</v>
      </c>
      <c r="E612" s="3">
        <f t="shared" ca="1" si="78"/>
        <v>-6.0293074249596268</v>
      </c>
    </row>
    <row r="613" spans="4:5" x14ac:dyDescent="0.2">
      <c r="D613" s="3">
        <f t="shared" si="79"/>
        <v>-5</v>
      </c>
      <c r="E613" s="3">
        <f t="shared" ca="1" si="78"/>
        <v>-6.1357141081311406</v>
      </c>
    </row>
    <row r="614" spans="4:5" x14ac:dyDescent="0.2">
      <c r="D614" s="3">
        <f t="shared" si="79"/>
        <v>-5</v>
      </c>
      <c r="E614" s="3">
        <f t="shared" ca="1" si="78"/>
        <v>-6.2379156793387143</v>
      </c>
    </row>
    <row r="615" spans="4:5" x14ac:dyDescent="0.2">
      <c r="D615" s="3">
        <f t="shared" si="79"/>
        <v>-5</v>
      </c>
      <c r="E615" s="3">
        <f t="shared" ca="1" si="78"/>
        <v>-6.3358420947305012</v>
      </c>
    </row>
    <row r="616" spans="4:5" x14ac:dyDescent="0.2">
      <c r="D616" s="3">
        <f t="shared" si="79"/>
        <v>-5</v>
      </c>
      <c r="E616" s="3">
        <f t="shared" ca="1" si="78"/>
        <v>-6.4294262404329352</v>
      </c>
    </row>
    <row r="617" spans="4:5" x14ac:dyDescent="0.2">
      <c r="D617" s="3">
        <f t="shared" si="79"/>
        <v>-5</v>
      </c>
      <c r="E617" s="3">
        <f t="shared" ca="1" si="78"/>
        <v>-6.5186039785471834</v>
      </c>
    </row>
    <row r="618" spans="4:5" x14ac:dyDescent="0.2">
      <c r="D618" s="3">
        <f t="shared" si="79"/>
        <v>-5</v>
      </c>
      <c r="E618" s="3">
        <f t="shared" ca="1" si="78"/>
        <v>-6.6033141911060689</v>
      </c>
    </row>
    <row r="619" spans="4:5" x14ac:dyDescent="0.2">
      <c r="D619" s="3">
        <f t="shared" si="79"/>
        <v>-5</v>
      </c>
      <c r="E619" s="3">
        <f t="shared" ca="1" si="78"/>
        <v>-6.683498821961269</v>
      </c>
    </row>
    <row r="620" spans="4:5" x14ac:dyDescent="0.2">
      <c r="D620" s="3">
        <f t="shared" si="79"/>
        <v>-6</v>
      </c>
      <c r="E620" s="3">
        <f t="shared" ca="1" si="78"/>
        <v>-6.7591029165721173</v>
      </c>
    </row>
    <row r="621" spans="4:5" x14ac:dyDescent="0.2">
      <c r="D621" s="3">
        <f t="shared" si="79"/>
        <v>-6</v>
      </c>
      <c r="E621" s="3">
        <f t="shared" ca="1" si="78"/>
        <v>-6.8300746596686714</v>
      </c>
    </row>
    <row r="622" spans="4:5" x14ac:dyDescent="0.2">
      <c r="D622" s="3">
        <f t="shared" si="79"/>
        <v>-6</v>
      </c>
      <c r="E622" s="3">
        <f t="shared" ca="1" si="78"/>
        <v>-6.8963654107633303</v>
      </c>
    </row>
    <row r="623" spans="4:5" x14ac:dyDescent="0.2">
      <c r="D623" s="3">
        <f t="shared" si="79"/>
        <v>-6</v>
      </c>
      <c r="E623" s="3">
        <f t="shared" ca="1" si="78"/>
        <v>-6.9579297374865909</v>
      </c>
    </row>
    <row r="624" spans="4:5" x14ac:dyDescent="0.2">
      <c r="D624" s="3">
        <f t="shared" si="79"/>
        <v>-6</v>
      </c>
      <c r="E624" s="3">
        <f t="shared" ca="1" si="78"/>
        <v>-7.0147254467241229</v>
      </c>
    </row>
    <row r="625" spans="4:5" x14ac:dyDescent="0.2">
      <c r="D625" s="3">
        <f t="shared" si="79"/>
        <v>-6</v>
      </c>
      <c r="E625" s="3">
        <f t="shared" ca="1" si="78"/>
        <v>-7.0667136135338247</v>
      </c>
    </row>
    <row r="626" spans="4:5" x14ac:dyDescent="0.2">
      <c r="D626" s="3">
        <f t="shared" si="79"/>
        <v>-6</v>
      </c>
      <c r="E626" s="3">
        <f t="shared" ca="1" si="78"/>
        <v>-7.1138586078230315</v>
      </c>
    </row>
    <row r="627" spans="4:5" x14ac:dyDescent="0.2">
      <c r="D627" s="3">
        <f t="shared" si="79"/>
        <v>-6</v>
      </c>
      <c r="E627" s="3">
        <f t="shared" ca="1" si="78"/>
        <v>-7.1561281187676036</v>
      </c>
    </row>
    <row r="628" spans="4:5" x14ac:dyDescent="0.2">
      <c r="D628" s="3">
        <f t="shared" si="79"/>
        <v>-6</v>
      </c>
      <c r="E628" s="3">
        <f t="shared" ca="1" si="78"/>
        <v>-7.1934931769561468</v>
      </c>
    </row>
    <row r="629" spans="4:5" x14ac:dyDescent="0.2">
      <c r="D629" s="3">
        <f t="shared" si="79"/>
        <v>-6</v>
      </c>
      <c r="E629" s="3">
        <f t="shared" ca="1" si="78"/>
        <v>-7.2259281742442063</v>
      </c>
    </row>
    <row r="630" spans="4:5" x14ac:dyDescent="0.2">
      <c r="D630" s="3">
        <f t="shared" si="79"/>
        <v>-7</v>
      </c>
      <c r="E630" s="3">
        <f t="shared" ca="1" si="78"/>
        <v>-7.253410881304803</v>
      </c>
    </row>
    <row r="631" spans="4:5" x14ac:dyDescent="0.2">
      <c r="D631" s="3">
        <f t="shared" si="79"/>
        <v>-7</v>
      </c>
      <c r="E631" s="3">
        <f t="shared" ca="1" si="78"/>
        <v>-7.2759224628633135</v>
      </c>
    </row>
    <row r="632" spans="4:5" x14ac:dyDescent="0.2">
      <c r="D632" s="3">
        <f t="shared" si="79"/>
        <v>-7</v>
      </c>
      <c r="E632" s="3">
        <f t="shared" ca="1" si="78"/>
        <v>-7.293447490606213</v>
      </c>
    </row>
    <row r="633" spans="4:5" x14ac:dyDescent="0.2">
      <c r="D633" s="3">
        <f t="shared" si="79"/>
        <v>-7</v>
      </c>
      <c r="E633" s="3">
        <f t="shared" ca="1" si="78"/>
        <v>-7.3059739537548838</v>
      </c>
    </row>
    <row r="634" spans="4:5" x14ac:dyDescent="0.2">
      <c r="D634" s="3">
        <f t="shared" si="79"/>
        <v>-7</v>
      </c>
      <c r="E634" s="3">
        <f t="shared" ca="1" si="78"/>
        <v>-7.3134932672971917</v>
      </c>
    </row>
    <row r="635" spans="4:5" x14ac:dyDescent="0.2">
      <c r="D635" s="3">
        <f t="shared" si="79"/>
        <v>-7</v>
      </c>
      <c r="E635" s="3">
        <f t="shared" ca="1" si="78"/>
        <v>-7.3160002778712343</v>
      </c>
    </row>
    <row r="636" spans="4:5" x14ac:dyDescent="0.2">
      <c r="D636" s="3">
        <f t="shared" si="79"/>
        <v>-7</v>
      </c>
      <c r="E636" s="3">
        <f t="shared" ca="1" si="78"/>
        <v>-7.3134932672971917</v>
      </c>
    </row>
    <row r="637" spans="4:5" x14ac:dyDescent="0.2">
      <c r="D637" s="3">
        <f t="shared" si="79"/>
        <v>-7</v>
      </c>
      <c r="E637" s="3">
        <f t="shared" ca="1" si="78"/>
        <v>-7.3059739537548838</v>
      </c>
    </row>
    <row r="638" spans="4:5" x14ac:dyDescent="0.2">
      <c r="D638" s="3">
        <f t="shared" si="79"/>
        <v>-7</v>
      </c>
      <c r="E638" s="3">
        <f t="shared" ca="1" si="78"/>
        <v>-7.2934474906062139</v>
      </c>
    </row>
    <row r="639" spans="4:5" x14ac:dyDescent="0.2">
      <c r="D639" s="3">
        <f t="shared" si="79"/>
        <v>-7</v>
      </c>
      <c r="E639" s="3">
        <f t="shared" ca="1" si="78"/>
        <v>-7.2759224628633143</v>
      </c>
    </row>
    <row r="640" spans="4:5" x14ac:dyDescent="0.2">
      <c r="D640" s="3">
        <f t="shared" si="79"/>
        <v>-7.9999999999999991</v>
      </c>
      <c r="E640" s="3">
        <f t="shared" ca="1" si="78"/>
        <v>-7.2534108813048039</v>
      </c>
    </row>
    <row r="641" spans="4:5" x14ac:dyDescent="0.2">
      <c r="D641" s="3">
        <f t="shared" si="79"/>
        <v>-7.9999999999999991</v>
      </c>
      <c r="E641" s="3">
        <f t="shared" ca="1" si="78"/>
        <v>-7.2259281742442072</v>
      </c>
    </row>
    <row r="642" spans="4:5" x14ac:dyDescent="0.2">
      <c r="D642" s="3">
        <f t="shared" si="79"/>
        <v>-7.9999999999999991</v>
      </c>
      <c r="E642" s="3">
        <f t="shared" ca="1" si="78"/>
        <v>-7.1934931769561485</v>
      </c>
    </row>
    <row r="643" spans="4:5" x14ac:dyDescent="0.2">
      <c r="D643" s="3">
        <f t="shared" si="79"/>
        <v>-7.9999999999999991</v>
      </c>
      <c r="E643" s="3">
        <f t="shared" ca="1" si="78"/>
        <v>-7.1561281187676045</v>
      </c>
    </row>
    <row r="644" spans="4:5" x14ac:dyDescent="0.2">
      <c r="D644" s="3">
        <f t="shared" si="79"/>
        <v>-7.9999999999999991</v>
      </c>
      <c r="E644" s="3">
        <f t="shared" ca="1" si="78"/>
        <v>-7.1138586078230333</v>
      </c>
    </row>
    <row r="645" spans="4:5" x14ac:dyDescent="0.2">
      <c r="D645" s="3">
        <f t="shared" si="79"/>
        <v>-7.9999999999999991</v>
      </c>
      <c r="E645" s="3">
        <f t="shared" ca="1" si="78"/>
        <v>-7.0667136135338264</v>
      </c>
    </row>
    <row r="646" spans="4:5" x14ac:dyDescent="0.2">
      <c r="D646" s="3">
        <f t="shared" si="79"/>
        <v>-7.9999999999999991</v>
      </c>
      <c r="E646" s="3">
        <f t="shared" ca="1" si="78"/>
        <v>-7.0147254467241247</v>
      </c>
    </row>
    <row r="647" spans="4:5" x14ac:dyDescent="0.2">
      <c r="D647" s="3">
        <f t="shared" si="79"/>
        <v>-7.9999999999999991</v>
      </c>
      <c r="E647" s="3">
        <f t="shared" ca="1" si="78"/>
        <v>-6.9579297374865927</v>
      </c>
    </row>
    <row r="648" spans="4:5" x14ac:dyDescent="0.2">
      <c r="D648" s="3">
        <f t="shared" si="79"/>
        <v>-7.9999999999999991</v>
      </c>
      <c r="E648" s="3">
        <f t="shared" ca="1" si="78"/>
        <v>-6.896365410763333</v>
      </c>
    </row>
    <row r="649" spans="4:5" x14ac:dyDescent="0.2">
      <c r="D649" s="3">
        <f t="shared" si="79"/>
        <v>-7.9999999999999991</v>
      </c>
      <c r="E649" s="3">
        <f t="shared" ca="1" si="78"/>
        <v>-6.8300746596686741</v>
      </c>
    </row>
    <row r="650" spans="4:5" x14ac:dyDescent="0.2">
      <c r="D650" s="3">
        <f t="shared" si="79"/>
        <v>-7</v>
      </c>
      <c r="E650" s="3">
        <f t="shared" ref="E650:E689" ca="1" si="80">RAND()*0+IF($P$28="Igen",(SIN((360/$H$30*(ROW()-200)*0.1/2*$J$30+$P$31)*PI()/180)*$N$31*IF($J$30=$J$31,1,$E$18)),0)</f>
        <v>-6.7591029165721199</v>
      </c>
    </row>
    <row r="651" spans="4:5" x14ac:dyDescent="0.2">
      <c r="D651" s="3">
        <f t="shared" si="79"/>
        <v>-7</v>
      </c>
      <c r="E651" s="3">
        <f t="shared" ca="1" si="80"/>
        <v>-6.6834988219612717</v>
      </c>
    </row>
    <row r="652" spans="4:5" x14ac:dyDescent="0.2">
      <c r="D652" s="3">
        <f t="shared" si="79"/>
        <v>-7</v>
      </c>
      <c r="E652" s="3">
        <f t="shared" ca="1" si="80"/>
        <v>-6.6033141911060662</v>
      </c>
    </row>
    <row r="653" spans="4:5" x14ac:dyDescent="0.2">
      <c r="D653" s="3">
        <f t="shared" si="79"/>
        <v>-7</v>
      </c>
      <c r="E653" s="3">
        <f t="shared" ca="1" si="80"/>
        <v>-6.5186039785471808</v>
      </c>
    </row>
    <row r="654" spans="4:5" x14ac:dyDescent="0.2">
      <c r="D654" s="3">
        <f t="shared" si="79"/>
        <v>-7</v>
      </c>
      <c r="E654" s="3">
        <f t="shared" ca="1" si="80"/>
        <v>-6.4294262404329325</v>
      </c>
    </row>
    <row r="655" spans="4:5" x14ac:dyDescent="0.2">
      <c r="D655" s="3">
        <f t="shared" si="79"/>
        <v>-7</v>
      </c>
      <c r="E655" s="3">
        <f t="shared" ca="1" si="80"/>
        <v>-6.3358420947305047</v>
      </c>
    </row>
    <row r="656" spans="4:5" x14ac:dyDescent="0.2">
      <c r="D656" s="3">
        <f t="shared" si="79"/>
        <v>-7</v>
      </c>
      <c r="E656" s="3">
        <f t="shared" ca="1" si="80"/>
        <v>-6.2379156793387169</v>
      </c>
    </row>
    <row r="657" spans="4:5" x14ac:dyDescent="0.2">
      <c r="D657" s="3">
        <f t="shared" si="79"/>
        <v>-7</v>
      </c>
      <c r="E657" s="3">
        <f t="shared" ca="1" si="80"/>
        <v>-6.1357141081311504</v>
      </c>
    </row>
    <row r="658" spans="4:5" x14ac:dyDescent="0.2">
      <c r="D658" s="3">
        <f t="shared" si="79"/>
        <v>-7</v>
      </c>
      <c r="E658" s="3">
        <f t="shared" ca="1" si="80"/>
        <v>-6.0293074249596303</v>
      </c>
    </row>
    <row r="659" spans="4:5" x14ac:dyDescent="0.2">
      <c r="D659" s="3">
        <f t="shared" si="79"/>
        <v>-7</v>
      </c>
      <c r="E659" s="3">
        <f t="shared" ca="1" si="80"/>
        <v>-5.9187685556496676</v>
      </c>
    </row>
    <row r="660" spans="4:5" x14ac:dyDescent="0.2">
      <c r="D660" s="3">
        <f t="shared" ref="D660:D689" si="81">INDEX($O$34:$O$105,INT((ROW()-200)*0.1))</f>
        <v>-6.0000000000000009</v>
      </c>
      <c r="E660" s="3">
        <f t="shared" ca="1" si="80"/>
        <v>-5.8041732580207501</v>
      </c>
    </row>
    <row r="661" spans="4:5" x14ac:dyDescent="0.2">
      <c r="D661" s="3">
        <f t="shared" si="81"/>
        <v>-6.0000000000000009</v>
      </c>
      <c r="E661" s="3">
        <f t="shared" ca="1" si="80"/>
        <v>-5.6856000699657079</v>
      </c>
    </row>
    <row r="662" spans="4:5" x14ac:dyDescent="0.2">
      <c r="D662" s="3">
        <f t="shared" si="81"/>
        <v>-6.0000000000000009</v>
      </c>
      <c r="E662" s="3">
        <f t="shared" ca="1" si="80"/>
        <v>-5.5631302556247704</v>
      </c>
    </row>
    <row r="663" spans="4:5" x14ac:dyDescent="0.2">
      <c r="D663" s="3">
        <f t="shared" si="81"/>
        <v>-6.0000000000000009</v>
      </c>
      <c r="E663" s="3">
        <f t="shared" ca="1" si="80"/>
        <v>-5.4368477496911858</v>
      </c>
    </row>
    <row r="664" spans="4:5" x14ac:dyDescent="0.2">
      <c r="D664" s="3">
        <f t="shared" si="81"/>
        <v>-6.0000000000000009</v>
      </c>
      <c r="E664" s="3">
        <f t="shared" ca="1" si="80"/>
        <v>-5.3068390998865667</v>
      </c>
    </row>
    <row r="665" spans="4:5" x14ac:dyDescent="0.2">
      <c r="D665" s="3">
        <f t="shared" si="81"/>
        <v>-6.0000000000000009</v>
      </c>
      <c r="E665" s="3">
        <f t="shared" ca="1" si="80"/>
        <v>-5.1731934076454138</v>
      </c>
    </row>
    <row r="666" spans="4:5" x14ac:dyDescent="0.2">
      <c r="D666" s="3">
        <f t="shared" si="81"/>
        <v>-6.0000000000000009</v>
      </c>
      <c r="E666" s="3">
        <f t="shared" ca="1" si="80"/>
        <v>-5.0360022670494455</v>
      </c>
    </row>
    <row r="667" spans="4:5" x14ac:dyDescent="0.2">
      <c r="D667" s="3">
        <f t="shared" si="81"/>
        <v>-6.0000000000000009</v>
      </c>
      <c r="E667" s="3">
        <f t="shared" ca="1" si="80"/>
        <v>-4.8953597020535602</v>
      </c>
    </row>
    <row r="668" spans="4:5" x14ac:dyDescent="0.2">
      <c r="D668" s="3">
        <f t="shared" si="81"/>
        <v>-6.0000000000000009</v>
      </c>
      <c r="E668" s="3">
        <f t="shared" ca="1" si="80"/>
        <v>-4.7513621020465591</v>
      </c>
    </row>
    <row r="669" spans="4:5" x14ac:dyDescent="0.2">
      <c r="D669" s="3">
        <f t="shared" si="81"/>
        <v>-6.0000000000000009</v>
      </c>
      <c r="E669" s="3">
        <f t="shared" ca="1" si="80"/>
        <v>-4.6041081557906489</v>
      </c>
    </row>
    <row r="670" spans="4:5" x14ac:dyDescent="0.2">
      <c r="D670" s="3">
        <f t="shared" si="81"/>
        <v>-5.0000000000000018</v>
      </c>
      <c r="E670" s="3">
        <f t="shared" ca="1" si="80"/>
        <v>-4.453698783785093</v>
      </c>
    </row>
    <row r="671" spans="4:5" x14ac:dyDescent="0.2">
      <c r="D671" s="3">
        <f t="shared" si="81"/>
        <v>-5.0000000000000018</v>
      </c>
      <c r="E671" s="3">
        <f t="shared" ca="1" si="80"/>
        <v>-4.3002370691003495</v>
      </c>
    </row>
    <row r="672" spans="4:5" x14ac:dyDescent="0.2">
      <c r="D672" s="3">
        <f t="shared" si="81"/>
        <v>-5.0000000000000018</v>
      </c>
      <c r="E672" s="3">
        <f t="shared" ca="1" si="80"/>
        <v>-4.1438281867300786</v>
      </c>
    </row>
    <row r="673" spans="4:5" x14ac:dyDescent="0.2">
      <c r="D673" s="3">
        <f t="shared" si="81"/>
        <v>-5.0000000000000018</v>
      </c>
      <c r="E673" s="3">
        <f t="shared" ca="1" si="80"/>
        <v>-3.98457933150946</v>
      </c>
    </row>
    <row r="674" spans="4:5" x14ac:dyDescent="0.2">
      <c r="D674" s="3">
        <f t="shared" si="81"/>
        <v>-5.0000000000000018</v>
      </c>
      <c r="E674" s="3">
        <f t="shared" ca="1" si="80"/>
        <v>-3.8225996446492032</v>
      </c>
    </row>
    <row r="675" spans="4:5" x14ac:dyDescent="0.2">
      <c r="D675" s="3">
        <f t="shared" si="81"/>
        <v>-5.0000000000000018</v>
      </c>
      <c r="E675" s="3">
        <f t="shared" ca="1" si="80"/>
        <v>-3.6580001389356163</v>
      </c>
    </row>
    <row r="676" spans="4:5" x14ac:dyDescent="0.2">
      <c r="D676" s="3">
        <f t="shared" si="81"/>
        <v>-5.0000000000000018</v>
      </c>
      <c r="E676" s="3">
        <f t="shared" ca="1" si="80"/>
        <v>-3.4908936226479872</v>
      </c>
    </row>
    <row r="677" spans="4:5" x14ac:dyDescent="0.2">
      <c r="D677" s="3">
        <f t="shared" si="81"/>
        <v>-5.0000000000000018</v>
      </c>
      <c r="E677" s="3">
        <f t="shared" ca="1" si="80"/>
        <v>-3.321394622245434</v>
      </c>
    </row>
    <row r="678" spans="4:5" x14ac:dyDescent="0.2">
      <c r="D678" s="3">
        <f t="shared" si="81"/>
        <v>-5.0000000000000018</v>
      </c>
      <c r="E678" s="3">
        <f t="shared" ca="1" si="80"/>
        <v>-3.1496193038761451</v>
      </c>
    </row>
    <row r="679" spans="4:5" x14ac:dyDescent="0.2">
      <c r="D679" s="3">
        <f t="shared" si="81"/>
        <v>-5.0000000000000018</v>
      </c>
      <c r="E679" s="3">
        <f t="shared" ca="1" si="80"/>
        <v>-2.9756853937629746</v>
      </c>
    </row>
    <row r="680" spans="4:5" x14ac:dyDescent="0.2">
      <c r="D680" s="3">
        <f t="shared" si="81"/>
        <v>-4.0000000000000027</v>
      </c>
      <c r="E680" s="3">
        <f t="shared" ca="1" si="80"/>
        <v>-2.7997120975197207</v>
      </c>
    </row>
    <row r="681" spans="4:5" x14ac:dyDescent="0.2">
      <c r="D681" s="3">
        <f t="shared" si="81"/>
        <v>-4.0000000000000027</v>
      </c>
      <c r="E681" s="3">
        <f t="shared" ca="1" si="80"/>
        <v>-2.6218200184535667</v>
      </c>
    </row>
    <row r="682" spans="4:5" x14ac:dyDescent="0.2">
      <c r="D682" s="3">
        <f t="shared" si="81"/>
        <v>-4.0000000000000027</v>
      </c>
      <c r="E682" s="3">
        <f t="shared" ca="1" si="80"/>
        <v>-2.4421310749095966</v>
      </c>
    </row>
    <row r="683" spans="4:5" x14ac:dyDescent="0.2">
      <c r="D683" s="3">
        <f t="shared" si="81"/>
        <v>-4.0000000000000027</v>
      </c>
      <c r="E683" s="3">
        <f t="shared" ca="1" si="80"/>
        <v>-2.2607684167140523</v>
      </c>
    </row>
    <row r="684" spans="4:5" x14ac:dyDescent="0.2">
      <c r="D684" s="3">
        <f t="shared" si="81"/>
        <v>-4.0000000000000027</v>
      </c>
      <c r="E684" s="3">
        <f t="shared" ca="1" si="80"/>
        <v>-2.0778563407735944</v>
      </c>
    </row>
    <row r="685" spans="4:5" x14ac:dyDescent="0.2">
      <c r="D685" s="3">
        <f t="shared" si="81"/>
        <v>-4.0000000000000027</v>
      </c>
      <c r="E685" s="3">
        <f t="shared" ca="1" si="80"/>
        <v>-1.8935202058884109</v>
      </c>
    </row>
    <row r="686" spans="4:5" x14ac:dyDescent="0.2">
      <c r="D686" s="3">
        <f t="shared" si="81"/>
        <v>-4.0000000000000027</v>
      </c>
      <c r="E686" s="3">
        <f t="shared" ca="1" si="80"/>
        <v>-1.7078863468375556</v>
      </c>
    </row>
    <row r="687" spans="4:5" x14ac:dyDescent="0.2">
      <c r="D687" s="3">
        <f t="shared" si="81"/>
        <v>-4.0000000000000027</v>
      </c>
      <c r="E687" s="3">
        <f t="shared" ca="1" si="80"/>
        <v>-1.5210819877954047</v>
      </c>
    </row>
    <row r="688" spans="4:5" x14ac:dyDescent="0.2">
      <c r="D688" s="3">
        <f t="shared" si="81"/>
        <v>-4.0000000000000027</v>
      </c>
      <c r="E688" s="3">
        <f t="shared" ca="1" si="80"/>
        <v>-1.3332351551385593</v>
      </c>
    </row>
    <row r="689" spans="4:5" x14ac:dyDescent="0.2">
      <c r="D689" s="3">
        <f t="shared" si="81"/>
        <v>-4.0000000000000027</v>
      </c>
      <c r="E689" s="3">
        <f t="shared" ca="1" si="80"/>
        <v>-1.1444745897029769</v>
      </c>
    </row>
  </sheetData>
  <sheetProtection sheet="1" objects="1" scenarios="1"/>
  <mergeCells count="1">
    <mergeCell ref="E27:F27"/>
  </mergeCells>
  <phoneticPr fontId="18" type="noConversion"/>
  <conditionalFormatting sqref="I29">
    <cfRule type="cellIs" dxfId="1" priority="1" stopIfTrue="1" operator="equal">
      <formula>"Layout"</formula>
    </cfRule>
    <cfRule type="cellIs" dxfId="0" priority="2" stopIfTrue="1" operator="equal">
      <formula>"Adatbázis"</formula>
    </cfRule>
  </conditionalFormatting>
  <dataValidations disablePrompts="1" count="4">
    <dataValidation type="list" allowBlank="1" showInputMessage="1" showErrorMessage="1" sqref="E27" xr:uid="{00000000-0002-0000-0500-000000000000}">
      <formula1>$AZ$6:$AZ$55</formula1>
    </dataValidation>
    <dataValidation type="custom" allowBlank="1" showInputMessage="1" showErrorMessage="1" sqref="J30:J31" xr:uid="{00000000-0002-0000-0500-000001000000}">
      <formula1>AND(J30/2-INT(J30/2)=0,J30&gt;0)</formula1>
    </dataValidation>
    <dataValidation type="list" allowBlank="1" showInputMessage="1" showErrorMessage="1" sqref="K4" xr:uid="{00000000-0002-0000-0500-000002000000}">
      <formula1>$W$3:$W$4</formula1>
    </dataValidation>
    <dataValidation type="list" allowBlank="1" showInputMessage="1" showErrorMessage="1" sqref="E18 J9" xr:uid="{00000000-0002-0000-0500-000003000000}">
      <formula1>$Y$1:$Y$7</formula1>
    </dataValidation>
  </dataValidations>
  <hyperlinks>
    <hyperlink ref="E26" location="Analysis2!CS1" display="Ugrás a példákhoz." xr:uid="{00000000-0004-0000-0500-000000000000}"/>
    <hyperlink ref="BB2" location="Analysis2!A1" display="Ugrás a gerjesztési görbéhez." xr:uid="{00000000-0004-0000-0500-000001000000}"/>
    <hyperlink ref="BH2" location="Analysis2!CS213" display="Ugrás az adatbázis végére." xr:uid="{00000000-0004-0000-0500-000002000000}"/>
    <hyperlink ref="BA217" location="Analysis2!CS1" display="Ugrás a táblázat elejére." xr:uid="{00000000-0004-0000-0500-000003000000}"/>
  </hyperlinks>
  <pageMargins left="0.75" right="0.3" top="0.57999999999999996" bottom="0.54" header="0.34" footer="0.28999999999999998"/>
  <pageSetup paperSize="9" scale="48" orientation="portrait" r:id="rId1"/>
  <headerFooter alignWithMargins="0">
    <oddHeader>&amp;L&amp;F/&amp;A.xls&amp;R&amp;P/&amp;N</oddHeader>
  </headerFooter>
  <drawing r:id="rId2"/>
  <legacyDrawing r:id="rId3"/>
  <controls>
    <mc:AlternateContent xmlns:mc="http://schemas.openxmlformats.org/markup-compatibility/2006">
      <mc:Choice Requires="x14">
        <control shapeId="71682" r:id="rId4" name="ScrollBar1">
          <controlPr defaultSize="0" autoLine="0" linkedCell="E16" r:id="rId5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7</xdr:col>
                <xdr:colOff>609600</xdr:colOff>
                <xdr:row>16</xdr:row>
                <xdr:rowOff>0</xdr:rowOff>
              </to>
            </anchor>
          </controlPr>
        </control>
      </mc:Choice>
      <mc:Fallback>
        <control shapeId="71682" r:id="rId4" name="ScrollBa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Layout</vt:lpstr>
      <vt:lpstr>Description</vt:lpstr>
      <vt:lpstr>Schema</vt:lpstr>
      <vt:lpstr>Settings</vt:lpstr>
      <vt:lpstr>Analysis1</vt:lpstr>
      <vt:lpstr>Analysis2</vt:lpstr>
      <vt:lpstr>Analysis2!Print_Area</vt:lpstr>
      <vt:lpstr>Layout!Print_Area</vt:lpstr>
    </vt:vector>
  </TitlesOfParts>
  <Company>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Laczkó István</dc:creator>
  <cp:lastModifiedBy>Mihály Katona</cp:lastModifiedBy>
  <cp:lastPrinted>2014-10-06T05:22:05Z</cp:lastPrinted>
  <dcterms:created xsi:type="dcterms:W3CDTF">2003-08-03T14:16:51Z</dcterms:created>
  <dcterms:modified xsi:type="dcterms:W3CDTF">2024-06-19T11:18:00Z</dcterms:modified>
</cp:coreProperties>
</file>